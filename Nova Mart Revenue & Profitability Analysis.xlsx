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Ex2.xml" ContentType="application/vnd.ms-office.chartex+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Ex3.xml" ContentType="application/vnd.ms-office.chartex+xml"/>
  <Override PartName="/xl/charts/style7.xml" ContentType="application/vnd.ms-office.chartstyle+xml"/>
  <Override PartName="/xl/charts/colors7.xml" ContentType="application/vnd.ms-office.chartcolorstyle+xml"/>
  <Override PartName="/xl/drawings/drawing9.xml" ContentType="application/vnd.openxmlformats-officedocument.drawing+xml"/>
  <Override PartName="/xl/pivotTables/pivotTable9.xml" ContentType="application/vnd.openxmlformats-officedocument.spreadsheetml.pivotTable+xml"/>
  <Override PartName="/xl/drawings/drawing10.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Ex4.xml" ContentType="application/vnd.ms-office.chartex+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Ex5.xml" ContentType="application/vnd.ms-office.chartex+xml"/>
  <Override PartName="/xl/charts/style15.xml" ContentType="application/vnd.ms-office.chartstyle+xml"/>
  <Override PartName="/xl/charts/colors15.xml" ContentType="application/vnd.ms-office.chartcolorstyle+xml"/>
  <Override PartName="/xl/drawings/drawing15.xml" ContentType="application/vnd.openxmlformats-officedocument.drawing+xml"/>
  <Override PartName="/xl/slicers/slicer2.xml" ContentType="application/vnd.ms-excel.slicer+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Ex6.xml" ContentType="application/vnd.ms-office.chartex+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chart18.xml" ContentType="application/vnd.openxmlformats-officedocument.drawingml.chart+xml"/>
  <Override PartName="/xl/charts/chartEx7.xml" ContentType="application/vnd.ms-office.chartex+xml"/>
  <Override PartName="/xl/charts/style19.xml" ContentType="application/vnd.ms-office.chartstyle+xml"/>
  <Override PartName="/xl/charts/colors19.xml" ContentType="application/vnd.ms-office.chartcolorstyle+xml"/>
  <Override PartName="/xl/charts/chartEx8.xml" ContentType="application/vnd.ms-office.chartex+xml"/>
  <Override PartName="/xl/charts/style20.xml" ContentType="application/vnd.ms-office.chartstyle+xml"/>
  <Override PartName="/xl/charts/colors20.xml" ContentType="application/vnd.ms-office.chartcolorstyle+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codeName="ThisWorkbook" hidePivotFieldList="1"/>
  <mc:AlternateContent xmlns:mc="http://schemas.openxmlformats.org/markup-compatibility/2006">
    <mc:Choice Requires="x15">
      <x15ac:absPath xmlns:x15ac="http://schemas.microsoft.com/office/spreadsheetml/2010/11/ac" url="C:\Users\HP\Videos\Downloads\Vephla University\Data Analytics\Microsoft Excel\Tasks Submission\Task 19 - Final Dashboard Completion &amp; Recommendations Board\"/>
    </mc:Choice>
  </mc:AlternateContent>
  <xr:revisionPtr revIDLastSave="0" documentId="13_ncr:1_{19550917-01CE-4641-8519-1C6D470707D3}" xr6:coauthVersionLast="45" xr6:coauthVersionMax="47" xr10:uidLastSave="{00000000-0000-0000-0000-000000000000}"/>
  <bookViews>
    <workbookView xWindow="-113" yWindow="-113" windowWidth="24267" windowHeight="13023" firstSheet="13" activeTab="13" xr2:uid="{00000000-000D-0000-FFFF-FFFF00000000}"/>
  </bookViews>
  <sheets>
    <sheet name="Data (2)" sheetId="17" r:id="rId1"/>
    <sheet name="Task" sheetId="15" r:id="rId2"/>
    <sheet name="Sales By Region" sheetId="18" r:id="rId3"/>
    <sheet name="Sales By Salespersons" sheetId="19" r:id="rId4"/>
    <sheet name="Top 10 Customers" sheetId="22" r:id="rId5"/>
    <sheet name="Sales Trend" sheetId="23" r:id="rId6"/>
    <sheet name="Products' Performance" sheetId="24" r:id="rId7"/>
    <sheet name="States' Performance" sheetId="25" r:id="rId8"/>
    <sheet name="Cities' Performance by Revenue" sheetId="26" r:id="rId9"/>
    <sheet name="Top 6 Ship Cities by Revenue" sheetId="27" r:id="rId10"/>
    <sheet name="Dashboard Sketch" sheetId="29" r:id="rId11"/>
    <sheet name="Transactions by Amount" sheetId="28" r:id="rId12"/>
    <sheet name="Pre-Analysis Board" sheetId="20" r:id="rId13"/>
    <sheet name="In-Analysis Board" sheetId="21" r:id="rId14"/>
    <sheet name="Sketch" sheetId="32" r:id="rId15"/>
    <sheet name="Lesson 7-  Full Dashboard" sheetId="30" state="hidden" r:id="rId16"/>
    <sheet name="Lesson 8 - Replicated Dashboard" sheetId="33" r:id="rId17"/>
    <sheet name="Post Analysis Board" sheetId="31" r:id="rId18"/>
    <sheet name="Recommendations Board" sheetId="36" r:id="rId19"/>
    <sheet name="Pivot Table Diagram" sheetId="4" state="hidden" r:id="rId20"/>
  </sheets>
  <definedNames>
    <definedName name="_xlnm._FilterDatabase" localSheetId="0" hidden="1">'Data (2)'!$A$1:$Z$370</definedName>
    <definedName name="_xlchart.v1.0" hidden="1">'Products'' Performance'!$D$4:$D$9</definedName>
    <definedName name="_xlchart.v1.1" hidden="1">'Products'' Performance'!$E$3</definedName>
    <definedName name="_xlchart.v1.13" hidden="1">'Products'' Performance'!$D$4:$D$9</definedName>
    <definedName name="_xlchart.v1.14" hidden="1">'Products'' Performance'!$E$3</definedName>
    <definedName name="_xlchart.v1.15" hidden="1">'Products'' Performance'!$E$4:$E$9</definedName>
    <definedName name="_xlchart.v1.16" hidden="1">'Products'' Performance'!$D$4:$D$9</definedName>
    <definedName name="_xlchart.v1.17" hidden="1">'Products'' Performance'!$E$3</definedName>
    <definedName name="_xlchart.v1.18" hidden="1">'Products'' Performance'!$E$4:$E$9</definedName>
    <definedName name="_xlchart.v1.2" hidden="1">'Products'' Performance'!$E$4:$E$9</definedName>
    <definedName name="_xlchart.v2.23" hidden="1">'Top 6 Ship Cities by Revenue'!$D$3:$D$8</definedName>
    <definedName name="_xlchart.v2.24" hidden="1">'Top 6 Ship Cities by Revenue'!$E$3:$E$8</definedName>
    <definedName name="_xlchart.v2.7" hidden="1">'Top 6 Ship Cities by Revenue'!$D$3:$D$8</definedName>
    <definedName name="_xlchart.v2.8" hidden="1">'Top 6 Ship Cities by Revenue'!$E$3:$E$8</definedName>
    <definedName name="_xlchart.v5.10" hidden="1">'States'' Performance'!$D$4:$D$15</definedName>
    <definedName name="_xlchart.v5.11" hidden="1">'States'' Performance'!$E$3</definedName>
    <definedName name="_xlchart.v5.12" hidden="1">'States'' Performance'!$E$4:$E$15</definedName>
    <definedName name="_xlchart.v5.19" hidden="1">'States'' Performance'!$D$3</definedName>
    <definedName name="_xlchart.v5.20" hidden="1">'States'' Performance'!$D$4:$D$15</definedName>
    <definedName name="_xlchart.v5.21" hidden="1">'States'' Performance'!$E$3</definedName>
    <definedName name="_xlchart.v5.22" hidden="1">'States'' Performance'!$E$4:$E$15</definedName>
    <definedName name="_xlchart.v5.3" hidden="1">'States'' Performance'!$D$3</definedName>
    <definedName name="_xlchart.v5.4" hidden="1">'States'' Performance'!$D$4:$D$15</definedName>
    <definedName name="_xlchart.v5.5" hidden="1">'States'' Performance'!$E$3</definedName>
    <definedName name="_xlchart.v5.6" hidden="1">'States'' Performance'!$E$4:$E$15</definedName>
    <definedName name="_xlchart.v5.9" hidden="1">'States'' Performance'!$D$3</definedName>
    <definedName name="Slicer_Product_Name">#N/A</definedName>
    <definedName name="Slicer_Region">#N/A</definedName>
    <definedName name="Slicer_Salesperson">#N/A</definedName>
  </definedNames>
  <calcPr calcId="191029"/>
  <pivotCaches>
    <pivotCache cacheId="0" r:id="rId21"/>
  </pivotCaches>
  <extLs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<sst xmlns="http://schemas.openxmlformats.org/spreadsheetml/2006/main" count="5925" uniqueCount="192">
  <si>
    <t>Order ID</t>
  </si>
  <si>
    <t>Order Date</t>
  </si>
  <si>
    <t>Customer ID</t>
  </si>
  <si>
    <t>Customer Name</t>
  </si>
  <si>
    <t>Address</t>
  </si>
  <si>
    <t>City</t>
  </si>
  <si>
    <t>State</t>
  </si>
  <si>
    <t>ZIP/Postal Code</t>
  </si>
  <si>
    <t>Country/Region</t>
  </si>
  <si>
    <t>Salesperson</t>
  </si>
  <si>
    <t>Region</t>
  </si>
  <si>
    <t>Shipped Date</t>
  </si>
  <si>
    <t>Shipper Name</t>
  </si>
  <si>
    <t>Ship Name</t>
  </si>
  <si>
    <t>Ship Address</t>
  </si>
  <si>
    <t>Ship City</t>
  </si>
  <si>
    <t>Ship State</t>
  </si>
  <si>
    <t>Ship ZIP/Postal Code</t>
  </si>
  <si>
    <t>Ship Country/Region</t>
  </si>
  <si>
    <t>Payment Type</t>
  </si>
  <si>
    <t>Product Name</t>
  </si>
  <si>
    <t>Category</t>
  </si>
  <si>
    <t>Unit Price</t>
  </si>
  <si>
    <t>Quantity</t>
  </si>
  <si>
    <t>Revenue</t>
  </si>
  <si>
    <t>Shipping Fee</t>
  </si>
  <si>
    <t>Company AA</t>
  </si>
  <si>
    <t>789 27th Street</t>
  </si>
  <si>
    <t>Las Vegas</t>
  </si>
  <si>
    <t>NV</t>
  </si>
  <si>
    <t>USA</t>
  </si>
  <si>
    <t>Mariya Sergienko</t>
  </si>
  <si>
    <t>West</t>
  </si>
  <si>
    <t>Shipping Company B</t>
  </si>
  <si>
    <t>Karen Toh</t>
  </si>
  <si>
    <t>Check</t>
  </si>
  <si>
    <t>Beer</t>
  </si>
  <si>
    <t>Beverages</t>
  </si>
  <si>
    <t>Dried Plums</t>
  </si>
  <si>
    <t>Dried Fruit &amp; Nuts</t>
  </si>
  <si>
    <t>Company D</t>
  </si>
  <si>
    <t>123 4th Street</t>
  </si>
  <si>
    <t>New York</t>
  </si>
  <si>
    <t>NY</t>
  </si>
  <si>
    <t>Andrew Cencini</t>
  </si>
  <si>
    <t>East</t>
  </si>
  <si>
    <t>Shipping Company A</t>
  </si>
  <si>
    <t>Christina Lee</t>
  </si>
  <si>
    <t>Credit Card</t>
  </si>
  <si>
    <t>Dried Pears</t>
  </si>
  <si>
    <t>Dried Apples</t>
  </si>
  <si>
    <t>Company L</t>
  </si>
  <si>
    <t>123 12th Street</t>
  </si>
  <si>
    <t>John Edwards</t>
  </si>
  <si>
    <t>Chai</t>
  </si>
  <si>
    <t>Coffee</t>
  </si>
  <si>
    <t>Company H</t>
  </si>
  <si>
    <t>123 8th Street</t>
  </si>
  <si>
    <t>Portland</t>
  </si>
  <si>
    <t>OR</t>
  </si>
  <si>
    <t>Nancy Freehafer</t>
  </si>
  <si>
    <t>North</t>
  </si>
  <si>
    <t>Shipping Company C</t>
  </si>
  <si>
    <t>Elizabeth Andersen</t>
  </si>
  <si>
    <t>Chocolate Biscuits Mix</t>
  </si>
  <si>
    <t>Baked Goods &amp; Mixes</t>
  </si>
  <si>
    <t>Company CC</t>
  </si>
  <si>
    <t>789 29th Street</t>
  </si>
  <si>
    <t>Denver</t>
  </si>
  <si>
    <t>CO</t>
  </si>
  <si>
    <t>Jan Kotas</t>
  </si>
  <si>
    <t>Soo Jung Lee</t>
  </si>
  <si>
    <t>Chocolate</t>
  </si>
  <si>
    <t>Candy</t>
  </si>
  <si>
    <t>Company C</t>
  </si>
  <si>
    <t>123 3rd Street</t>
  </si>
  <si>
    <t>Los Angelas</t>
  </si>
  <si>
    <t>CA</t>
  </si>
  <si>
    <t>Thomas Axerr</t>
  </si>
  <si>
    <t>Cash</t>
  </si>
  <si>
    <t>Clam Chowder</t>
  </si>
  <si>
    <t>Soups</t>
  </si>
  <si>
    <t>Company F</t>
  </si>
  <si>
    <t>123 6th Street</t>
  </si>
  <si>
    <t>Milwaukee</t>
  </si>
  <si>
    <t>WI</t>
  </si>
  <si>
    <t>Michael Neipper</t>
  </si>
  <si>
    <t>Francisco Pérez-Olaeta</t>
  </si>
  <si>
    <t>Curry Sauce</t>
  </si>
  <si>
    <t>Sauces</t>
  </si>
  <si>
    <t>Company BB</t>
  </si>
  <si>
    <t>789 28th Street</t>
  </si>
  <si>
    <t>Memphis</t>
  </si>
  <si>
    <t>TN</t>
  </si>
  <si>
    <t>Anne Larsen</t>
  </si>
  <si>
    <t>South</t>
  </si>
  <si>
    <t>Amritansh Raghav</t>
  </si>
  <si>
    <t>Company J</t>
  </si>
  <si>
    <t>123 10th Street</t>
  </si>
  <si>
    <t>Chicago</t>
  </si>
  <si>
    <t>IL</t>
  </si>
  <si>
    <t>Laura Giussani</t>
  </si>
  <si>
    <t>Roland Wacker</t>
  </si>
  <si>
    <t>Green Tea</t>
  </si>
  <si>
    <t>Company G</t>
  </si>
  <si>
    <t>123 7th Street</t>
  </si>
  <si>
    <t>Boise</t>
  </si>
  <si>
    <t>ID</t>
  </si>
  <si>
    <t>Ming-Yang Xie</t>
  </si>
  <si>
    <t>Boysenberry Spread</t>
  </si>
  <si>
    <t>Jams, Preserves</t>
  </si>
  <si>
    <t>Cajun Seasoning</t>
  </si>
  <si>
    <t>Condiments</t>
  </si>
  <si>
    <t>Company K</t>
  </si>
  <si>
    <t>123 11th Street</t>
  </si>
  <si>
    <t>Miami</t>
  </si>
  <si>
    <t>FL</t>
  </si>
  <si>
    <t>Peter Krschne</t>
  </si>
  <si>
    <t>Company A</t>
  </si>
  <si>
    <t>123 1st Street</t>
  </si>
  <si>
    <t>Seattle</t>
  </si>
  <si>
    <t>WA</t>
  </si>
  <si>
    <t>Anna Bedecs</t>
  </si>
  <si>
    <t>Crab Meat</t>
  </si>
  <si>
    <t>Canned Meat</t>
  </si>
  <si>
    <t>Company I</t>
  </si>
  <si>
    <t>123 9th Street</t>
  </si>
  <si>
    <t>Salt Lake City</t>
  </si>
  <si>
    <t>UT</t>
  </si>
  <si>
    <t>Robert Zare</t>
  </si>
  <si>
    <t>Sven Mortensen</t>
  </si>
  <si>
    <t>Ravioli</t>
  </si>
  <si>
    <t>Pasta</t>
  </si>
  <si>
    <t>Mozzarella</t>
  </si>
  <si>
    <t>Dairy Products</t>
  </si>
  <si>
    <t>Syrup</t>
  </si>
  <si>
    <t>Almonds</t>
  </si>
  <si>
    <t>Company Y</t>
  </si>
  <si>
    <t>789 25th Street</t>
  </si>
  <si>
    <t>John Rodman</t>
  </si>
  <si>
    <t>Company Z</t>
  </si>
  <si>
    <t>789 26th Street</t>
  </si>
  <si>
    <t>Run Liu</t>
  </si>
  <si>
    <t>Fruit Cocktail</t>
  </si>
  <si>
    <t>Fruit &amp; Veg</t>
  </si>
  <si>
    <t>Gnocchi</t>
  </si>
  <si>
    <t>Scones</t>
  </si>
  <si>
    <t>Olive Oil</t>
  </si>
  <si>
    <t>Oil</t>
  </si>
  <si>
    <t>Marmalade</t>
  </si>
  <si>
    <t>Long Grain Rice</t>
  </si>
  <si>
    <t>Grains</t>
  </si>
  <si>
    <t>Source:</t>
  </si>
  <si>
    <t>Article:</t>
  </si>
  <si>
    <t>How Do Pivot Tables Work?</t>
  </si>
  <si>
    <t>http://www.excelcampus.com/pivot-tables/pivot-tables-work/</t>
  </si>
  <si>
    <t>Sales trend report</t>
  </si>
  <si>
    <t>Top 10 customers</t>
  </si>
  <si>
    <t>Sales by Rep</t>
  </si>
  <si>
    <t>Sales by Region</t>
  </si>
  <si>
    <t>Transaction by Amount.</t>
  </si>
  <si>
    <t>DATA ANALYST TASK LIST</t>
  </si>
  <si>
    <t>Analyze the sales data for 2014 and provide report for capturing the items listed below. An excellent report would aid management make strategic decisions for the coming year.</t>
  </si>
  <si>
    <t xml:space="preserve">Shipping Fee </t>
  </si>
  <si>
    <t xml:space="preserve">Sales By Product category </t>
  </si>
  <si>
    <t xml:space="preserve">Top 6 ship cities by revenue </t>
  </si>
  <si>
    <t xml:space="preserve">Top 5 cities By revenue </t>
  </si>
  <si>
    <t>Row Labels</t>
  </si>
  <si>
    <t>Grand Total</t>
  </si>
  <si>
    <t>Sum of Revenue</t>
  </si>
  <si>
    <t>Jan</t>
  </si>
  <si>
    <t>Feb</t>
  </si>
  <si>
    <t>Mar</t>
  </si>
  <si>
    <t>Apr</t>
  </si>
  <si>
    <t>May</t>
  </si>
  <si>
    <t>Jun</t>
  </si>
  <si>
    <t>Jul</t>
  </si>
  <si>
    <t>Aug</t>
  </si>
  <si>
    <t>Sept</t>
  </si>
  <si>
    <t>Oct</t>
  </si>
  <si>
    <t>Nov</t>
  </si>
  <si>
    <t>Dec</t>
  </si>
  <si>
    <t>Product Category</t>
  </si>
  <si>
    <t>States</t>
  </si>
  <si>
    <t>10-1010</t>
  </si>
  <si>
    <t>1010-2010</t>
  </si>
  <si>
    <t>2010-3010</t>
  </si>
  <si>
    <t>3010-4010</t>
  </si>
  <si>
    <t>4010-5010</t>
  </si>
  <si>
    <t>6010-7010</t>
  </si>
  <si>
    <t>7010-8010</t>
  </si>
  <si>
    <t>Count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</si>
</sst>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quot;$&quot;* #,##0.00_);_(&quot;$&quot;* \(#,##0.00\);_(&quot;$&quot;* &quot;-&quot;??_);_(@_)"/>
    <numFmt numFmtId="165" formatCode="mm/dd/yy;@"/>
    <numFmt numFmtId="166" formatCode="&quot;$&quot;#,##0.00"/>
    <numFmt numFmtId="167" formatCode="[$$-409]#,##0.00"/>
  </numFmts>
  <fonts count="6"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2"/>
      <color theme="1"/>
      <name val="Calibri"/>
      <family val="2"/>
      <scheme val="minor"/>
    </font>
    <font>
      <sz val="16"/>
      <color theme="1"/>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rgb="FF00B050"/>
        <bgColor indexed="64"/>
      </patternFill>
    </fill>
    <fill>
      <patternFill patternType="solid">
        <fgColor rgb="FFFFFF00"/>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s>
  <cellStyleXfs count="3">
    <xf numFmtId="0" fontId="0" fillId="0" borderId="0"/>
    <xf numFmtId="164" fontId="1" fillId="0" borderId="0" applyFont="0" applyFill="0" applyBorder="0" applyAlignment="0" applyProtection="0"/>
    <xf numFmtId="0" fontId="3" fillId="0" borderId="0" applyNumberFormat="0" applyFill="0" applyBorder="0" applyAlignment="0" applyProtection="0"/>
  </cellStyleXfs>
  <cellXfs count="17">
    <xf numFmtId="0" fontId="0" fillId="0" borderId="0" xfId="0"/>
    <xf numFmtId="0" fontId="2" fillId="2" borderId="0" xfId="0" applyFont="1" applyFill="1"/>
    <xf numFmtId="165" fontId="0" fillId="0" borderId="0" xfId="0" applyNumberFormat="1"/>
    <xf numFmtId="166" fontId="0" fillId="0" borderId="0" xfId="0" applyNumberFormat="1"/>
    <xf numFmtId="166" fontId="0" fillId="0" borderId="0" xfId="1" applyNumberFormat="1" applyFont="1"/>
    <xf numFmtId="0" fontId="3" fillId="0" borderId="0" xfId="2"/>
    <xf numFmtId="0" fontId="2" fillId="0" borderId="0" xfId="0" applyFont="1"/>
    <xf numFmtId="0" fontId="5" fillId="3" borderId="0" xfId="0" applyFont="1" applyFill="1"/>
    <xf numFmtId="0" fontId="5" fillId="4" borderId="1" xfId="0" applyFont="1" applyFill="1" applyBorder="1"/>
    <xf numFmtId="0" fontId="4" fillId="0" borderId="0" xfId="0" applyFont="1" applyAlignment="1">
      <alignment vertical="center" wrapText="1"/>
    </xf>
    <xf numFmtId="0" fontId="0" fillId="0" borderId="0" xfId="0" pivotButton="1"/>
    <xf numFmtId="0" fontId="0" fillId="0" borderId="0" xfId="0" applyAlignment="1">
      <alignment horizontal="left"/>
    </xf>
    <xf numFmtId="167" fontId="0" fillId="0" borderId="0" xfId="0" applyNumberFormat="1"/>
    <xf numFmtId="0" fontId="2" fillId="5" borderId="2" xfId="0" applyFont="1" applyFill="1" applyBorder="1"/>
    <xf numFmtId="165" fontId="0" fillId="0" borderId="0" xfId="0" applyNumberFormat="1" applyAlignment="1">
      <alignment horizontal="left"/>
    </xf>
    <xf numFmtId="166" fontId="0" fillId="0" borderId="0" xfId="0" applyNumberFormat="1" applyAlignment="1">
      <alignment horizontal="left"/>
    </xf>
    <xf numFmtId="4" fontId="0" fillId="0" borderId="0" xfId="0" applyNumberFormat="1"/>
  </cellXfs>
  <cellStyles count="3">
    <cellStyle name="Currency" xfId="1" builtinId="4"/>
    <cellStyle name="Hyperlink" xfId="2" builtinId="8"/>
    <cellStyle name="Normal" xfId="0" builtinId="0"/>
  </cellStyles>
  <dxfs count="5">
    <dxf>
      <numFmt numFmtId="4" formatCode="#,##0.00"/>
    </dxf>
    <dxf>
      <font>
        <b/>
        <color theme="1"/>
      </font>
      <border diagonalUp="0" diagonalDown="0">
        <left/>
        <right/>
        <top/>
        <bottom/>
        <vertical/>
        <horizontal/>
      </border>
    </dxf>
    <dxf>
      <font>
        <color theme="1"/>
      </font>
      <border diagonalUp="0" diagonalDown="0">
        <left/>
        <right/>
        <top/>
        <bottom/>
        <vertical/>
        <horizontal/>
      </border>
    </dxf>
    <dxf>
      <font>
        <b/>
        <color theme="1"/>
      </font>
      <border>
        <bottom style="thin">
          <color rgb="FF4F81BD"/>
        </bottom>
        <vertical/>
        <horizontal/>
      </border>
    </dxf>
    <dxf>
      <font>
        <color theme="1"/>
      </font>
      <fill>
        <patternFill patternType="none">
          <bgColor auto="1"/>
        </patternFill>
      </fill>
      <border diagonalUp="0" diagonalDown="0">
        <left/>
        <right/>
        <top/>
        <bottom/>
        <vertical/>
        <horizontal/>
      </border>
    </dxf>
  </dxfs>
  <tableStyles count="2" defaultTableStyle="TableStyleMedium2" defaultPivotStyle="PivotStyleLight16">
    <tableStyle name="Green Flusterr" pivot="0" table="0" count="10" xr9:uid="{FE98D38A-A8F8-47A2-A6A5-BEFB178848F8}">
      <tableStyleElement type="wholeTable" dxfId="4"/>
      <tableStyleElement type="headerRow" dxfId="3"/>
    </tableStyle>
    <tableStyle name="Grey Flusterr" pivot="0" table="0" count="10" xr9:uid="{2939DE7B-EFB1-42DC-A263-794F95CF5859}">
      <tableStyleElement type="wholeTable" dxfId="2"/>
      <tableStyleElement type="headerRow" dxfId="1"/>
    </tableStyle>
  </tableStyles>
  <colors>
    <mruColors>
      <color rgb="FFDEEDD3"/>
      <color rgb="FFD8EBCD"/>
      <color rgb="FF004821"/>
      <color rgb="FF002A13"/>
      <color rgb="FFE4F1DB"/>
      <color rgb="FF6CA644"/>
      <color rgb="FF385723"/>
      <color rgb="FF003217"/>
      <color rgb="FFFF0000"/>
      <color rgb="FF7030A0"/>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diagonalUp="0" diagonalDown="0">
            <left/>
            <right/>
            <top/>
            <bottom/>
            <vertical/>
            <horizontal/>
          </border>
        </dxf>
        <dxf>
          <font>
            <color auto="1"/>
          </font>
          <fill>
            <patternFill patternType="solid">
              <fgColor theme="6"/>
              <bgColor theme="6"/>
            </patternFill>
          </fill>
          <border diagonalUp="0" diagonalDown="0">
            <left/>
            <right/>
            <top/>
            <bottom/>
            <vertical/>
            <horizontal/>
          </border>
        </dxf>
        <dxf>
          <font>
            <color rgb="FF959595"/>
          </font>
          <fill>
            <patternFill patternType="solid">
              <fgColor rgb="FFDFDFDF"/>
              <bgColor rgb="FFDFDFDF"/>
            </patternFill>
          </fill>
          <border diagonalUp="0" diagonalDown="0">
            <left/>
            <right/>
            <top/>
            <bottom/>
            <vertical/>
            <horizontal/>
          </border>
        </dxf>
        <dxf>
          <font>
            <color rgb="FF000000"/>
          </font>
          <fill>
            <patternFill patternType="solid">
              <fgColor rgb="FFC0C0C0"/>
              <bgColor rgb="FFC0C0C0"/>
            </patternFill>
          </fill>
          <border diagonalUp="0" diagonalDown="0">
            <left/>
            <right/>
            <top/>
            <bottom/>
            <vertical/>
            <horizontal/>
          </border>
        </dxf>
        <dxf>
          <font>
            <color theme="0"/>
          </font>
          <fill>
            <patternFill patternType="solid">
              <fgColor auto="1"/>
              <bgColor theme="0" tint="-0.34998626667073579"/>
            </patternFill>
          </fill>
          <border diagonalUp="0" diagonalDown="0">
            <left/>
            <right/>
            <top/>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theme="0" tint="-0.34998626667073579"/>
            </patternFill>
          </fill>
          <border diagonalUp="0" diagonalDown="0">
            <left/>
            <right/>
            <top/>
            <bottom/>
            <vertical/>
            <horizontal/>
          </border>
        </dxf>
        <dxf>
          <font>
            <color theme="0"/>
          </font>
          <fill>
            <patternFill patternType="solid">
              <fgColor auto="1"/>
              <bgColor theme="0" tint="-0.34998626667073579"/>
            </patternFill>
          </fill>
          <border diagonalUp="0" diagonalDown="0">
            <left/>
            <right/>
            <top/>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theme="0"/>
          </font>
          <fill>
            <patternFill patternType="solid">
              <fgColor auto="1"/>
              <bgColor rgb="FF385723"/>
            </patternFill>
          </fill>
          <border diagonalUp="0" diagonalDown="0">
            <left/>
            <right/>
            <top/>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theme="0"/>
          </font>
          <fill>
            <patternFill patternType="solid">
              <fgColor auto="1"/>
              <bgColor theme="0" tint="-0.2499465926084170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Green Fluster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Grey Fluster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Dashboard Completion &amp; Recommendations Board.xlsx]Sales By Region!PivotTable1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Sales By Region</a:t>
            </a:r>
          </a:p>
        </c:rich>
      </c:tx>
      <c:layout>
        <c:manualLayout>
          <c:xMode val="edge"/>
          <c:yMode val="edge"/>
          <c:x val="2.7077865266838966E-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rgbClr val="4D7830"/>
          </a:solidFill>
          <a:ln>
            <a:noFill/>
          </a:ln>
          <a:effectLst/>
        </c:spPr>
      </c:pivotFmt>
      <c:pivotFmt>
        <c:idx val="3"/>
        <c:spPr>
          <a:solidFill>
            <a:srgbClr val="68A141"/>
          </a:solidFill>
          <a:ln>
            <a:noFill/>
          </a:ln>
          <a:effectLst/>
        </c:spPr>
      </c:pivotFmt>
      <c:pivotFmt>
        <c:idx val="4"/>
        <c:spPr>
          <a:solidFill>
            <a:srgbClr val="85BE5E"/>
          </a:solidFill>
          <a:ln>
            <a:noFill/>
          </a:ln>
          <a:effectLst/>
        </c:spPr>
      </c:pivotFmt>
    </c:pivotFmts>
    <c:plotArea>
      <c:layout/>
      <c:pieChart>
        <c:varyColors val="1"/>
        <c:ser>
          <c:idx val="0"/>
          <c:order val="0"/>
          <c:tx>
            <c:strRef>
              <c:f>'Sales By Region'!$B$3</c:f>
              <c:strCache>
                <c:ptCount val="1"/>
                <c:pt idx="0">
                  <c:v>Total</c:v>
                </c:pt>
              </c:strCache>
            </c:strRef>
          </c:tx>
          <c:spPr>
            <a:solidFill>
              <a:schemeClr val="accent6">
                <a:lumMod val="50000"/>
              </a:schemeClr>
            </a:solidFill>
            <a:ln>
              <a:noFill/>
            </a:ln>
          </c:spPr>
          <c:explosion val="2"/>
          <c:dPt>
            <c:idx val="0"/>
            <c:bubble3D val="0"/>
            <c:spPr>
              <a:solidFill>
                <a:schemeClr val="accent6">
                  <a:lumMod val="50000"/>
                </a:schemeClr>
              </a:solidFill>
              <a:ln>
                <a:noFill/>
              </a:ln>
              <a:effectLst/>
            </c:spPr>
            <c:extLst>
              <c:ext xmlns:c16="http://schemas.microsoft.com/office/drawing/2014/chart" uri="{C3380CC4-5D6E-409C-BE32-E72D297353CC}">
                <c16:uniqueId val="{00000001-CD41-4288-97B8-440E89473018}"/>
              </c:ext>
            </c:extLst>
          </c:dPt>
          <c:dPt>
            <c:idx val="1"/>
            <c:bubble3D val="0"/>
            <c:spPr>
              <a:solidFill>
                <a:srgbClr val="4D7830"/>
              </a:solidFill>
              <a:ln>
                <a:noFill/>
              </a:ln>
              <a:effectLst/>
            </c:spPr>
            <c:extLst>
              <c:ext xmlns:c16="http://schemas.microsoft.com/office/drawing/2014/chart" uri="{C3380CC4-5D6E-409C-BE32-E72D297353CC}">
                <c16:uniqueId val="{00000002-CD41-4288-97B8-440E89473018}"/>
              </c:ext>
            </c:extLst>
          </c:dPt>
          <c:dPt>
            <c:idx val="2"/>
            <c:bubble3D val="0"/>
            <c:spPr>
              <a:solidFill>
                <a:srgbClr val="68A141"/>
              </a:solidFill>
              <a:ln>
                <a:noFill/>
              </a:ln>
              <a:effectLst/>
            </c:spPr>
            <c:extLst>
              <c:ext xmlns:c16="http://schemas.microsoft.com/office/drawing/2014/chart" uri="{C3380CC4-5D6E-409C-BE32-E72D297353CC}">
                <c16:uniqueId val="{00000003-CD41-4288-97B8-440E89473018}"/>
              </c:ext>
            </c:extLst>
          </c:dPt>
          <c:dPt>
            <c:idx val="3"/>
            <c:bubble3D val="0"/>
            <c:spPr>
              <a:solidFill>
                <a:srgbClr val="85BE5E"/>
              </a:solidFill>
              <a:ln>
                <a:noFill/>
              </a:ln>
              <a:effectLst/>
            </c:spPr>
            <c:extLst>
              <c:ext xmlns:c16="http://schemas.microsoft.com/office/drawing/2014/chart" uri="{C3380CC4-5D6E-409C-BE32-E72D297353CC}">
                <c16:uniqueId val="{00000004-CD41-4288-97B8-440E894730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Region'!$A$4:$A$8</c:f>
              <c:strCache>
                <c:ptCount val="4"/>
                <c:pt idx="0">
                  <c:v>North</c:v>
                </c:pt>
                <c:pt idx="1">
                  <c:v>East</c:v>
                </c:pt>
                <c:pt idx="2">
                  <c:v>South</c:v>
                </c:pt>
                <c:pt idx="3">
                  <c:v>West</c:v>
                </c:pt>
              </c:strCache>
            </c:strRef>
          </c:cat>
          <c:val>
            <c:numRef>
              <c:f>'Sales By Region'!$B$4:$B$8</c:f>
              <c:numCache>
                <c:formatCode>[$$-409]#,##0.00</c:formatCode>
                <c:ptCount val="4"/>
                <c:pt idx="0">
                  <c:v>141680.33999999997</c:v>
                </c:pt>
                <c:pt idx="1">
                  <c:v>108275.51</c:v>
                </c:pt>
                <c:pt idx="2">
                  <c:v>93858.329999999987</c:v>
                </c:pt>
                <c:pt idx="3">
                  <c:v>91251.979999999981</c:v>
                </c:pt>
              </c:numCache>
            </c:numRef>
          </c:val>
          <c:extLst>
            <c:ext xmlns:c16="http://schemas.microsoft.com/office/drawing/2014/chart" uri="{C3380CC4-5D6E-409C-BE32-E72D297353CC}">
              <c16:uniqueId val="{00000000-CD41-4288-97B8-440E8947301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50800" dir="5400000" algn="ctr" rotWithShape="0">
        <a:srgbClr val="538034">
          <a:alpha val="50000"/>
        </a:srgb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Dashboard Completion &amp; Recommendations Board.xlsx]Sales By Salespersons!PivotTable1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6">
                    <a:lumMod val="50000"/>
                  </a:schemeClr>
                </a:solidFill>
              </a:rPr>
              <a:t>Sales By Salespersons</a:t>
            </a:r>
          </a:p>
        </c:rich>
      </c:tx>
      <c:layout>
        <c:manualLayout>
          <c:xMode val="edge"/>
          <c:yMode val="edge"/>
          <c:x val="2.7085802893783316E-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rgbClr val="4D7830"/>
          </a:solidFill>
          <a:ln>
            <a:noFill/>
          </a:ln>
          <a:effectLst/>
        </c:spPr>
      </c:pivotFmt>
      <c:pivotFmt>
        <c:idx val="3"/>
        <c:spPr>
          <a:solidFill>
            <a:srgbClr val="68A141"/>
          </a:solidFill>
          <a:ln>
            <a:noFill/>
          </a:ln>
          <a:effectLst/>
        </c:spPr>
      </c:pivotFmt>
      <c:pivotFmt>
        <c:idx val="4"/>
        <c:spPr>
          <a:solidFill>
            <a:srgbClr val="85BE5E"/>
          </a:solidFill>
          <a:ln>
            <a:noFill/>
          </a:ln>
          <a:effectLst/>
        </c:spPr>
      </c:pivotFmt>
      <c:pivotFmt>
        <c:idx val="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pivotFmt>
      <c:pivotFmt>
        <c:idx val="7"/>
        <c:spPr>
          <a:solidFill>
            <a:srgbClr val="4D7830"/>
          </a:solidFill>
          <a:ln>
            <a:noFill/>
          </a:ln>
          <a:effectLst/>
        </c:spPr>
      </c:pivotFmt>
      <c:pivotFmt>
        <c:idx val="8"/>
        <c:spPr>
          <a:solidFill>
            <a:srgbClr val="68A141"/>
          </a:solidFill>
          <a:ln>
            <a:noFill/>
          </a:ln>
          <a:effectLst/>
        </c:spPr>
      </c:pivotFmt>
      <c:pivotFmt>
        <c:idx val="9"/>
        <c:spPr>
          <a:solidFill>
            <a:srgbClr val="85BE5E"/>
          </a:solidFill>
          <a:ln>
            <a:noFill/>
          </a:ln>
          <a:effectLst/>
        </c:spPr>
      </c:pivotFmt>
      <c:pivotFmt>
        <c:idx val="10"/>
        <c:spPr>
          <a:solidFill>
            <a:schemeClr val="accent6">
              <a:lumMod val="75000"/>
            </a:schemeClr>
          </a:solidFill>
          <a:ln>
            <a:noFill/>
          </a:ln>
          <a:effectLst/>
        </c:spPr>
      </c:pivotFmt>
      <c:pivotFmt>
        <c:idx val="11"/>
        <c:spPr>
          <a:solidFill>
            <a:srgbClr val="68A141"/>
          </a:solidFill>
          <a:ln>
            <a:noFill/>
          </a:ln>
          <a:effectLst/>
        </c:spPr>
      </c:pivotFmt>
      <c:pivotFmt>
        <c:idx val="12"/>
        <c:spPr>
          <a:solidFill>
            <a:srgbClr val="85BE5E"/>
          </a:solidFill>
          <a:ln>
            <a:noFill/>
          </a:ln>
          <a:effectLst/>
        </c:spPr>
      </c:pivotFmt>
      <c:pivotFmt>
        <c:idx val="13"/>
        <c:spPr>
          <a:solidFill>
            <a:srgbClr val="80BC58"/>
          </a:solidFill>
          <a:ln>
            <a:noFill/>
          </a:ln>
          <a:effectLst/>
        </c:spPr>
      </c:pivotFmt>
      <c:pivotFmt>
        <c:idx val="14"/>
        <c:spPr>
          <a:solidFill>
            <a:schemeClr val="accent6">
              <a:lumMod val="50000"/>
            </a:schemeClr>
          </a:solidFill>
          <a:ln>
            <a:noFill/>
          </a:ln>
          <a:effectLst/>
        </c:spPr>
      </c:pivotFmt>
      <c:pivotFmt>
        <c:idx val="15"/>
        <c:spPr>
          <a:solidFill>
            <a:srgbClr val="89C163"/>
          </a:solidFill>
          <a:ln>
            <a:noFill/>
          </a:ln>
          <a:effectLst/>
        </c:spPr>
      </c:pivotFmt>
      <c:pivotFmt>
        <c:idx val="16"/>
        <c:spPr>
          <a:solidFill>
            <a:srgbClr val="9ECB7F"/>
          </a:solidFill>
          <a:ln>
            <a:noFill/>
          </a:ln>
          <a:effectLst/>
        </c:spPr>
      </c:pivotFmt>
      <c:pivotFmt>
        <c:idx val="17"/>
        <c:spPr>
          <a:solidFill>
            <a:srgbClr val="CBE3BB"/>
          </a:solidFill>
          <a:ln>
            <a:noFill/>
          </a:ln>
          <a:effectLst/>
        </c:spPr>
      </c:pivotFmt>
    </c:pivotFmts>
    <c:plotArea>
      <c:layout/>
      <c:barChart>
        <c:barDir val="bar"/>
        <c:grouping val="clustered"/>
        <c:varyColors val="0"/>
        <c:ser>
          <c:idx val="0"/>
          <c:order val="0"/>
          <c:tx>
            <c:strRef>
              <c:f>'Sales By Salespersons'!$B$3</c:f>
              <c:strCache>
                <c:ptCount val="1"/>
                <c:pt idx="0">
                  <c:v>Total</c:v>
                </c:pt>
              </c:strCache>
            </c:strRef>
          </c:tx>
          <c:spPr>
            <a:solidFill>
              <a:schemeClr val="accent6">
                <a:lumMod val="50000"/>
              </a:schemeClr>
            </a:solidFill>
            <a:ln>
              <a:noFill/>
            </a:ln>
            <a:effectLst/>
          </c:spPr>
          <c:invertIfNegative val="0"/>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9130-456A-9DF7-EFEF3510510A}"/>
              </c:ext>
            </c:extLst>
          </c:dPt>
          <c:dPt>
            <c:idx val="2"/>
            <c:invertIfNegative val="0"/>
            <c:bubble3D val="0"/>
            <c:spPr>
              <a:solidFill>
                <a:srgbClr val="68A141"/>
              </a:solidFill>
              <a:ln>
                <a:noFill/>
              </a:ln>
              <a:effectLst/>
            </c:spPr>
            <c:extLst>
              <c:ext xmlns:c16="http://schemas.microsoft.com/office/drawing/2014/chart" uri="{C3380CC4-5D6E-409C-BE32-E72D297353CC}">
                <c16:uniqueId val="{00000005-9130-456A-9DF7-EFEF3510510A}"/>
              </c:ext>
            </c:extLst>
          </c:dPt>
          <c:dPt>
            <c:idx val="3"/>
            <c:invertIfNegative val="0"/>
            <c:bubble3D val="0"/>
            <c:spPr>
              <a:solidFill>
                <a:srgbClr val="85BE5E"/>
              </a:solidFill>
              <a:ln>
                <a:noFill/>
              </a:ln>
              <a:effectLst/>
            </c:spPr>
            <c:extLst>
              <c:ext xmlns:c16="http://schemas.microsoft.com/office/drawing/2014/chart" uri="{C3380CC4-5D6E-409C-BE32-E72D297353CC}">
                <c16:uniqueId val="{00000007-9130-456A-9DF7-EFEF3510510A}"/>
              </c:ext>
            </c:extLst>
          </c:dPt>
          <c:dPt>
            <c:idx val="4"/>
            <c:invertIfNegative val="0"/>
            <c:bubble3D val="0"/>
            <c:spPr>
              <a:solidFill>
                <a:srgbClr val="80BC58"/>
              </a:solidFill>
              <a:ln>
                <a:noFill/>
              </a:ln>
              <a:effectLst/>
            </c:spPr>
            <c:extLst>
              <c:ext xmlns:c16="http://schemas.microsoft.com/office/drawing/2014/chart" uri="{C3380CC4-5D6E-409C-BE32-E72D297353CC}">
                <c16:uniqueId val="{0000000A-9130-456A-9DF7-EFEF3510510A}"/>
              </c:ext>
            </c:extLst>
          </c:dPt>
          <c:dPt>
            <c:idx val="5"/>
            <c:invertIfNegative val="0"/>
            <c:bubble3D val="0"/>
            <c:spPr>
              <a:solidFill>
                <a:srgbClr val="89C163"/>
              </a:solidFill>
              <a:ln>
                <a:noFill/>
              </a:ln>
              <a:effectLst/>
            </c:spPr>
            <c:extLst>
              <c:ext xmlns:c16="http://schemas.microsoft.com/office/drawing/2014/chart" uri="{C3380CC4-5D6E-409C-BE32-E72D297353CC}">
                <c16:uniqueId val="{0000000B-9130-456A-9DF7-EFEF3510510A}"/>
              </c:ext>
            </c:extLst>
          </c:dPt>
          <c:dPt>
            <c:idx val="6"/>
            <c:invertIfNegative val="0"/>
            <c:bubble3D val="0"/>
            <c:spPr>
              <a:solidFill>
                <a:srgbClr val="9ECB7F"/>
              </a:solidFill>
              <a:ln>
                <a:noFill/>
              </a:ln>
              <a:effectLst/>
            </c:spPr>
            <c:extLst>
              <c:ext xmlns:c16="http://schemas.microsoft.com/office/drawing/2014/chart" uri="{C3380CC4-5D6E-409C-BE32-E72D297353CC}">
                <c16:uniqueId val="{0000000C-9130-456A-9DF7-EFEF3510510A}"/>
              </c:ext>
            </c:extLst>
          </c:dPt>
          <c:dPt>
            <c:idx val="7"/>
            <c:invertIfNegative val="0"/>
            <c:bubble3D val="0"/>
            <c:spPr>
              <a:solidFill>
                <a:srgbClr val="CBE3BB"/>
              </a:solidFill>
              <a:ln>
                <a:noFill/>
              </a:ln>
              <a:effectLst/>
            </c:spPr>
            <c:extLst>
              <c:ext xmlns:c16="http://schemas.microsoft.com/office/drawing/2014/chart" uri="{C3380CC4-5D6E-409C-BE32-E72D297353CC}">
                <c16:uniqueId val="{0000000D-9130-456A-9DF7-EFEF3510510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Salespersons'!$A$4:$A$12</c:f>
              <c:strCache>
                <c:ptCount val="8"/>
                <c:pt idx="0">
                  <c:v>Nancy Freehafer</c:v>
                </c:pt>
                <c:pt idx="1">
                  <c:v>Anne Larsen</c:v>
                </c:pt>
                <c:pt idx="2">
                  <c:v>Andrew Cencini</c:v>
                </c:pt>
                <c:pt idx="3">
                  <c:v>Mariya Sergienko</c:v>
                </c:pt>
                <c:pt idx="4">
                  <c:v>Laura Giussani</c:v>
                </c:pt>
                <c:pt idx="5">
                  <c:v>Michael Neipper</c:v>
                </c:pt>
                <c:pt idx="6">
                  <c:v>Robert Zare</c:v>
                </c:pt>
                <c:pt idx="7">
                  <c:v>Jan Kotas</c:v>
                </c:pt>
              </c:strCache>
            </c:strRef>
          </c:cat>
          <c:val>
            <c:numRef>
              <c:f>'Sales By Salespersons'!$B$4:$B$12</c:f>
              <c:numCache>
                <c:formatCode>[$$-409]#,##0.00</c:formatCode>
                <c:ptCount val="8"/>
                <c:pt idx="0">
                  <c:v>104252.33999999997</c:v>
                </c:pt>
                <c:pt idx="1">
                  <c:v>93858.329999999987</c:v>
                </c:pt>
                <c:pt idx="2">
                  <c:v>67180.5</c:v>
                </c:pt>
                <c:pt idx="3">
                  <c:v>42370.880000000005</c:v>
                </c:pt>
                <c:pt idx="4">
                  <c:v>41095.01</c:v>
                </c:pt>
                <c:pt idx="5">
                  <c:v>37428</c:v>
                </c:pt>
                <c:pt idx="6">
                  <c:v>32530.6</c:v>
                </c:pt>
                <c:pt idx="7">
                  <c:v>16350.5</c:v>
                </c:pt>
              </c:numCache>
            </c:numRef>
          </c:val>
          <c:extLst>
            <c:ext xmlns:c16="http://schemas.microsoft.com/office/drawing/2014/chart" uri="{C3380CC4-5D6E-409C-BE32-E72D297353CC}">
              <c16:uniqueId val="{00000008-9130-456A-9DF7-EFEF3510510A}"/>
            </c:ext>
          </c:extLst>
        </c:ser>
        <c:dLbls>
          <c:showLegendKey val="0"/>
          <c:showVal val="0"/>
          <c:showCatName val="0"/>
          <c:showSerName val="0"/>
          <c:showPercent val="0"/>
          <c:showBubbleSize val="0"/>
        </c:dLbls>
        <c:gapWidth val="22"/>
        <c:axId val="45178143"/>
        <c:axId val="1903841199"/>
      </c:barChart>
      <c:valAx>
        <c:axId val="1903841199"/>
        <c:scaling>
          <c:orientation val="minMax"/>
        </c:scaling>
        <c:delete val="1"/>
        <c:axPos val="t"/>
        <c:majorGridlines>
          <c:spPr>
            <a:ln w="9525" cap="flat" cmpd="sng" algn="ctr">
              <a:solidFill>
                <a:schemeClr val="tx1">
                  <a:lumMod val="15000"/>
                  <a:lumOff val="85000"/>
                </a:schemeClr>
              </a:solidFill>
              <a:round/>
            </a:ln>
            <a:effectLst/>
          </c:spPr>
        </c:majorGridlines>
        <c:numFmt formatCode="[$$-409]#,##0.00" sourceLinked="1"/>
        <c:majorTickMark val="out"/>
        <c:minorTickMark val="none"/>
        <c:tickLblPos val="nextTo"/>
        <c:crossAx val="45178143"/>
        <c:crosses val="autoZero"/>
        <c:crossBetween val="between"/>
      </c:valAx>
      <c:catAx>
        <c:axId val="4517814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0384119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50800" dir="5400000" algn="ctr" rotWithShape="0">
        <a:srgbClr val="538034">
          <a:alpha val="50000"/>
        </a:srgb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Dashboard Completion &amp; Recommendations Board.xlsx]Top 10 Customers!PivotTable1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Top</a:t>
            </a:r>
            <a:r>
              <a:rPr lang="en-US" b="1" baseline="0">
                <a:solidFill>
                  <a:schemeClr val="accent6">
                    <a:lumMod val="50000"/>
                  </a:schemeClr>
                </a:solidFill>
              </a:rPr>
              <a:t> 10 Customers</a:t>
            </a:r>
            <a:endParaRPr lang="en-US" b="1">
              <a:solidFill>
                <a:schemeClr val="accent6">
                  <a:lumMod val="50000"/>
                </a:schemeClr>
              </a:solidFill>
            </a:endParaRPr>
          </a:p>
        </c:rich>
      </c:tx>
      <c:layout>
        <c:manualLayout>
          <c:xMode val="edge"/>
          <c:yMode val="edge"/>
          <c:x val="6.2028033415038849E-3"/>
          <c:y val="3.650792236288472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rgbClr val="4D7830"/>
          </a:solidFill>
          <a:ln>
            <a:noFill/>
          </a:ln>
          <a:effectLst/>
        </c:spPr>
      </c:pivotFmt>
      <c:pivotFmt>
        <c:idx val="3"/>
        <c:spPr>
          <a:solidFill>
            <a:srgbClr val="68A141"/>
          </a:solidFill>
          <a:ln>
            <a:noFill/>
          </a:ln>
          <a:effectLst/>
        </c:spPr>
      </c:pivotFmt>
      <c:pivotFmt>
        <c:idx val="4"/>
        <c:spPr>
          <a:solidFill>
            <a:srgbClr val="85BE5E"/>
          </a:solidFill>
          <a:ln>
            <a:noFill/>
          </a:ln>
          <a:effectLst/>
        </c:spPr>
      </c:pivotFmt>
      <c:pivotFmt>
        <c:idx val="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pivotFmt>
      <c:pivotFmt>
        <c:idx val="7"/>
        <c:spPr>
          <a:solidFill>
            <a:srgbClr val="4D7830"/>
          </a:solidFill>
          <a:ln>
            <a:noFill/>
          </a:ln>
          <a:effectLst/>
        </c:spPr>
      </c:pivotFmt>
      <c:pivotFmt>
        <c:idx val="8"/>
        <c:spPr>
          <a:solidFill>
            <a:srgbClr val="68A141"/>
          </a:solidFill>
          <a:ln>
            <a:noFill/>
          </a:ln>
          <a:effectLst/>
        </c:spPr>
      </c:pivotFmt>
      <c:pivotFmt>
        <c:idx val="9"/>
        <c:spPr>
          <a:solidFill>
            <a:srgbClr val="85BE5E"/>
          </a:solidFill>
          <a:ln>
            <a:noFill/>
          </a:ln>
          <a:effectLst/>
        </c:spPr>
      </c:pivotFmt>
      <c:pivotFmt>
        <c:idx val="10"/>
        <c:spPr>
          <a:solidFill>
            <a:schemeClr val="accent6">
              <a:lumMod val="75000"/>
            </a:schemeClr>
          </a:solidFill>
          <a:ln>
            <a:noFill/>
          </a:ln>
          <a:effectLst/>
        </c:spPr>
      </c:pivotFmt>
      <c:pivotFmt>
        <c:idx val="11"/>
        <c:spPr>
          <a:solidFill>
            <a:srgbClr val="68A141"/>
          </a:solidFill>
          <a:ln>
            <a:noFill/>
          </a:ln>
          <a:effectLst/>
        </c:spPr>
      </c:pivotFmt>
      <c:pivotFmt>
        <c:idx val="12"/>
        <c:spPr>
          <a:solidFill>
            <a:srgbClr val="85BE5E"/>
          </a:solidFill>
          <a:ln>
            <a:noFill/>
          </a:ln>
          <a:effectLst/>
        </c:spPr>
      </c:pivotFmt>
      <c:pivotFmt>
        <c:idx val="13"/>
        <c:spPr>
          <a:solidFill>
            <a:srgbClr val="80BC58"/>
          </a:solidFill>
          <a:ln>
            <a:noFill/>
          </a:ln>
          <a:effectLst/>
        </c:spPr>
      </c:pivotFmt>
      <c:pivotFmt>
        <c:idx val="14"/>
        <c:spPr>
          <a:solidFill>
            <a:schemeClr val="accent6">
              <a:lumMod val="50000"/>
            </a:schemeClr>
          </a:solidFill>
          <a:ln>
            <a:noFill/>
          </a:ln>
          <a:effectLst/>
        </c:spPr>
      </c:pivotFmt>
      <c:pivotFmt>
        <c:idx val="15"/>
        <c:spPr>
          <a:solidFill>
            <a:srgbClr val="89C163"/>
          </a:solidFill>
          <a:ln>
            <a:noFill/>
          </a:ln>
          <a:effectLst/>
        </c:spPr>
      </c:pivotFmt>
      <c:pivotFmt>
        <c:idx val="16"/>
        <c:spPr>
          <a:solidFill>
            <a:srgbClr val="9ECB7F"/>
          </a:solidFill>
          <a:ln>
            <a:noFill/>
          </a:ln>
          <a:effectLst/>
        </c:spPr>
      </c:pivotFmt>
      <c:pivotFmt>
        <c:idx val="17"/>
        <c:spPr>
          <a:solidFill>
            <a:srgbClr val="CBE3BB"/>
          </a:solidFill>
          <a:ln>
            <a:noFill/>
          </a:ln>
          <a:effectLst/>
        </c:spPr>
      </c:pivotFmt>
      <c:pivotFmt>
        <c:idx val="18"/>
        <c:spPr>
          <a:solidFill>
            <a:srgbClr val="43682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lumMod val="75000"/>
            </a:schemeClr>
          </a:solidFill>
          <a:ln>
            <a:noFill/>
          </a:ln>
          <a:effectLst/>
        </c:spPr>
      </c:pivotFmt>
      <c:pivotFmt>
        <c:idx val="20"/>
        <c:spPr>
          <a:solidFill>
            <a:srgbClr val="68A141"/>
          </a:solidFill>
          <a:ln>
            <a:noFill/>
          </a:ln>
          <a:effectLst/>
        </c:spPr>
      </c:pivotFmt>
      <c:pivotFmt>
        <c:idx val="21"/>
        <c:spPr>
          <a:solidFill>
            <a:srgbClr val="85BE5E"/>
          </a:solidFill>
          <a:ln>
            <a:noFill/>
          </a:ln>
          <a:effectLst/>
        </c:spPr>
      </c:pivotFmt>
      <c:pivotFmt>
        <c:idx val="22"/>
        <c:spPr>
          <a:solidFill>
            <a:srgbClr val="80BC58"/>
          </a:solidFill>
          <a:ln>
            <a:noFill/>
          </a:ln>
          <a:effectLst/>
        </c:spPr>
      </c:pivotFmt>
      <c:pivotFmt>
        <c:idx val="23"/>
        <c:spPr>
          <a:solidFill>
            <a:srgbClr val="89C163"/>
          </a:solidFill>
          <a:ln>
            <a:noFill/>
          </a:ln>
          <a:effectLst/>
        </c:spPr>
      </c:pivotFmt>
      <c:pivotFmt>
        <c:idx val="24"/>
        <c:spPr>
          <a:solidFill>
            <a:srgbClr val="9ECB7F"/>
          </a:solidFill>
          <a:ln>
            <a:noFill/>
          </a:ln>
          <a:effectLst/>
        </c:spPr>
      </c:pivotFmt>
      <c:pivotFmt>
        <c:idx val="25"/>
        <c:spPr>
          <a:solidFill>
            <a:srgbClr val="CBE3BB"/>
          </a:solidFill>
          <a:ln>
            <a:noFill/>
          </a:ln>
          <a:effectLst/>
        </c:spPr>
      </c:pivotFmt>
      <c:pivotFmt>
        <c:idx val="26"/>
        <c:spPr>
          <a:solidFill>
            <a:srgbClr val="43682A"/>
          </a:solidFill>
          <a:ln>
            <a:noFill/>
          </a:ln>
          <a:effectLst/>
        </c:spPr>
      </c:pivotFmt>
      <c:pivotFmt>
        <c:idx val="27"/>
        <c:spPr>
          <a:solidFill>
            <a:srgbClr val="4B752F"/>
          </a:solidFill>
          <a:ln>
            <a:noFill/>
          </a:ln>
          <a:effectLst/>
        </c:spPr>
      </c:pivotFmt>
      <c:pivotFmt>
        <c:idx val="28"/>
        <c:spPr>
          <a:solidFill>
            <a:srgbClr val="558335"/>
          </a:solidFill>
          <a:ln>
            <a:noFill/>
          </a:ln>
          <a:effectLst/>
        </c:spPr>
      </c:pivotFmt>
      <c:pivotFmt>
        <c:idx val="29"/>
        <c:spPr>
          <a:solidFill>
            <a:srgbClr val="60943C"/>
          </a:solidFill>
          <a:ln>
            <a:noFill/>
          </a:ln>
          <a:effectLst/>
        </c:spPr>
      </c:pivotFmt>
      <c:pivotFmt>
        <c:idx val="30"/>
        <c:spPr>
          <a:solidFill>
            <a:srgbClr val="6DA945"/>
          </a:solidFill>
          <a:ln>
            <a:noFill/>
          </a:ln>
          <a:effectLst/>
        </c:spPr>
      </c:pivotFmt>
      <c:pivotFmt>
        <c:idx val="31"/>
        <c:spPr>
          <a:solidFill>
            <a:srgbClr val="7AB850"/>
          </a:solidFill>
          <a:ln>
            <a:noFill/>
          </a:ln>
          <a:effectLst/>
        </c:spPr>
      </c:pivotFmt>
      <c:pivotFmt>
        <c:idx val="32"/>
        <c:spPr>
          <a:solidFill>
            <a:srgbClr val="85BE5E"/>
          </a:solidFill>
          <a:ln>
            <a:noFill/>
          </a:ln>
          <a:effectLst/>
        </c:spPr>
      </c:pivotFmt>
      <c:pivotFmt>
        <c:idx val="33"/>
        <c:spPr>
          <a:solidFill>
            <a:srgbClr val="8FC36B"/>
          </a:solidFill>
          <a:ln>
            <a:noFill/>
          </a:ln>
          <a:effectLst/>
        </c:spPr>
      </c:pivotFmt>
      <c:pivotFmt>
        <c:idx val="34"/>
        <c:spPr>
          <a:solidFill>
            <a:srgbClr val="B6DBA5"/>
          </a:solidFill>
          <a:ln>
            <a:noFill/>
          </a:ln>
          <a:effectLst/>
        </c:spPr>
      </c:pivotFmt>
      <c:pivotFmt>
        <c:idx val="35"/>
        <c:spPr>
          <a:solidFill>
            <a:srgbClr val="C7E1B5"/>
          </a:solidFill>
          <a:ln>
            <a:noFill/>
          </a:ln>
          <a:effectLst/>
        </c:spPr>
      </c:pivotFmt>
    </c:pivotFmts>
    <c:plotArea>
      <c:layout/>
      <c:barChart>
        <c:barDir val="col"/>
        <c:grouping val="clustered"/>
        <c:varyColors val="0"/>
        <c:ser>
          <c:idx val="0"/>
          <c:order val="0"/>
          <c:tx>
            <c:strRef>
              <c:f>'Top 10 Customers'!$B$3</c:f>
              <c:strCache>
                <c:ptCount val="1"/>
                <c:pt idx="0">
                  <c:v>Total</c:v>
                </c:pt>
              </c:strCache>
            </c:strRef>
          </c:tx>
          <c:spPr>
            <a:solidFill>
              <a:srgbClr val="43682A"/>
            </a:solidFill>
            <a:ln>
              <a:noFill/>
            </a:ln>
            <a:effectLst/>
          </c:spPr>
          <c:invertIfNegative val="0"/>
          <c:dPt>
            <c:idx val="1"/>
            <c:invertIfNegative val="0"/>
            <c:bubble3D val="0"/>
            <c:spPr>
              <a:solidFill>
                <a:srgbClr val="4B752F"/>
              </a:solidFill>
              <a:ln>
                <a:noFill/>
              </a:ln>
              <a:effectLst/>
            </c:spPr>
            <c:extLst>
              <c:ext xmlns:c16="http://schemas.microsoft.com/office/drawing/2014/chart" uri="{C3380CC4-5D6E-409C-BE32-E72D297353CC}">
                <c16:uniqueId val="{00000001-CC7C-421C-B5FE-BEABC983312B}"/>
              </c:ext>
            </c:extLst>
          </c:dPt>
          <c:dPt>
            <c:idx val="2"/>
            <c:invertIfNegative val="0"/>
            <c:bubble3D val="0"/>
            <c:spPr>
              <a:solidFill>
                <a:srgbClr val="558335"/>
              </a:solidFill>
              <a:ln>
                <a:noFill/>
              </a:ln>
              <a:effectLst/>
            </c:spPr>
            <c:extLst>
              <c:ext xmlns:c16="http://schemas.microsoft.com/office/drawing/2014/chart" uri="{C3380CC4-5D6E-409C-BE32-E72D297353CC}">
                <c16:uniqueId val="{00000003-CC7C-421C-B5FE-BEABC983312B}"/>
              </c:ext>
            </c:extLst>
          </c:dPt>
          <c:dPt>
            <c:idx val="3"/>
            <c:invertIfNegative val="0"/>
            <c:bubble3D val="0"/>
            <c:spPr>
              <a:solidFill>
                <a:srgbClr val="60943C"/>
              </a:solidFill>
              <a:ln>
                <a:noFill/>
              </a:ln>
              <a:effectLst/>
            </c:spPr>
            <c:extLst>
              <c:ext xmlns:c16="http://schemas.microsoft.com/office/drawing/2014/chart" uri="{C3380CC4-5D6E-409C-BE32-E72D297353CC}">
                <c16:uniqueId val="{00000005-CC7C-421C-B5FE-BEABC983312B}"/>
              </c:ext>
            </c:extLst>
          </c:dPt>
          <c:dPt>
            <c:idx val="4"/>
            <c:invertIfNegative val="0"/>
            <c:bubble3D val="0"/>
            <c:spPr>
              <a:solidFill>
                <a:srgbClr val="6DA945"/>
              </a:solidFill>
              <a:ln>
                <a:noFill/>
              </a:ln>
              <a:effectLst/>
            </c:spPr>
            <c:extLst>
              <c:ext xmlns:c16="http://schemas.microsoft.com/office/drawing/2014/chart" uri="{C3380CC4-5D6E-409C-BE32-E72D297353CC}">
                <c16:uniqueId val="{00000007-CC7C-421C-B5FE-BEABC983312B}"/>
              </c:ext>
            </c:extLst>
          </c:dPt>
          <c:dPt>
            <c:idx val="5"/>
            <c:invertIfNegative val="0"/>
            <c:bubble3D val="0"/>
            <c:spPr>
              <a:solidFill>
                <a:srgbClr val="7AB850"/>
              </a:solidFill>
              <a:ln>
                <a:noFill/>
              </a:ln>
              <a:effectLst/>
            </c:spPr>
            <c:extLst>
              <c:ext xmlns:c16="http://schemas.microsoft.com/office/drawing/2014/chart" uri="{C3380CC4-5D6E-409C-BE32-E72D297353CC}">
                <c16:uniqueId val="{00000009-CC7C-421C-B5FE-BEABC983312B}"/>
              </c:ext>
            </c:extLst>
          </c:dPt>
          <c:dPt>
            <c:idx val="6"/>
            <c:invertIfNegative val="0"/>
            <c:bubble3D val="0"/>
            <c:spPr>
              <a:solidFill>
                <a:srgbClr val="85BE5E"/>
              </a:solidFill>
              <a:ln>
                <a:noFill/>
              </a:ln>
              <a:effectLst/>
            </c:spPr>
            <c:extLst>
              <c:ext xmlns:c16="http://schemas.microsoft.com/office/drawing/2014/chart" uri="{C3380CC4-5D6E-409C-BE32-E72D297353CC}">
                <c16:uniqueId val="{0000000B-CC7C-421C-B5FE-BEABC983312B}"/>
              </c:ext>
            </c:extLst>
          </c:dPt>
          <c:dPt>
            <c:idx val="7"/>
            <c:invertIfNegative val="0"/>
            <c:bubble3D val="0"/>
            <c:spPr>
              <a:solidFill>
                <a:srgbClr val="8FC36B"/>
              </a:solidFill>
              <a:ln>
                <a:noFill/>
              </a:ln>
              <a:effectLst/>
            </c:spPr>
            <c:extLst>
              <c:ext xmlns:c16="http://schemas.microsoft.com/office/drawing/2014/chart" uri="{C3380CC4-5D6E-409C-BE32-E72D297353CC}">
                <c16:uniqueId val="{0000000D-CC7C-421C-B5FE-BEABC983312B}"/>
              </c:ext>
            </c:extLst>
          </c:dPt>
          <c:dPt>
            <c:idx val="8"/>
            <c:invertIfNegative val="0"/>
            <c:bubble3D val="0"/>
            <c:spPr>
              <a:solidFill>
                <a:srgbClr val="B6DBA5"/>
              </a:solidFill>
              <a:ln>
                <a:noFill/>
              </a:ln>
              <a:effectLst/>
            </c:spPr>
            <c:extLst>
              <c:ext xmlns:c16="http://schemas.microsoft.com/office/drawing/2014/chart" uri="{C3380CC4-5D6E-409C-BE32-E72D297353CC}">
                <c16:uniqueId val="{00000011-CC7C-421C-B5FE-BEABC983312B}"/>
              </c:ext>
            </c:extLst>
          </c:dPt>
          <c:dPt>
            <c:idx val="9"/>
            <c:invertIfNegative val="0"/>
            <c:bubble3D val="0"/>
            <c:spPr>
              <a:solidFill>
                <a:srgbClr val="C7E1B5"/>
              </a:solidFill>
              <a:ln>
                <a:noFill/>
              </a:ln>
              <a:effectLst/>
            </c:spPr>
            <c:extLst>
              <c:ext xmlns:c16="http://schemas.microsoft.com/office/drawing/2014/chart" uri="{C3380CC4-5D6E-409C-BE32-E72D297353CC}">
                <c16:uniqueId val="{00000012-CC7C-421C-B5FE-BEABC983312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'Top 10 Customers'!$A$4:$A$14</c:f>
              <c:strCache>
                <c:ptCount val="10"/>
                <c:pt idx="0">
                  <c:v>Company D</c:v>
                </c:pt>
                <c:pt idx="1">
                  <c:v>Company H</c:v>
                </c:pt>
                <c:pt idx="2">
                  <c:v>Company BB</c:v>
                </c:pt>
                <c:pt idx="3">
                  <c:v>Company F</c:v>
                </c:pt>
                <c:pt idx="4">
                  <c:v>Company A</c:v>
                </c:pt>
                <c:pt idx="5">
                  <c:v>Company I</c:v>
                </c:pt>
                <c:pt idx="6">
                  <c:v>Company J</c:v>
                </c:pt>
                <c:pt idx="7">
                  <c:v>Company Z</c:v>
                </c:pt>
                <c:pt idx="8">
                  <c:v>Company C</c:v>
                </c:pt>
                <c:pt idx="9">
                  <c:v>Company K</c:v>
                </c:pt>
              </c:strCache>
            </c:strRef>
          </c:cat>
          <c:val>
            <c:numRef>
              <c:f>'Top 10 Customers'!$B$4:$B$14</c:f>
              <c:numCache>
                <c:formatCode>[$$-409]#,##0.00</c:formatCode>
                <c:ptCount val="10"/>
                <c:pt idx="0">
                  <c:v>67180.5</c:v>
                </c:pt>
                <c:pt idx="1">
                  <c:v>50208.35</c:v>
                </c:pt>
                <c:pt idx="2">
                  <c:v>43713</c:v>
                </c:pt>
                <c:pt idx="3">
                  <c:v>37428</c:v>
                </c:pt>
                <c:pt idx="4">
                  <c:v>36839.990000000005</c:v>
                </c:pt>
                <c:pt idx="5">
                  <c:v>32530.6</c:v>
                </c:pt>
                <c:pt idx="6">
                  <c:v>29133.009999999995</c:v>
                </c:pt>
                <c:pt idx="7">
                  <c:v>28208.250000000007</c:v>
                </c:pt>
                <c:pt idx="8">
                  <c:v>27005.38</c:v>
                </c:pt>
                <c:pt idx="9">
                  <c:v>21937.08</c:v>
                </c:pt>
              </c:numCache>
            </c:numRef>
          </c:val>
          <c:extLst>
            <c:ext xmlns:c16="http://schemas.microsoft.com/office/drawing/2014/chart" uri="{C3380CC4-5D6E-409C-BE32-E72D297353CC}">
              <c16:uniqueId val="{0000000E-CC7C-421C-B5FE-BEABC983312B}"/>
            </c:ext>
          </c:extLst>
        </c:ser>
        <c:dLbls>
          <c:showLegendKey val="0"/>
          <c:showVal val="0"/>
          <c:showCatName val="0"/>
          <c:showSerName val="0"/>
          <c:showPercent val="0"/>
          <c:showBubbleSize val="0"/>
        </c:dLbls>
        <c:gapWidth val="22"/>
        <c:axId val="45178143"/>
        <c:axId val="1903841199"/>
      </c:barChart>
      <c:valAx>
        <c:axId val="1903841199"/>
        <c:scaling>
          <c:orientation val="minMax"/>
        </c:scaling>
        <c:delete val="1"/>
        <c:axPos val="l"/>
        <c:majorGridlines>
          <c:spPr>
            <a:ln w="9525" cap="flat" cmpd="sng" algn="ctr">
              <a:solidFill>
                <a:schemeClr val="tx1">
                  <a:lumMod val="15000"/>
                  <a:lumOff val="85000"/>
                </a:schemeClr>
              </a:solidFill>
              <a:round/>
            </a:ln>
            <a:effectLst/>
          </c:spPr>
        </c:majorGridlines>
        <c:numFmt formatCode="[$$-409]#,##0.00" sourceLinked="1"/>
        <c:majorTickMark val="out"/>
        <c:minorTickMark val="none"/>
        <c:tickLblPos val="nextTo"/>
        <c:crossAx val="45178143"/>
        <c:crosses val="autoZero"/>
        <c:crossBetween val="between"/>
      </c:valAx>
      <c:catAx>
        <c:axId val="451781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0384119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50800" dir="5400000" algn="ctr" rotWithShape="0">
        <a:srgbClr val="538034">
          <a:alpha val="50000"/>
        </a:srgb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Dashboard Completion &amp; Recommendations Board.xlsx]Sales Trend!PivotTable1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Sales Trend</a:t>
            </a:r>
          </a:p>
        </c:rich>
      </c:tx>
      <c:layout>
        <c:manualLayout>
          <c:xMode val="edge"/>
          <c:yMode val="edge"/>
          <c:x val="6.2028033415038849E-3"/>
          <c:y val="3.6507922362884722E-3"/>
        </c:manualLayout>
      </c:layout>
      <c:overlay val="0"/>
      <c:spPr>
        <a:noFill/>
        <a:ln>
          <a:noFill/>
        </a:ln>
        <a:effectLst/>
      </c:sp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rgbClr val="4D7830"/>
          </a:solidFill>
          <a:ln>
            <a:noFill/>
          </a:ln>
          <a:effectLst/>
        </c:spPr>
      </c:pivotFmt>
      <c:pivotFmt>
        <c:idx val="3"/>
        <c:spPr>
          <a:solidFill>
            <a:srgbClr val="68A141"/>
          </a:solidFill>
          <a:ln>
            <a:noFill/>
          </a:ln>
          <a:effectLst/>
        </c:spPr>
      </c:pivotFmt>
      <c:pivotFmt>
        <c:idx val="4"/>
        <c:spPr>
          <a:solidFill>
            <a:srgbClr val="85BE5E"/>
          </a:solidFill>
          <a:ln>
            <a:noFill/>
          </a:ln>
          <a:effectLst/>
        </c:spPr>
      </c:pivotFmt>
      <c:pivotFmt>
        <c:idx val="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pivotFmt>
      <c:pivotFmt>
        <c:idx val="7"/>
        <c:spPr>
          <a:solidFill>
            <a:srgbClr val="4D7830"/>
          </a:solidFill>
          <a:ln>
            <a:noFill/>
          </a:ln>
          <a:effectLst/>
        </c:spPr>
      </c:pivotFmt>
      <c:pivotFmt>
        <c:idx val="8"/>
        <c:spPr>
          <a:solidFill>
            <a:srgbClr val="68A141"/>
          </a:solidFill>
          <a:ln>
            <a:noFill/>
          </a:ln>
          <a:effectLst/>
        </c:spPr>
      </c:pivotFmt>
      <c:pivotFmt>
        <c:idx val="9"/>
        <c:spPr>
          <a:solidFill>
            <a:srgbClr val="85BE5E"/>
          </a:solidFill>
          <a:ln>
            <a:noFill/>
          </a:ln>
          <a:effectLst/>
        </c:spPr>
      </c:pivotFmt>
      <c:pivotFmt>
        <c:idx val="10"/>
        <c:spPr>
          <a:solidFill>
            <a:schemeClr val="accent6">
              <a:lumMod val="75000"/>
            </a:schemeClr>
          </a:solidFill>
          <a:ln>
            <a:noFill/>
          </a:ln>
          <a:effectLst/>
        </c:spPr>
      </c:pivotFmt>
      <c:pivotFmt>
        <c:idx val="11"/>
        <c:spPr>
          <a:solidFill>
            <a:srgbClr val="68A141"/>
          </a:solidFill>
          <a:ln>
            <a:noFill/>
          </a:ln>
          <a:effectLst/>
        </c:spPr>
      </c:pivotFmt>
      <c:pivotFmt>
        <c:idx val="12"/>
        <c:spPr>
          <a:solidFill>
            <a:srgbClr val="85BE5E"/>
          </a:solidFill>
          <a:ln>
            <a:noFill/>
          </a:ln>
          <a:effectLst/>
        </c:spPr>
      </c:pivotFmt>
      <c:pivotFmt>
        <c:idx val="13"/>
        <c:spPr>
          <a:solidFill>
            <a:srgbClr val="80BC58"/>
          </a:solidFill>
          <a:ln>
            <a:noFill/>
          </a:ln>
          <a:effectLst/>
        </c:spPr>
      </c:pivotFmt>
      <c:pivotFmt>
        <c:idx val="14"/>
        <c:spPr>
          <a:solidFill>
            <a:schemeClr val="accent6">
              <a:lumMod val="50000"/>
            </a:schemeClr>
          </a:solidFill>
          <a:ln>
            <a:noFill/>
          </a:ln>
          <a:effectLst/>
        </c:spPr>
      </c:pivotFmt>
      <c:pivotFmt>
        <c:idx val="15"/>
        <c:spPr>
          <a:solidFill>
            <a:srgbClr val="89C163"/>
          </a:solidFill>
          <a:ln>
            <a:noFill/>
          </a:ln>
          <a:effectLst/>
        </c:spPr>
      </c:pivotFmt>
      <c:pivotFmt>
        <c:idx val="16"/>
        <c:spPr>
          <a:solidFill>
            <a:srgbClr val="9ECB7F"/>
          </a:solidFill>
          <a:ln>
            <a:noFill/>
          </a:ln>
          <a:effectLst/>
        </c:spPr>
      </c:pivotFmt>
      <c:pivotFmt>
        <c:idx val="17"/>
        <c:spPr>
          <a:solidFill>
            <a:srgbClr val="CBE3BB"/>
          </a:solidFill>
          <a:ln>
            <a:noFill/>
          </a:ln>
          <a:effectLst/>
        </c:spPr>
      </c:pivotFmt>
      <c:pivotFmt>
        <c:idx val="18"/>
        <c:spPr>
          <a:solidFill>
            <a:srgbClr val="43682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lumMod val="75000"/>
            </a:schemeClr>
          </a:solidFill>
          <a:ln>
            <a:noFill/>
          </a:ln>
          <a:effectLst/>
        </c:spPr>
      </c:pivotFmt>
      <c:pivotFmt>
        <c:idx val="20"/>
        <c:spPr>
          <a:solidFill>
            <a:srgbClr val="68A141"/>
          </a:solidFill>
          <a:ln>
            <a:noFill/>
          </a:ln>
          <a:effectLst/>
        </c:spPr>
      </c:pivotFmt>
      <c:pivotFmt>
        <c:idx val="21"/>
        <c:spPr>
          <a:solidFill>
            <a:srgbClr val="85BE5E"/>
          </a:solidFill>
          <a:ln>
            <a:noFill/>
          </a:ln>
          <a:effectLst/>
        </c:spPr>
      </c:pivotFmt>
      <c:pivotFmt>
        <c:idx val="22"/>
        <c:spPr>
          <a:solidFill>
            <a:srgbClr val="80BC58"/>
          </a:solidFill>
          <a:ln>
            <a:noFill/>
          </a:ln>
          <a:effectLst/>
        </c:spPr>
      </c:pivotFmt>
      <c:pivotFmt>
        <c:idx val="23"/>
        <c:spPr>
          <a:solidFill>
            <a:srgbClr val="89C163"/>
          </a:solidFill>
          <a:ln>
            <a:noFill/>
          </a:ln>
          <a:effectLst/>
        </c:spPr>
      </c:pivotFmt>
      <c:pivotFmt>
        <c:idx val="24"/>
        <c:spPr>
          <a:solidFill>
            <a:srgbClr val="9ECB7F"/>
          </a:solidFill>
          <a:ln>
            <a:noFill/>
          </a:ln>
          <a:effectLst/>
        </c:spPr>
      </c:pivotFmt>
      <c:pivotFmt>
        <c:idx val="25"/>
        <c:spPr>
          <a:solidFill>
            <a:srgbClr val="CBE3BB"/>
          </a:solidFill>
          <a:ln>
            <a:noFill/>
          </a:ln>
          <a:effectLst/>
        </c:spPr>
      </c:pivotFmt>
      <c:pivotFmt>
        <c:idx val="26"/>
        <c:spPr>
          <a:solidFill>
            <a:srgbClr val="43682A"/>
          </a:solidFill>
          <a:ln>
            <a:noFill/>
          </a:ln>
          <a:effectLst/>
        </c:spPr>
      </c:pivotFmt>
      <c:pivotFmt>
        <c:idx val="27"/>
        <c:spPr>
          <a:solidFill>
            <a:srgbClr val="4B752F"/>
          </a:solidFill>
          <a:ln>
            <a:noFill/>
          </a:ln>
          <a:effectLst/>
        </c:spPr>
      </c:pivotFmt>
      <c:pivotFmt>
        <c:idx val="28"/>
        <c:spPr>
          <a:solidFill>
            <a:srgbClr val="558335"/>
          </a:solidFill>
          <a:ln>
            <a:noFill/>
          </a:ln>
          <a:effectLst/>
        </c:spPr>
      </c:pivotFmt>
      <c:pivotFmt>
        <c:idx val="29"/>
        <c:spPr>
          <a:solidFill>
            <a:srgbClr val="60943C"/>
          </a:solidFill>
          <a:ln>
            <a:noFill/>
          </a:ln>
          <a:effectLst/>
        </c:spPr>
      </c:pivotFmt>
      <c:pivotFmt>
        <c:idx val="30"/>
        <c:spPr>
          <a:solidFill>
            <a:srgbClr val="6DA945"/>
          </a:solidFill>
          <a:ln>
            <a:noFill/>
          </a:ln>
          <a:effectLst/>
        </c:spPr>
      </c:pivotFmt>
      <c:pivotFmt>
        <c:idx val="31"/>
        <c:spPr>
          <a:solidFill>
            <a:srgbClr val="7AB850"/>
          </a:solidFill>
          <a:ln>
            <a:noFill/>
          </a:ln>
          <a:effectLst/>
        </c:spPr>
      </c:pivotFmt>
      <c:pivotFmt>
        <c:idx val="32"/>
        <c:spPr>
          <a:solidFill>
            <a:srgbClr val="85BE5E"/>
          </a:solidFill>
          <a:ln>
            <a:noFill/>
          </a:ln>
          <a:effectLst/>
        </c:spPr>
      </c:pivotFmt>
      <c:pivotFmt>
        <c:idx val="33"/>
        <c:spPr>
          <a:solidFill>
            <a:srgbClr val="8FC36B"/>
          </a:solidFill>
          <a:ln>
            <a:noFill/>
          </a:ln>
          <a:effectLst/>
        </c:spPr>
      </c:pivotFmt>
      <c:pivotFmt>
        <c:idx val="34"/>
        <c:spPr>
          <a:solidFill>
            <a:srgbClr val="B6DBA5"/>
          </a:solidFill>
          <a:ln>
            <a:noFill/>
          </a:ln>
          <a:effectLst/>
        </c:spPr>
      </c:pivotFmt>
      <c:pivotFmt>
        <c:idx val="35"/>
        <c:spPr>
          <a:solidFill>
            <a:srgbClr val="C7E1B5"/>
          </a:solidFill>
          <a:ln>
            <a:noFill/>
          </a:ln>
          <a:effectLst/>
        </c:spPr>
      </c:pivotFmt>
      <c:pivotFmt>
        <c:idx val="36"/>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4B752F"/>
          </a:solidFill>
          <a:ln>
            <a:noFill/>
          </a:ln>
          <a:effectLst/>
        </c:spPr>
      </c:pivotFmt>
      <c:pivotFmt>
        <c:idx val="38"/>
        <c:spPr>
          <a:solidFill>
            <a:srgbClr val="558335"/>
          </a:solidFill>
          <a:ln>
            <a:noFill/>
          </a:ln>
          <a:effectLst/>
        </c:spPr>
      </c:pivotFmt>
      <c:pivotFmt>
        <c:idx val="39"/>
        <c:spPr>
          <a:solidFill>
            <a:srgbClr val="60943C"/>
          </a:solidFill>
          <a:ln>
            <a:noFill/>
          </a:ln>
          <a:effectLst/>
        </c:spPr>
      </c:pivotFmt>
      <c:pivotFmt>
        <c:idx val="40"/>
        <c:spPr>
          <a:solidFill>
            <a:srgbClr val="6DA945"/>
          </a:solidFill>
          <a:ln>
            <a:noFill/>
          </a:ln>
          <a:effectLst/>
        </c:spPr>
      </c:pivotFmt>
      <c:pivotFmt>
        <c:idx val="41"/>
        <c:spPr>
          <a:solidFill>
            <a:srgbClr val="7AB850"/>
          </a:solidFill>
          <a:ln>
            <a:noFill/>
          </a:ln>
          <a:effectLst/>
        </c:spPr>
      </c:pivotFmt>
      <c:pivotFmt>
        <c:idx val="42"/>
        <c:spPr>
          <a:solidFill>
            <a:srgbClr val="85BE5E"/>
          </a:solidFill>
          <a:ln>
            <a:noFill/>
          </a:ln>
          <a:effectLst/>
        </c:spPr>
      </c:pivotFmt>
      <c:pivotFmt>
        <c:idx val="43"/>
        <c:spPr>
          <a:solidFill>
            <a:srgbClr val="8FC36B"/>
          </a:solidFill>
          <a:ln>
            <a:noFill/>
          </a:ln>
          <a:effectLst/>
        </c:spPr>
      </c:pivotFmt>
      <c:pivotFmt>
        <c:idx val="44"/>
        <c:spPr>
          <a:solidFill>
            <a:srgbClr val="B6DBA5"/>
          </a:solidFill>
          <a:ln>
            <a:noFill/>
          </a:ln>
          <a:effectLst/>
        </c:spPr>
      </c:pivotFmt>
      <c:pivotFmt>
        <c:idx val="45"/>
        <c:spPr>
          <a:solidFill>
            <a:srgbClr val="C7E1B5"/>
          </a:solidFill>
          <a:ln>
            <a:noFill/>
          </a:ln>
          <a:effectLst/>
        </c:spPr>
      </c:pivotFmt>
      <c:pivotFmt>
        <c:idx val="46"/>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47"/>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48"/>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49"/>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50"/>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51"/>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52"/>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53"/>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54"/>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55"/>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57"/>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58"/>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59"/>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60"/>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61"/>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62"/>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63"/>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64"/>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65"/>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6"/>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67"/>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68"/>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69"/>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70"/>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71"/>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72"/>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73"/>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74"/>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75"/>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s>
    <c:plotArea>
      <c:layout/>
      <c:lineChart>
        <c:grouping val="standard"/>
        <c:varyColors val="0"/>
        <c:ser>
          <c:idx val="0"/>
          <c:order val="0"/>
          <c:tx>
            <c:strRef>
              <c:f>'Sales Trend'!$B$3</c:f>
              <c:strCache>
                <c:ptCount val="1"/>
                <c:pt idx="0">
                  <c:v>Total</c:v>
                </c:pt>
              </c:strCache>
            </c:strRef>
          </c:tx>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dPt>
            <c:idx val="1"/>
            <c:bubble3D val="0"/>
            <c:extLst>
              <c:ext xmlns:c16="http://schemas.microsoft.com/office/drawing/2014/chart" uri="{C3380CC4-5D6E-409C-BE32-E72D297353CC}">
                <c16:uniqueId val="{00000015-9D84-413A-96F3-77E76ECDFFEE}"/>
              </c:ext>
            </c:extLst>
          </c:dPt>
          <c:dPt>
            <c:idx val="2"/>
            <c:bubble3D val="0"/>
            <c:extLst>
              <c:ext xmlns:c16="http://schemas.microsoft.com/office/drawing/2014/chart" uri="{C3380CC4-5D6E-409C-BE32-E72D297353CC}">
                <c16:uniqueId val="{00000017-9D84-413A-96F3-77E76ECDFFEE}"/>
              </c:ext>
            </c:extLst>
          </c:dPt>
          <c:dPt>
            <c:idx val="3"/>
            <c:bubble3D val="0"/>
            <c:extLst>
              <c:ext xmlns:c16="http://schemas.microsoft.com/office/drawing/2014/chart" uri="{C3380CC4-5D6E-409C-BE32-E72D297353CC}">
                <c16:uniqueId val="{00000019-9D84-413A-96F3-77E76ECDFFEE}"/>
              </c:ext>
            </c:extLst>
          </c:dPt>
          <c:dPt>
            <c:idx val="4"/>
            <c:bubble3D val="0"/>
            <c:extLst>
              <c:ext xmlns:c16="http://schemas.microsoft.com/office/drawing/2014/chart" uri="{C3380CC4-5D6E-409C-BE32-E72D297353CC}">
                <c16:uniqueId val="{0000001B-9D84-413A-96F3-77E76ECDFFEE}"/>
              </c:ext>
            </c:extLst>
          </c:dPt>
          <c:dPt>
            <c:idx val="5"/>
            <c:bubble3D val="0"/>
            <c:extLst>
              <c:ext xmlns:c16="http://schemas.microsoft.com/office/drawing/2014/chart" uri="{C3380CC4-5D6E-409C-BE32-E72D297353CC}">
                <c16:uniqueId val="{0000001D-9D84-413A-96F3-77E76ECDFFEE}"/>
              </c:ext>
            </c:extLst>
          </c:dPt>
          <c:dPt>
            <c:idx val="6"/>
            <c:bubble3D val="0"/>
            <c:extLst>
              <c:ext xmlns:c16="http://schemas.microsoft.com/office/drawing/2014/chart" uri="{C3380CC4-5D6E-409C-BE32-E72D297353CC}">
                <c16:uniqueId val="{0000001F-9D84-413A-96F3-77E76ECDFFEE}"/>
              </c:ext>
            </c:extLst>
          </c:dPt>
          <c:dPt>
            <c:idx val="7"/>
            <c:bubble3D val="0"/>
            <c:extLst>
              <c:ext xmlns:c16="http://schemas.microsoft.com/office/drawing/2014/chart" uri="{C3380CC4-5D6E-409C-BE32-E72D297353CC}">
                <c16:uniqueId val="{00000021-9D84-413A-96F3-77E76ECDFFEE}"/>
              </c:ext>
            </c:extLst>
          </c:dPt>
          <c:dPt>
            <c:idx val="8"/>
            <c:bubble3D val="0"/>
            <c:extLst>
              <c:ext xmlns:c16="http://schemas.microsoft.com/office/drawing/2014/chart" uri="{C3380CC4-5D6E-409C-BE32-E72D297353CC}">
                <c16:uniqueId val="{00000023-9D84-413A-96F3-77E76ECDFFEE}"/>
              </c:ext>
            </c:extLst>
          </c:dPt>
          <c:dPt>
            <c:idx val="9"/>
            <c:bubble3D val="0"/>
            <c:extLst>
              <c:ext xmlns:c16="http://schemas.microsoft.com/office/drawing/2014/chart" uri="{C3380CC4-5D6E-409C-BE32-E72D297353CC}">
                <c16:uniqueId val="{00000025-9D84-413A-96F3-77E76ECDFFE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'Sales Trend'!$A$4:$A$16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'Sales Trend'!$B$4:$B$16</c:f>
              <c:numCache>
                <c:formatCode>[$$-409]#,##0.00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27-9D84-413A-96F3-77E76ECDFFEE}"/>
            </c:ext>
          </c:extLst>
        </c:ser>
        <c:dLbls>
          <c:showLegendKey val="0"/>
          <c:showVal val="0"/>
          <c:showCatName val="0"/>
          <c:showSerName val="0"/>
          <c:showPercent val="0"/>
          <c:showBubbleSize val="0"/>
        </c:dLbls>
        <c:marker val="1"/>
        <c:smooth val="0"/>
        <c:axId val="45178143"/>
        <c:axId val="1903841199"/>
      </c:lineChart>
      <c:valAx>
        <c:axId val="1903841199"/>
        <c:scaling>
          <c:orientation val="minMax"/>
        </c:scaling>
        <c:delete val="1"/>
        <c:axPos val="l"/>
        <c:majorGridlines>
          <c:spPr>
            <a:ln w="9525" cap="flat" cmpd="sng" algn="ctr">
              <a:solidFill>
                <a:schemeClr val="tx1">
                  <a:lumMod val="15000"/>
                  <a:lumOff val="85000"/>
                </a:schemeClr>
              </a:solidFill>
              <a:round/>
            </a:ln>
            <a:effectLst/>
          </c:spPr>
        </c:majorGridlines>
        <c:numFmt formatCode="[$$-409]#,##0.00" sourceLinked="1"/>
        <c:majorTickMark val="out"/>
        <c:minorTickMark val="none"/>
        <c:tickLblPos val="nextTo"/>
        <c:crossAx val="45178143"/>
        <c:crosses val="autoZero"/>
        <c:crossBetween val="between"/>
      </c:valAx>
      <c:catAx>
        <c:axId val="451781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03841199"/>
        <c:crosses val="autoZero"/>
        <c:auto val="1"/>
        <c:lblAlgn val="ctr"/>
        <c:lblOffset val="100"/>
        <c:noMultiLvlLbl val="0"/>
      </c:catAx>
    </c:plotArea>
    <c:plotVisOnly val="1"/>
    <c:dispBlanksAs val="gap"/>
    <c:showDLblsOverMax val="0"/>
    <c:extLst/>
  </c:chart>
  <c:spPr>
    <a:solidFill>
      <a:schemeClr val="bg1"/>
    </a:solidFill>
    <a:ln w="9525" cap="flat" cmpd="sng" algn="ctr">
      <a:solidFill>
        <a:schemeClr val="tx1">
          <a:lumMod val="15000"/>
          <a:lumOff val="85000"/>
        </a:schemeClr>
      </a:solidFill>
      <a:round/>
    </a:ln>
    <a:effectLst>
      <a:outerShdw blurRad="50800" dist="50800" dir="5400000" algn="ctr" rotWithShape="0">
        <a:srgbClr val="538034">
          <a:alpha val="50000"/>
        </a:srgb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Completion &amp; Recommendations Board.xlsx]Sales Trend!PivotTable1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Sales Trend</a:t>
            </a:r>
          </a:p>
        </c:rich>
      </c:tx>
      <c:layout>
        <c:manualLayout>
          <c:xMode val="edge"/>
          <c:yMode val="edge"/>
          <c:x val="6.2028033415038849E-3"/>
          <c:y val="3.6507922362884722E-3"/>
        </c:manualLayout>
      </c:layout>
      <c:overlay val="0"/>
      <c:spPr>
        <a:noFill/>
        <a:ln>
          <a:noFill/>
        </a:ln>
        <a:effectLst/>
      </c:sp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rgbClr val="4D7830"/>
          </a:solidFill>
          <a:ln>
            <a:noFill/>
          </a:ln>
          <a:effectLst/>
        </c:spPr>
      </c:pivotFmt>
      <c:pivotFmt>
        <c:idx val="3"/>
        <c:spPr>
          <a:solidFill>
            <a:srgbClr val="68A141"/>
          </a:solidFill>
          <a:ln>
            <a:noFill/>
          </a:ln>
          <a:effectLst/>
        </c:spPr>
      </c:pivotFmt>
      <c:pivotFmt>
        <c:idx val="4"/>
        <c:spPr>
          <a:solidFill>
            <a:srgbClr val="85BE5E"/>
          </a:solidFill>
          <a:ln>
            <a:noFill/>
          </a:ln>
          <a:effectLst/>
        </c:spPr>
      </c:pivotFmt>
      <c:pivotFmt>
        <c:idx val="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pivotFmt>
      <c:pivotFmt>
        <c:idx val="7"/>
        <c:spPr>
          <a:solidFill>
            <a:srgbClr val="4D7830"/>
          </a:solidFill>
          <a:ln>
            <a:noFill/>
          </a:ln>
          <a:effectLst/>
        </c:spPr>
      </c:pivotFmt>
      <c:pivotFmt>
        <c:idx val="8"/>
        <c:spPr>
          <a:solidFill>
            <a:srgbClr val="68A141"/>
          </a:solidFill>
          <a:ln>
            <a:noFill/>
          </a:ln>
          <a:effectLst/>
        </c:spPr>
      </c:pivotFmt>
      <c:pivotFmt>
        <c:idx val="9"/>
        <c:spPr>
          <a:solidFill>
            <a:srgbClr val="85BE5E"/>
          </a:solidFill>
          <a:ln>
            <a:noFill/>
          </a:ln>
          <a:effectLst/>
        </c:spPr>
      </c:pivotFmt>
      <c:pivotFmt>
        <c:idx val="10"/>
        <c:spPr>
          <a:solidFill>
            <a:schemeClr val="accent6">
              <a:lumMod val="75000"/>
            </a:schemeClr>
          </a:solidFill>
          <a:ln>
            <a:noFill/>
          </a:ln>
          <a:effectLst/>
        </c:spPr>
      </c:pivotFmt>
      <c:pivotFmt>
        <c:idx val="11"/>
        <c:spPr>
          <a:solidFill>
            <a:srgbClr val="68A141"/>
          </a:solidFill>
          <a:ln>
            <a:noFill/>
          </a:ln>
          <a:effectLst/>
        </c:spPr>
      </c:pivotFmt>
      <c:pivotFmt>
        <c:idx val="12"/>
        <c:spPr>
          <a:solidFill>
            <a:srgbClr val="85BE5E"/>
          </a:solidFill>
          <a:ln>
            <a:noFill/>
          </a:ln>
          <a:effectLst/>
        </c:spPr>
      </c:pivotFmt>
      <c:pivotFmt>
        <c:idx val="13"/>
        <c:spPr>
          <a:solidFill>
            <a:srgbClr val="80BC58"/>
          </a:solidFill>
          <a:ln>
            <a:noFill/>
          </a:ln>
          <a:effectLst/>
        </c:spPr>
      </c:pivotFmt>
      <c:pivotFmt>
        <c:idx val="14"/>
        <c:spPr>
          <a:solidFill>
            <a:schemeClr val="accent6">
              <a:lumMod val="50000"/>
            </a:schemeClr>
          </a:solidFill>
          <a:ln>
            <a:noFill/>
          </a:ln>
          <a:effectLst/>
        </c:spPr>
      </c:pivotFmt>
      <c:pivotFmt>
        <c:idx val="15"/>
        <c:spPr>
          <a:solidFill>
            <a:srgbClr val="89C163"/>
          </a:solidFill>
          <a:ln>
            <a:noFill/>
          </a:ln>
          <a:effectLst/>
        </c:spPr>
      </c:pivotFmt>
      <c:pivotFmt>
        <c:idx val="16"/>
        <c:spPr>
          <a:solidFill>
            <a:srgbClr val="9ECB7F"/>
          </a:solidFill>
          <a:ln>
            <a:noFill/>
          </a:ln>
          <a:effectLst/>
        </c:spPr>
      </c:pivotFmt>
      <c:pivotFmt>
        <c:idx val="17"/>
        <c:spPr>
          <a:solidFill>
            <a:srgbClr val="CBE3BB"/>
          </a:solidFill>
          <a:ln>
            <a:noFill/>
          </a:ln>
          <a:effectLst/>
        </c:spPr>
      </c:pivotFmt>
      <c:pivotFmt>
        <c:idx val="18"/>
        <c:spPr>
          <a:solidFill>
            <a:srgbClr val="43682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lumMod val="75000"/>
            </a:schemeClr>
          </a:solidFill>
          <a:ln>
            <a:noFill/>
          </a:ln>
          <a:effectLst/>
        </c:spPr>
      </c:pivotFmt>
      <c:pivotFmt>
        <c:idx val="20"/>
        <c:spPr>
          <a:solidFill>
            <a:srgbClr val="68A141"/>
          </a:solidFill>
          <a:ln>
            <a:noFill/>
          </a:ln>
          <a:effectLst/>
        </c:spPr>
      </c:pivotFmt>
      <c:pivotFmt>
        <c:idx val="21"/>
        <c:spPr>
          <a:solidFill>
            <a:srgbClr val="85BE5E"/>
          </a:solidFill>
          <a:ln>
            <a:noFill/>
          </a:ln>
          <a:effectLst/>
        </c:spPr>
      </c:pivotFmt>
      <c:pivotFmt>
        <c:idx val="22"/>
        <c:spPr>
          <a:solidFill>
            <a:srgbClr val="80BC58"/>
          </a:solidFill>
          <a:ln>
            <a:noFill/>
          </a:ln>
          <a:effectLst/>
        </c:spPr>
      </c:pivotFmt>
      <c:pivotFmt>
        <c:idx val="23"/>
        <c:spPr>
          <a:solidFill>
            <a:srgbClr val="89C163"/>
          </a:solidFill>
          <a:ln>
            <a:noFill/>
          </a:ln>
          <a:effectLst/>
        </c:spPr>
      </c:pivotFmt>
      <c:pivotFmt>
        <c:idx val="24"/>
        <c:spPr>
          <a:solidFill>
            <a:srgbClr val="9ECB7F"/>
          </a:solidFill>
          <a:ln>
            <a:noFill/>
          </a:ln>
          <a:effectLst/>
        </c:spPr>
      </c:pivotFmt>
      <c:pivotFmt>
        <c:idx val="25"/>
        <c:spPr>
          <a:solidFill>
            <a:srgbClr val="CBE3BB"/>
          </a:solidFill>
          <a:ln>
            <a:noFill/>
          </a:ln>
          <a:effectLst/>
        </c:spPr>
      </c:pivotFmt>
      <c:pivotFmt>
        <c:idx val="26"/>
        <c:spPr>
          <a:solidFill>
            <a:srgbClr val="43682A"/>
          </a:solidFill>
          <a:ln>
            <a:noFill/>
          </a:ln>
          <a:effectLst/>
        </c:spPr>
      </c:pivotFmt>
      <c:pivotFmt>
        <c:idx val="27"/>
        <c:spPr>
          <a:solidFill>
            <a:srgbClr val="4B752F"/>
          </a:solidFill>
          <a:ln>
            <a:noFill/>
          </a:ln>
          <a:effectLst/>
        </c:spPr>
      </c:pivotFmt>
      <c:pivotFmt>
        <c:idx val="28"/>
        <c:spPr>
          <a:solidFill>
            <a:srgbClr val="558335"/>
          </a:solidFill>
          <a:ln>
            <a:noFill/>
          </a:ln>
          <a:effectLst/>
        </c:spPr>
      </c:pivotFmt>
      <c:pivotFmt>
        <c:idx val="29"/>
        <c:spPr>
          <a:solidFill>
            <a:srgbClr val="60943C"/>
          </a:solidFill>
          <a:ln>
            <a:noFill/>
          </a:ln>
          <a:effectLst/>
        </c:spPr>
      </c:pivotFmt>
      <c:pivotFmt>
        <c:idx val="30"/>
        <c:spPr>
          <a:solidFill>
            <a:srgbClr val="6DA945"/>
          </a:solidFill>
          <a:ln>
            <a:noFill/>
          </a:ln>
          <a:effectLst/>
        </c:spPr>
      </c:pivotFmt>
      <c:pivotFmt>
        <c:idx val="31"/>
        <c:spPr>
          <a:solidFill>
            <a:srgbClr val="7AB850"/>
          </a:solidFill>
          <a:ln>
            <a:noFill/>
          </a:ln>
          <a:effectLst/>
        </c:spPr>
      </c:pivotFmt>
      <c:pivotFmt>
        <c:idx val="32"/>
        <c:spPr>
          <a:solidFill>
            <a:srgbClr val="85BE5E"/>
          </a:solidFill>
          <a:ln>
            <a:noFill/>
          </a:ln>
          <a:effectLst/>
        </c:spPr>
      </c:pivotFmt>
      <c:pivotFmt>
        <c:idx val="33"/>
        <c:spPr>
          <a:solidFill>
            <a:srgbClr val="8FC36B"/>
          </a:solidFill>
          <a:ln>
            <a:noFill/>
          </a:ln>
          <a:effectLst/>
        </c:spPr>
      </c:pivotFmt>
      <c:pivotFmt>
        <c:idx val="34"/>
        <c:spPr>
          <a:solidFill>
            <a:srgbClr val="B6DBA5"/>
          </a:solidFill>
          <a:ln>
            <a:noFill/>
          </a:ln>
          <a:effectLst/>
        </c:spPr>
      </c:pivotFmt>
      <c:pivotFmt>
        <c:idx val="35"/>
        <c:spPr>
          <a:solidFill>
            <a:srgbClr val="C7E1B5"/>
          </a:solidFill>
          <a:ln>
            <a:noFill/>
          </a:ln>
          <a:effectLst/>
        </c:spPr>
      </c:pivotFmt>
      <c:pivotFmt>
        <c:idx val="36"/>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4B752F"/>
          </a:solidFill>
          <a:ln>
            <a:noFill/>
          </a:ln>
          <a:effectLst/>
        </c:spPr>
      </c:pivotFmt>
      <c:pivotFmt>
        <c:idx val="38"/>
        <c:spPr>
          <a:solidFill>
            <a:srgbClr val="558335"/>
          </a:solidFill>
          <a:ln>
            <a:noFill/>
          </a:ln>
          <a:effectLst/>
        </c:spPr>
      </c:pivotFmt>
      <c:pivotFmt>
        <c:idx val="39"/>
        <c:spPr>
          <a:solidFill>
            <a:srgbClr val="60943C"/>
          </a:solidFill>
          <a:ln>
            <a:noFill/>
          </a:ln>
          <a:effectLst/>
        </c:spPr>
      </c:pivotFmt>
      <c:pivotFmt>
        <c:idx val="40"/>
        <c:spPr>
          <a:solidFill>
            <a:srgbClr val="6DA945"/>
          </a:solidFill>
          <a:ln>
            <a:noFill/>
          </a:ln>
          <a:effectLst/>
        </c:spPr>
      </c:pivotFmt>
      <c:pivotFmt>
        <c:idx val="41"/>
        <c:spPr>
          <a:solidFill>
            <a:srgbClr val="7AB850"/>
          </a:solidFill>
          <a:ln>
            <a:noFill/>
          </a:ln>
          <a:effectLst/>
        </c:spPr>
      </c:pivotFmt>
      <c:pivotFmt>
        <c:idx val="42"/>
        <c:spPr>
          <a:solidFill>
            <a:srgbClr val="85BE5E"/>
          </a:solidFill>
          <a:ln>
            <a:noFill/>
          </a:ln>
          <a:effectLst/>
        </c:spPr>
      </c:pivotFmt>
      <c:pivotFmt>
        <c:idx val="43"/>
        <c:spPr>
          <a:solidFill>
            <a:srgbClr val="8FC36B"/>
          </a:solidFill>
          <a:ln>
            <a:noFill/>
          </a:ln>
          <a:effectLst/>
        </c:spPr>
      </c:pivotFmt>
      <c:pivotFmt>
        <c:idx val="44"/>
        <c:spPr>
          <a:solidFill>
            <a:srgbClr val="B6DBA5"/>
          </a:solidFill>
          <a:ln>
            <a:noFill/>
          </a:ln>
          <a:effectLst/>
        </c:spPr>
      </c:pivotFmt>
      <c:pivotFmt>
        <c:idx val="45"/>
        <c:spPr>
          <a:solidFill>
            <a:srgbClr val="C7E1B5"/>
          </a:solidFill>
          <a:ln>
            <a:noFill/>
          </a:ln>
          <a:effectLst/>
        </c:spPr>
      </c:pivotFmt>
      <c:pivotFmt>
        <c:idx val="46"/>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47"/>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48"/>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49"/>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50"/>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51"/>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52"/>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53"/>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54"/>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55"/>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57"/>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58"/>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59"/>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60"/>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61"/>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62"/>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63"/>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64"/>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65"/>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6"/>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67"/>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68"/>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69"/>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70"/>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71"/>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72"/>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73"/>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74"/>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75"/>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6"/>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77"/>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78"/>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79"/>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80"/>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81"/>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82"/>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83"/>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84"/>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85"/>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6"/>
        <c:spPr>
          <a:ln w="28575" cap="rnd">
            <a:solidFill>
              <a:schemeClr val="accent6">
                <a:lumMod val="50000"/>
              </a:schemeClr>
            </a:solidFill>
            <a:round/>
          </a:ln>
          <a:effectLst/>
        </c:spPr>
      </c:pivotFmt>
      <c:pivotFmt>
        <c:idx val="87"/>
        <c:spPr>
          <a:ln w="28575" cap="rnd">
            <a:solidFill>
              <a:schemeClr val="accent6">
                <a:lumMod val="50000"/>
              </a:schemeClr>
            </a:solidFill>
            <a:round/>
          </a:ln>
          <a:effectLst/>
        </c:spPr>
      </c:pivotFmt>
      <c:pivotFmt>
        <c:idx val="88"/>
        <c:spPr>
          <a:ln w="28575" cap="rnd">
            <a:solidFill>
              <a:schemeClr val="accent6">
                <a:lumMod val="50000"/>
              </a:schemeClr>
            </a:solidFill>
            <a:round/>
          </a:ln>
          <a:effectLst/>
        </c:spPr>
      </c:pivotFmt>
      <c:pivotFmt>
        <c:idx val="89"/>
        <c:spPr>
          <a:ln w="28575" cap="rnd">
            <a:solidFill>
              <a:schemeClr val="accent6">
                <a:lumMod val="50000"/>
              </a:schemeClr>
            </a:solidFill>
            <a:round/>
          </a:ln>
          <a:effectLst/>
        </c:spPr>
      </c:pivotFmt>
      <c:pivotFmt>
        <c:idx val="90"/>
        <c:spPr>
          <a:ln w="28575" cap="rnd">
            <a:solidFill>
              <a:schemeClr val="accent6">
                <a:lumMod val="50000"/>
              </a:schemeClr>
            </a:solidFill>
            <a:round/>
          </a:ln>
          <a:effectLst/>
        </c:spPr>
      </c:pivotFmt>
      <c:pivotFmt>
        <c:idx val="91"/>
        <c:spPr>
          <a:ln w="28575" cap="rnd">
            <a:solidFill>
              <a:schemeClr val="accent6">
                <a:lumMod val="50000"/>
              </a:schemeClr>
            </a:solidFill>
            <a:round/>
          </a:ln>
          <a:effectLst/>
        </c:spPr>
      </c:pivotFmt>
      <c:pivotFmt>
        <c:idx val="92"/>
        <c:spPr>
          <a:ln w="28575" cap="rnd">
            <a:solidFill>
              <a:schemeClr val="accent6">
                <a:lumMod val="50000"/>
              </a:schemeClr>
            </a:solidFill>
            <a:round/>
          </a:ln>
          <a:effectLst/>
        </c:spPr>
      </c:pivotFmt>
      <c:pivotFmt>
        <c:idx val="93"/>
        <c:spPr>
          <a:ln w="28575" cap="rnd">
            <a:solidFill>
              <a:schemeClr val="accent6">
                <a:lumMod val="50000"/>
              </a:schemeClr>
            </a:solidFill>
            <a:round/>
          </a:ln>
          <a:effectLst/>
        </c:spPr>
      </c:pivotFmt>
      <c:pivotFmt>
        <c:idx val="94"/>
        <c:spPr>
          <a:ln w="28575" cap="rnd">
            <a:solidFill>
              <a:schemeClr val="accent6">
                <a:lumMod val="50000"/>
              </a:schemeClr>
            </a:solidFill>
            <a:round/>
          </a:ln>
          <a:effectLst/>
        </c:spPr>
      </c:pivotFmt>
      <c:pivotFmt>
        <c:idx val="95"/>
        <c:spPr>
          <a:solidFill>
            <a:schemeClr val="accent6">
              <a:lumMod val="60000"/>
              <a:lumOff val="40000"/>
            </a:schemeClr>
          </a:solidFill>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6"/>
        <c:dLbl>
          <c:idx val="0"/>
          <c:layout>
            <c:manualLayout>
              <c:x val="3.4497239405952107E-3"/>
              <c:y val="-0.279972953174369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7"/>
        <c:dLbl>
          <c:idx val="0"/>
          <c:layout>
            <c:manualLayout>
              <c:x val="0"/>
              <c:y val="-0.257024350455159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8"/>
        <c:dLbl>
          <c:idx val="0"/>
          <c:layout>
            <c:manualLayout>
              <c:x val="-1.724861970297621E-3"/>
              <c:y val="-0.201947703929053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9"/>
        <c:dLbl>
          <c:idx val="0"/>
          <c:layout>
            <c:manualLayout>
              <c:x val="-1.7248619702976053E-3"/>
              <c:y val="-0.206537424472895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0"/>
        <c:dLbl>
          <c:idx val="0"/>
          <c:layout>
            <c:manualLayout>
              <c:x val="-2.5872929554464078E-2"/>
              <c:y val="-0.252434629911317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1"/>
        <c:dLbl>
          <c:idx val="0"/>
          <c:layout>
            <c:manualLayout>
              <c:x val="0"/>
              <c:y val="-0.33504959970047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2"/>
        <c:dLbl>
          <c:idx val="0"/>
          <c:layout>
            <c:manualLayout>
              <c:x val="2.2423205613868867E-2"/>
              <c:y val="-0.252434629911317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3"/>
        <c:dLbl>
          <c:idx val="0"/>
          <c:layout>
            <c:manualLayout>
              <c:x val="2.5872929554464078E-2"/>
              <c:y val="-0.243255188823632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4"/>
        <c:dLbl>
          <c:idx val="0"/>
          <c:layout>
            <c:manualLayout>
              <c:x val="1.7248619702976053E-3"/>
              <c:y val="-0.339639320244317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5"/>
        <c:dLbl>
          <c:idx val="0"/>
          <c:layout>
            <c:manualLayout>
              <c:x val="-1.7248619702976053E-3"/>
              <c:y val="-0.330459879156633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6"/>
        <c:dLbl>
          <c:idx val="0"/>
          <c:layout>
            <c:manualLayout>
              <c:x val="-8.6243098514880261E-3"/>
              <c:y val="-0.312100996981264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7"/>
        <c:dLbl>
          <c:idx val="0"/>
          <c:layout>
            <c:manualLayout>
              <c:x val="-1.2648841661684194E-16"/>
              <c:y val="-0.380946805138896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'Sales Trend'!$B$3</c:f>
              <c:strCache>
                <c:ptCount val="1"/>
                <c:pt idx="0">
                  <c:v>Total</c:v>
                </c:pt>
              </c:strCache>
            </c:strRef>
          </c:tx>
          <c:spPr>
            <a:solidFill>
              <a:schemeClr val="accent6">
                <a:lumMod val="60000"/>
                <a:lumOff val="40000"/>
              </a:schemeClr>
            </a:solidFill>
            <a:ln w="28575" cap="rnd">
              <a:noFill/>
              <a:round/>
            </a:ln>
            <a:effectLst/>
          </c:spPr>
          <c:dLbls>
            <c:dLbl>
              <c:idx val="0"/>
              <c:layout>
                <c:manualLayout>
                  <c:x val="0"/>
                  <c:y val="-0.257024350455159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302-4CE8-B88D-38B7470B3DB2}"/>
                </c:ext>
              </c:extLst>
            </c:dLbl>
            <c:dLbl>
              <c:idx val="1"/>
              <c:layout>
                <c:manualLayout>
                  <c:x val="-1.724861970297621E-3"/>
                  <c:y val="-0.201947703929053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302-4CE8-B88D-38B7470B3DB2}"/>
                </c:ext>
              </c:extLst>
            </c:dLbl>
            <c:dLbl>
              <c:idx val="2"/>
              <c:layout>
                <c:manualLayout>
                  <c:x val="3.4497239405952107E-3"/>
                  <c:y val="-0.279972953174369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302-4CE8-B88D-38B7470B3DB2}"/>
                </c:ext>
              </c:extLst>
            </c:dLbl>
            <c:dLbl>
              <c:idx val="3"/>
              <c:layout>
                <c:manualLayout>
                  <c:x val="-1.7248619702976053E-3"/>
                  <c:y val="-0.206537424472895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302-4CE8-B88D-38B7470B3DB2}"/>
                </c:ext>
              </c:extLst>
            </c:dLbl>
            <c:dLbl>
              <c:idx val="4"/>
              <c:layout>
                <c:manualLayout>
                  <c:x val="-2.5872929554464078E-2"/>
                  <c:y val="-0.252434629911317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302-4CE8-B88D-38B7470B3DB2}"/>
                </c:ext>
              </c:extLst>
            </c:dLbl>
            <c:dLbl>
              <c:idx val="5"/>
              <c:layout>
                <c:manualLayout>
                  <c:x val="0"/>
                  <c:y val="-0.33504959970047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302-4CE8-B88D-38B7470B3DB2}"/>
                </c:ext>
              </c:extLst>
            </c:dLbl>
            <c:dLbl>
              <c:idx val="6"/>
              <c:layout>
                <c:manualLayout>
                  <c:x val="2.2423205613868867E-2"/>
                  <c:y val="-0.252434629911317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302-4CE8-B88D-38B7470B3DB2}"/>
                </c:ext>
              </c:extLst>
            </c:dLbl>
            <c:dLbl>
              <c:idx val="7"/>
              <c:layout>
                <c:manualLayout>
                  <c:x val="2.5872929554464078E-2"/>
                  <c:y val="-0.243255188823632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302-4CE8-B88D-38B7470B3DB2}"/>
                </c:ext>
              </c:extLst>
            </c:dLbl>
            <c:dLbl>
              <c:idx val="8"/>
              <c:layout>
                <c:manualLayout>
                  <c:x val="1.7248619702976053E-3"/>
                  <c:y val="-0.339639320244317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302-4CE8-B88D-38B7470B3DB2}"/>
                </c:ext>
              </c:extLst>
            </c:dLbl>
            <c:dLbl>
              <c:idx val="9"/>
              <c:layout>
                <c:manualLayout>
                  <c:x val="-1.7248619702976053E-3"/>
                  <c:y val="-0.330459879156633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302-4CE8-B88D-38B7470B3DB2}"/>
                </c:ext>
              </c:extLst>
            </c:dLbl>
            <c:dLbl>
              <c:idx val="10"/>
              <c:layout>
                <c:manualLayout>
                  <c:x val="-8.6243098514880261E-3"/>
                  <c:y val="-0.312100996981264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302-4CE8-B88D-38B7470B3DB2}"/>
                </c:ext>
              </c:extLst>
            </c:dLbl>
            <c:dLbl>
              <c:idx val="11"/>
              <c:layout>
                <c:manualLayout>
                  <c:x val="-1.2648841661684194E-16"/>
                  <c:y val="-0.380946805138896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302-4CE8-B88D-38B7470B3DB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noFill/>
                <a:prstDash val="sysDot"/>
              </a:ln>
              <a:effectLst/>
            </c:spPr>
            <c:trendlineType val="linear"/>
            <c:dispRSqr val="0"/>
            <c:dispEq val="0"/>
          </c:trendline>
          <c:cat>
            <c:strRef>
              <c:f>'Sales Trend'!$A$4:$A$16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'Sales Trend'!$B$4:$B$16</c:f>
              <c:numCache>
                <c:formatCode>[$$-409]#,##0.00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extLst>
            <c:ext xmlns:c16="http://schemas.microsoft.com/office/drawing/2014/chart" uri="{C3380CC4-5D6E-409C-BE32-E72D297353CC}">
              <c16:uniqueId val="{0000000A-C302-4CE8-B88D-38B7470B3DB2}"/>
            </c:ext>
          </c:extLst>
        </c:ser>
        <c:dLbls>
          <c:showLegendKey val="0"/>
          <c:showVal val="0"/>
          <c:showCatName val="0"/>
          <c:showSerName val="0"/>
          <c:showPercent val="0"/>
          <c:showBubbleSize val="0"/>
        </c:dLbls>
        <c:axId val="45178143"/>
        <c:axId val="1903841199"/>
      </c:areaChart>
      <c:valAx>
        <c:axId val="1903841199"/>
        <c:scaling>
          <c:orientation val="minMax"/>
        </c:scaling>
        <c:delete val="1"/>
        <c:axPos val="l"/>
        <c:majorGridlines>
          <c:spPr>
            <a:ln w="9525" cap="flat" cmpd="sng" algn="ctr">
              <a:solidFill>
                <a:schemeClr val="tx1">
                  <a:lumMod val="15000"/>
                  <a:lumOff val="85000"/>
                </a:schemeClr>
              </a:solidFill>
              <a:round/>
            </a:ln>
            <a:effectLst/>
          </c:spPr>
        </c:majorGridlines>
        <c:numFmt formatCode="[$$-409]#,##0.00" sourceLinked="1"/>
        <c:majorTickMark val="out"/>
        <c:minorTickMark val="none"/>
        <c:tickLblPos val="nextTo"/>
        <c:crossAx val="45178143"/>
        <c:crosses val="autoZero"/>
        <c:crossBetween val="midCat"/>
      </c:valAx>
      <c:catAx>
        <c:axId val="451781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03841199"/>
        <c:crosses val="autoZero"/>
        <c:auto val="1"/>
        <c:lblAlgn val="ctr"/>
        <c:lblOffset val="100"/>
        <c:noMultiLvlLbl val="0"/>
      </c:catAx>
    </c:plotArea>
    <c:plotVisOnly val="1"/>
    <c:dispBlanksAs val="gap"/>
    <c:showDLblsOverMax val="0"/>
    <c:extLst/>
  </c:chart>
  <c:spPr>
    <a:noFill/>
    <a:ln w="9525" cap="flat" cmpd="sng" algn="ctr">
      <a:gradFill>
        <a:gsLst>
          <a:gs pos="15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Dashboard Completion &amp; Recommendations Board.xlsx]Cities' Performance by Revenue!PivotTable1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Cities' Performance by Revenue</a:t>
            </a:r>
          </a:p>
        </c:rich>
      </c:tx>
      <c:layout>
        <c:manualLayout>
          <c:xMode val="edge"/>
          <c:yMode val="edge"/>
          <c:x val="2.7077865266838966E-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rgbClr val="4D7830"/>
          </a:solidFill>
          <a:ln>
            <a:noFill/>
          </a:ln>
          <a:effectLst/>
        </c:spPr>
      </c:pivotFmt>
      <c:pivotFmt>
        <c:idx val="3"/>
        <c:spPr>
          <a:solidFill>
            <a:srgbClr val="68A141"/>
          </a:solidFill>
          <a:ln>
            <a:noFill/>
          </a:ln>
          <a:effectLst/>
        </c:spPr>
      </c:pivotFmt>
      <c:pivotFmt>
        <c:idx val="4"/>
        <c:spPr>
          <a:solidFill>
            <a:srgbClr val="85BE5E"/>
          </a:solidFill>
          <a:ln>
            <a:noFill/>
          </a:ln>
          <a:effectLst/>
        </c:spPr>
      </c:pivotFmt>
      <c:pivotFmt>
        <c:idx val="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pivotFmt>
      <c:pivotFmt>
        <c:idx val="7"/>
        <c:spPr>
          <a:solidFill>
            <a:srgbClr val="4D7830"/>
          </a:solidFill>
          <a:ln>
            <a:noFill/>
          </a:ln>
          <a:effectLst/>
        </c:spPr>
      </c:pivotFmt>
      <c:pivotFmt>
        <c:idx val="8"/>
        <c:spPr>
          <a:solidFill>
            <a:srgbClr val="68A141"/>
          </a:solidFill>
          <a:ln>
            <a:noFill/>
          </a:ln>
          <a:effectLst/>
        </c:spPr>
      </c:pivotFmt>
      <c:pivotFmt>
        <c:idx val="9"/>
        <c:spPr>
          <a:solidFill>
            <a:srgbClr val="85BE5E"/>
          </a:solidFill>
          <a:ln>
            <a:noFill/>
          </a:ln>
          <a:effectLst/>
        </c:spPr>
      </c:pivotFmt>
      <c:pivotFmt>
        <c:idx val="10"/>
        <c:spPr>
          <a:solidFill>
            <a:srgbClr val="60943C"/>
          </a:solidFill>
          <a:ln>
            <a:noFill/>
          </a:ln>
          <a:effectLst/>
        </c:spPr>
      </c:pivotFmt>
      <c:pivotFmt>
        <c:idx val="11"/>
        <c:spPr>
          <a:solidFill>
            <a:srgbClr val="73B248"/>
          </a:solidFill>
          <a:ln>
            <a:noFill/>
          </a:ln>
          <a:effectLst/>
        </c:spPr>
      </c:pivotFmt>
      <c:pivotFmt>
        <c:idx val="12"/>
        <c:spPr>
          <a:solidFill>
            <a:srgbClr val="8DC369"/>
          </a:solidFill>
          <a:ln>
            <a:noFill/>
          </a:ln>
          <a:effectLst/>
        </c:spPr>
      </c:pivotFmt>
      <c:pivotFmt>
        <c:idx val="13"/>
        <c:spPr>
          <a:solidFill>
            <a:srgbClr val="B0D597"/>
          </a:solidFill>
          <a:ln>
            <a:noFill/>
          </a:ln>
          <a:effectLst/>
        </c:spPr>
      </c:pivotFmt>
      <c:pivotFmt>
        <c:idx val="14"/>
        <c:spPr>
          <a:solidFill>
            <a:srgbClr val="A4CF87"/>
          </a:solidFill>
          <a:ln>
            <a:noFill/>
          </a:ln>
          <a:effectLst/>
        </c:spPr>
      </c:pivotFmt>
    </c:pivotFmts>
    <c:plotArea>
      <c:layout/>
      <c:barChart>
        <c:barDir val="bar"/>
        <c:grouping val="clustered"/>
        <c:varyColors val="0"/>
        <c:ser>
          <c:idx val="0"/>
          <c:order val="0"/>
          <c:tx>
            <c:strRef>
              <c:f>'Cities'' Performance by Revenue'!$B$3</c:f>
              <c:strCache>
                <c:ptCount val="1"/>
                <c:pt idx="0">
                  <c:v>Total</c:v>
                </c:pt>
              </c:strCache>
            </c:strRef>
          </c:tx>
          <c:spPr>
            <a:solidFill>
              <a:schemeClr val="accent6">
                <a:lumMod val="50000"/>
              </a:schemeClr>
            </a:solidFill>
            <a:ln>
              <a:noFill/>
            </a:ln>
            <a:effectLst/>
          </c:spPr>
          <c:invertIfNegative val="0"/>
          <c:dPt>
            <c:idx val="1"/>
            <c:invertIfNegative val="0"/>
            <c:bubble3D val="0"/>
            <c:spPr>
              <a:solidFill>
                <a:srgbClr val="60943C"/>
              </a:solidFill>
              <a:ln>
                <a:noFill/>
              </a:ln>
              <a:effectLst/>
            </c:spPr>
            <c:extLst>
              <c:ext xmlns:c16="http://schemas.microsoft.com/office/drawing/2014/chart" uri="{C3380CC4-5D6E-409C-BE32-E72D297353CC}">
                <c16:uniqueId val="{00000003-756B-4F2D-AE0F-A08047444252}"/>
              </c:ext>
            </c:extLst>
          </c:dPt>
          <c:dPt>
            <c:idx val="2"/>
            <c:invertIfNegative val="0"/>
            <c:bubble3D val="0"/>
            <c:spPr>
              <a:solidFill>
                <a:srgbClr val="73B248"/>
              </a:solidFill>
              <a:ln>
                <a:noFill/>
              </a:ln>
              <a:effectLst/>
            </c:spPr>
            <c:extLst>
              <c:ext xmlns:c16="http://schemas.microsoft.com/office/drawing/2014/chart" uri="{C3380CC4-5D6E-409C-BE32-E72D297353CC}">
                <c16:uniqueId val="{00000005-756B-4F2D-AE0F-A08047444252}"/>
              </c:ext>
            </c:extLst>
          </c:dPt>
          <c:dPt>
            <c:idx val="3"/>
            <c:invertIfNegative val="0"/>
            <c:bubble3D val="0"/>
            <c:spPr>
              <a:solidFill>
                <a:srgbClr val="8DC369"/>
              </a:solidFill>
              <a:ln>
                <a:noFill/>
              </a:ln>
              <a:effectLst/>
            </c:spPr>
            <c:extLst>
              <c:ext xmlns:c16="http://schemas.microsoft.com/office/drawing/2014/chart" uri="{C3380CC4-5D6E-409C-BE32-E72D297353CC}">
                <c16:uniqueId val="{00000007-756B-4F2D-AE0F-A08047444252}"/>
              </c:ext>
            </c:extLst>
          </c:dPt>
          <c:dPt>
            <c:idx val="4"/>
            <c:invertIfNegative val="0"/>
            <c:bubble3D val="0"/>
            <c:spPr>
              <a:solidFill>
                <a:srgbClr val="B0D597"/>
              </a:solidFill>
              <a:ln>
                <a:noFill/>
              </a:ln>
              <a:effectLst/>
            </c:spPr>
            <c:extLst>
              <c:ext xmlns:c16="http://schemas.microsoft.com/office/drawing/2014/chart" uri="{C3380CC4-5D6E-409C-BE32-E72D297353CC}">
                <c16:uniqueId val="{00000009-756B-4F2D-AE0F-A0804744425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'Cities'' Performance by Revenue'!$A$4:$A$9</c:f>
              <c:strCache>
                <c:ptCount val="5"/>
                <c:pt idx="0">
                  <c:v>New York</c:v>
                </c:pt>
                <c:pt idx="1">
                  <c:v>Portland</c:v>
                </c:pt>
                <c:pt idx="2">
                  <c:v>Miami</c:v>
                </c:pt>
                <c:pt idx="3">
                  <c:v>Memphis</c:v>
                </c:pt>
                <c:pt idx="4">
                  <c:v>Chicago</c:v>
                </c:pt>
              </c:strCache>
            </c:strRef>
          </c:cat>
          <c:val>
            <c:numRef>
              <c:f>'Cities'' Performance by Revenue'!$B$4:$B$9</c:f>
              <c:numCache>
                <c:formatCode>[$$-409]#,##0.00</c:formatCode>
                <c:ptCount val="5"/>
                <c:pt idx="0">
                  <c:v>67180.5</c:v>
                </c:pt>
                <c:pt idx="1">
                  <c:v>50208.35</c:v>
                </c:pt>
                <c:pt idx="2">
                  <c:v>50145.330000000009</c:v>
                </c:pt>
                <c:pt idx="3">
                  <c:v>43713</c:v>
                </c:pt>
                <c:pt idx="4">
                  <c:v>41095.01</c:v>
                </c:pt>
              </c:numCache>
            </c:numRef>
          </c:val>
          <c:extLst>
            <c:ext xmlns:c16="http://schemas.microsoft.com/office/drawing/2014/chart" uri="{C3380CC4-5D6E-409C-BE32-E72D297353CC}">
              <c16:uniqueId val="{00000008-756B-4F2D-AE0F-A08047444252}"/>
            </c:ext>
          </c:extLst>
        </c:ser>
        <c:dLbls>
          <c:showLegendKey val="0"/>
          <c:showVal val="0"/>
          <c:showCatName val="0"/>
          <c:showSerName val="0"/>
          <c:showPercent val="0"/>
          <c:showBubbleSize val="0"/>
        </c:dLbls>
        <c:gapWidth val="37"/>
        <c:axId val="500843263"/>
        <c:axId val="629691279"/>
      </c:barChart>
      <c:valAx>
        <c:axId val="629691279"/>
        <c:scaling>
          <c:orientation val="minMax"/>
        </c:scaling>
        <c:delete val="1"/>
        <c:axPos val="t"/>
        <c:majorGridlines>
          <c:spPr>
            <a:ln w="9525" cap="flat" cmpd="sng" algn="ctr">
              <a:solidFill>
                <a:schemeClr val="tx1">
                  <a:lumMod val="15000"/>
                  <a:lumOff val="85000"/>
                </a:schemeClr>
              </a:solidFill>
              <a:round/>
            </a:ln>
            <a:effectLst/>
          </c:spPr>
        </c:majorGridlines>
        <c:numFmt formatCode="[$$-409]#,##0.00" sourceLinked="1"/>
        <c:majorTickMark val="out"/>
        <c:minorTickMark val="none"/>
        <c:tickLblPos val="nextTo"/>
        <c:crossAx val="500843263"/>
        <c:crosses val="autoZero"/>
        <c:crossBetween val="between"/>
      </c:valAx>
      <c:catAx>
        <c:axId val="50084326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2969127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50800" dir="5400000" algn="ctr" rotWithShape="0">
        <a:srgbClr val="538034">
          <a:alpha val="50000"/>
        </a:srgb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Dashboard Completion &amp; Recommendations Board.xlsx]Top 6 Ship Cities by Revenue!PivotTable1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Top 6 Ship Cities by Revenue</a:t>
            </a:r>
          </a:p>
        </c:rich>
      </c:tx>
      <c:layout>
        <c:manualLayout>
          <c:xMode val="edge"/>
          <c:yMode val="edge"/>
          <c:x val="2.7077865266838966E-4"/>
          <c:y val="0"/>
        </c:manualLayout>
      </c:layout>
      <c:overlay val="0"/>
      <c:spPr>
        <a:noFill/>
        <a:ln>
          <a:noFill/>
        </a:ln>
        <a:effectLst/>
      </c:sp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rgbClr val="4D7830"/>
          </a:solidFill>
          <a:ln>
            <a:noFill/>
          </a:ln>
          <a:effectLst/>
        </c:spPr>
      </c:pivotFmt>
      <c:pivotFmt>
        <c:idx val="3"/>
        <c:spPr>
          <a:solidFill>
            <a:srgbClr val="68A141"/>
          </a:solidFill>
          <a:ln>
            <a:noFill/>
          </a:ln>
          <a:effectLst/>
        </c:spPr>
      </c:pivotFmt>
      <c:pivotFmt>
        <c:idx val="4"/>
        <c:spPr>
          <a:solidFill>
            <a:srgbClr val="85BE5E"/>
          </a:solidFill>
          <a:ln>
            <a:noFill/>
          </a:ln>
          <a:effectLst/>
        </c:spPr>
      </c:pivotFmt>
      <c:pivotFmt>
        <c:idx val="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pivotFmt>
      <c:pivotFmt>
        <c:idx val="7"/>
        <c:spPr>
          <a:solidFill>
            <a:srgbClr val="4D7830"/>
          </a:solidFill>
          <a:ln>
            <a:noFill/>
          </a:ln>
          <a:effectLst/>
        </c:spPr>
      </c:pivotFmt>
      <c:pivotFmt>
        <c:idx val="8"/>
        <c:spPr>
          <a:solidFill>
            <a:srgbClr val="68A141"/>
          </a:solidFill>
          <a:ln>
            <a:noFill/>
          </a:ln>
          <a:effectLst/>
        </c:spPr>
      </c:pivotFmt>
      <c:pivotFmt>
        <c:idx val="9"/>
        <c:spPr>
          <a:solidFill>
            <a:srgbClr val="85BE5E"/>
          </a:solidFill>
          <a:ln>
            <a:noFill/>
          </a:ln>
          <a:effectLst/>
        </c:spPr>
      </c:pivotFmt>
      <c:pivotFmt>
        <c:idx val="10"/>
        <c:spPr>
          <a:solidFill>
            <a:srgbClr val="60943C"/>
          </a:solidFill>
          <a:ln>
            <a:noFill/>
          </a:ln>
          <a:effectLst/>
        </c:spPr>
      </c:pivotFmt>
      <c:pivotFmt>
        <c:idx val="11"/>
        <c:spPr>
          <a:solidFill>
            <a:srgbClr val="73B248"/>
          </a:solidFill>
          <a:ln>
            <a:noFill/>
          </a:ln>
          <a:effectLst/>
        </c:spPr>
      </c:pivotFmt>
      <c:pivotFmt>
        <c:idx val="12"/>
        <c:spPr>
          <a:solidFill>
            <a:srgbClr val="8DC369"/>
          </a:solidFill>
          <a:ln>
            <a:noFill/>
          </a:ln>
          <a:effectLst/>
        </c:spPr>
      </c:pivotFmt>
      <c:pivotFmt>
        <c:idx val="13"/>
        <c:spPr>
          <a:solidFill>
            <a:srgbClr val="B0D597"/>
          </a:solidFill>
          <a:ln>
            <a:noFill/>
          </a:ln>
          <a:effectLst/>
        </c:spPr>
      </c:pivotFmt>
      <c:pivotFmt>
        <c:idx val="14"/>
        <c:spPr>
          <a:solidFill>
            <a:srgbClr val="A4CF87"/>
          </a:solidFill>
          <a:ln>
            <a:noFill/>
          </a:ln>
          <a:effectLst/>
        </c:spPr>
      </c:pivotFmt>
      <c:pivotFmt>
        <c:idx val="15"/>
        <c:spPr>
          <a:solidFill>
            <a:schemeClr val="accent1"/>
          </a:solidFill>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60943C"/>
          </a:solidFill>
          <a:ln>
            <a:noFill/>
          </a:ln>
          <a:effectLst/>
        </c:spPr>
      </c:pivotFmt>
      <c:pivotFmt>
        <c:idx val="17"/>
        <c:spPr>
          <a:solidFill>
            <a:srgbClr val="73B248"/>
          </a:solidFill>
          <a:ln>
            <a:noFill/>
          </a:ln>
          <a:effectLst/>
        </c:spPr>
      </c:pivotFmt>
      <c:pivotFmt>
        <c:idx val="18"/>
        <c:spPr>
          <a:solidFill>
            <a:srgbClr val="8DC369"/>
          </a:solidFill>
          <a:ln>
            <a:noFill/>
          </a:ln>
          <a:effectLst/>
        </c:spPr>
      </c:pivotFmt>
      <c:pivotFmt>
        <c:idx val="19"/>
        <c:spPr>
          <a:solidFill>
            <a:srgbClr val="B0D597"/>
          </a:solidFill>
          <a:ln>
            <a:noFill/>
          </a:ln>
          <a:effectLst/>
        </c:spPr>
      </c:pivotFmt>
      <c:pivotFmt>
        <c:idx val="20"/>
        <c:spPr>
          <a:solidFill>
            <a:schemeClr val="accent1"/>
          </a:solidFill>
          <a:ln w="28575" cap="rnd">
            <a:solidFill>
              <a:schemeClr val="accent6">
                <a:lumMod val="50000"/>
              </a:schemeClr>
            </a:solidFill>
            <a:round/>
          </a:ln>
          <a:effectLst/>
        </c:spPr>
        <c:marker>
          <c:symbol val="circle"/>
          <c:size val="5"/>
        </c:marker>
      </c:pivotFmt>
      <c:pivotFmt>
        <c:idx val="21"/>
        <c:spPr>
          <a:solidFill>
            <a:schemeClr val="accent1"/>
          </a:solidFill>
          <a:ln w="28575" cap="rnd">
            <a:solidFill>
              <a:schemeClr val="accent6">
                <a:lumMod val="50000"/>
              </a:schemeClr>
            </a:solidFill>
            <a:round/>
          </a:ln>
          <a:effectLst/>
        </c:spPr>
        <c:marker>
          <c:symbol val="circle"/>
          <c:size val="5"/>
        </c:marker>
      </c:pivotFmt>
      <c:pivotFmt>
        <c:idx val="22"/>
        <c:spPr>
          <a:solidFill>
            <a:schemeClr val="accent1"/>
          </a:solidFill>
          <a:ln w="28575" cap="rnd">
            <a:solidFill>
              <a:schemeClr val="accent6">
                <a:lumMod val="50000"/>
              </a:schemeClr>
            </a:solidFill>
            <a:round/>
          </a:ln>
          <a:effectLst/>
        </c:spPr>
        <c:marker>
          <c:symbol val="circle"/>
          <c:size val="5"/>
        </c:marker>
      </c:pivotFmt>
      <c:pivotFmt>
        <c:idx val="23"/>
        <c:spPr>
          <a:solidFill>
            <a:schemeClr val="accent1"/>
          </a:solidFill>
          <a:ln w="28575" cap="rnd">
            <a:solidFill>
              <a:schemeClr val="accent6">
                <a:lumMod val="50000"/>
              </a:schemeClr>
            </a:solidFill>
            <a:round/>
          </a:ln>
          <a:effectLst/>
        </c:spPr>
        <c:marker>
          <c:symbol val="circle"/>
          <c:size val="5"/>
        </c:marker>
      </c:pivotFmt>
      <c:pivotFmt>
        <c:idx val="24"/>
        <c:spPr>
          <a:solidFill>
            <a:schemeClr val="accent1"/>
          </a:solidFill>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pivotFmt>
      <c:pivotFmt>
        <c:idx val="26"/>
        <c:spPr>
          <a:solidFill>
            <a:schemeClr val="accent1"/>
          </a:solidFill>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pivotFmt>
      <c:pivotFmt>
        <c:idx val="27"/>
        <c:spPr>
          <a:solidFill>
            <a:schemeClr val="accent1"/>
          </a:solidFill>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pivotFmt>
      <c:pivotFmt>
        <c:idx val="28"/>
        <c:spPr>
          <a:solidFill>
            <a:schemeClr val="accent1"/>
          </a:solidFill>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pivotFmt>
      <c:pivotFmt>
        <c:idx val="29"/>
        <c:spPr>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pivotFmt>
      <c:pivotFmt>
        <c:idx val="31"/>
        <c:spPr>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pivotFmt>
      <c:pivotFmt>
        <c:idx val="32"/>
        <c:spPr>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pivotFmt>
      <c:pivotFmt>
        <c:idx val="33"/>
        <c:spPr>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pivotFmt>
      <c:pivotFmt>
        <c:idx val="34"/>
        <c:spPr>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5"/>
      </c:pivotFmt>
      <c:pivotFmt>
        <c:idx val="36"/>
      </c:pivotFmt>
      <c:pivotFmt>
        <c:idx val="37"/>
      </c:pivotFmt>
      <c:pivotFmt>
        <c:idx val="38"/>
      </c:pivotFmt>
    </c:pivotFmts>
    <c:plotArea>
      <c:layout/>
      <c:radarChart>
        <c:radarStyle val="marker"/>
        <c:varyColors val="0"/>
        <c:ser>
          <c:idx val="0"/>
          <c:order val="0"/>
          <c:tx>
            <c:strRef>
              <c:f>'Top 6 Ship Cities by Revenue'!$B$3</c:f>
              <c:strCache>
                <c:ptCount val="1"/>
                <c:pt idx="0">
                  <c:v>Total</c:v>
                </c:pt>
              </c:strCache>
            </c:strRef>
          </c:tx>
          <c:spPr>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dPt>
            <c:idx val="1"/>
            <c:bubble3D val="0"/>
            <c:extLst>
              <c:ext xmlns:c16="http://schemas.microsoft.com/office/drawing/2014/chart" uri="{C3380CC4-5D6E-409C-BE32-E72D297353CC}">
                <c16:uniqueId val="{0000000A-4272-4887-958D-01769E733458}"/>
              </c:ext>
            </c:extLst>
          </c:dPt>
          <c:dPt>
            <c:idx val="2"/>
            <c:bubble3D val="0"/>
            <c:extLst>
              <c:ext xmlns:c16="http://schemas.microsoft.com/office/drawing/2014/chart" uri="{C3380CC4-5D6E-409C-BE32-E72D297353CC}">
                <c16:uniqueId val="{0000000C-4272-4887-958D-01769E733458}"/>
              </c:ext>
            </c:extLst>
          </c:dPt>
          <c:dPt>
            <c:idx val="3"/>
            <c:bubble3D val="0"/>
            <c:extLst>
              <c:ext xmlns:c16="http://schemas.microsoft.com/office/drawing/2014/chart" uri="{C3380CC4-5D6E-409C-BE32-E72D297353CC}">
                <c16:uniqueId val="{0000000E-4272-4887-958D-01769E733458}"/>
              </c:ext>
            </c:extLst>
          </c:dPt>
          <c:dPt>
            <c:idx val="4"/>
            <c:bubble3D val="0"/>
            <c:extLst>
              <c:ext xmlns:c16="http://schemas.microsoft.com/office/drawing/2014/chart" uri="{C3380CC4-5D6E-409C-BE32-E72D297353CC}">
                <c16:uniqueId val="{00000010-4272-4887-958D-01769E7334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6 Ship Cities by Revenue'!$A$4:$A$10</c:f>
              <c:strCache>
                <c:ptCount val="6"/>
                <c:pt idx="0">
                  <c:v>New York</c:v>
                </c:pt>
                <c:pt idx="1">
                  <c:v>Portland</c:v>
                </c:pt>
                <c:pt idx="2">
                  <c:v>Miami</c:v>
                </c:pt>
                <c:pt idx="3">
                  <c:v>Memphis</c:v>
                </c:pt>
                <c:pt idx="4">
                  <c:v>Chicago</c:v>
                </c:pt>
                <c:pt idx="5">
                  <c:v>Milwaukee</c:v>
                </c:pt>
              </c:strCache>
            </c:strRef>
          </c:cat>
          <c:val>
            <c:numRef>
              <c:f>'Top 6 Ship Cities by Revenue'!$B$4:$B$10</c:f>
              <c:numCache>
                <c:formatCode>[$$-409]#,##0.00</c:formatCode>
                <c:ptCount val="6"/>
                <c:pt idx="0">
                  <c:v>67180.5</c:v>
                </c:pt>
                <c:pt idx="1">
                  <c:v>50208.35</c:v>
                </c:pt>
                <c:pt idx="2">
                  <c:v>50145.330000000009</c:v>
                </c:pt>
                <c:pt idx="3">
                  <c:v>43713</c:v>
                </c:pt>
                <c:pt idx="4">
                  <c:v>41095.01</c:v>
                </c:pt>
                <c:pt idx="5">
                  <c:v>37428</c:v>
                </c:pt>
              </c:numCache>
            </c:numRef>
          </c:val>
          <c:extLst>
            <c:ext xmlns:c16="http://schemas.microsoft.com/office/drawing/2014/chart" uri="{C3380CC4-5D6E-409C-BE32-E72D297353CC}">
              <c16:uniqueId val="{00000011-4272-4887-958D-01769E733458}"/>
            </c:ext>
          </c:extLst>
        </c:ser>
        <c:dLbls>
          <c:showLegendKey val="0"/>
          <c:showVal val="0"/>
          <c:showCatName val="0"/>
          <c:showSerName val="0"/>
          <c:showPercent val="0"/>
          <c:showBubbleSize val="0"/>
        </c:dLbls>
        <c:axId val="500843263"/>
        <c:axId val="629691279"/>
      </c:radarChart>
      <c:valAx>
        <c:axId val="629691279"/>
        <c:scaling>
          <c:orientation val="minMax"/>
        </c:scaling>
        <c:delete val="1"/>
        <c:axPos val="l"/>
        <c:majorGridlines>
          <c:spPr>
            <a:ln w="9525" cap="flat" cmpd="sng" algn="ctr">
              <a:solidFill>
                <a:schemeClr val="tx1">
                  <a:lumMod val="15000"/>
                  <a:lumOff val="85000"/>
                </a:schemeClr>
              </a:solidFill>
              <a:round/>
            </a:ln>
            <a:effectLst/>
          </c:spPr>
        </c:majorGridlines>
        <c:numFmt formatCode="[$$-409]#,##0.00" sourceLinked="1"/>
        <c:majorTickMark val="out"/>
        <c:minorTickMark val="none"/>
        <c:tickLblPos val="nextTo"/>
        <c:crossAx val="500843263"/>
        <c:crosses val="autoZero"/>
        <c:crossBetween val="between"/>
      </c:valAx>
      <c:catAx>
        <c:axId val="500843263"/>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29691279"/>
        <c:crosses val="autoZero"/>
        <c:auto val="1"/>
        <c:lblAlgn val="ctr"/>
        <c:lblOffset val="100"/>
        <c:noMultiLvlLbl val="0"/>
      </c:catAx>
    </c:plotArea>
    <c:plotVisOnly val="1"/>
    <c:dispBlanksAs val="gap"/>
    <c:showDLblsOverMax val="0"/>
    <c:extLst/>
  </c:chart>
  <c:spPr>
    <a:solidFill>
      <a:schemeClr val="bg1"/>
    </a:solidFill>
    <a:ln w="9525" cap="flat" cmpd="sng" algn="ctr">
      <a:solidFill>
        <a:schemeClr val="tx1">
          <a:lumMod val="15000"/>
          <a:lumOff val="85000"/>
        </a:schemeClr>
      </a:solidFill>
      <a:round/>
    </a:ln>
    <a:effectLst>
      <a:outerShdw blurRad="50800" dist="50800" dir="5400000" algn="ctr" rotWithShape="0">
        <a:srgbClr val="538034">
          <a:alpha val="50000"/>
        </a:srgb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Completion &amp; Recommendations Board.xlsx]Top 6 Ship Cities by Revenue!PivotTable1</c:name>
    <c:fmtId val="16"/>
  </c:pivotSource>
  <c:chart>
    <c:autoTitleDeleted val="1"/>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rgbClr val="4D7830"/>
          </a:solidFill>
          <a:ln>
            <a:noFill/>
          </a:ln>
          <a:effectLst/>
        </c:spPr>
      </c:pivotFmt>
      <c:pivotFmt>
        <c:idx val="3"/>
        <c:spPr>
          <a:solidFill>
            <a:srgbClr val="68A141"/>
          </a:solidFill>
          <a:ln>
            <a:noFill/>
          </a:ln>
          <a:effectLst/>
        </c:spPr>
      </c:pivotFmt>
      <c:pivotFmt>
        <c:idx val="4"/>
        <c:spPr>
          <a:solidFill>
            <a:srgbClr val="85BE5E"/>
          </a:solidFill>
          <a:ln>
            <a:noFill/>
          </a:ln>
          <a:effectLst/>
        </c:spPr>
      </c:pivotFmt>
      <c:pivotFmt>
        <c:idx val="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pivotFmt>
      <c:pivotFmt>
        <c:idx val="7"/>
        <c:spPr>
          <a:solidFill>
            <a:srgbClr val="4D7830"/>
          </a:solidFill>
          <a:ln>
            <a:noFill/>
          </a:ln>
          <a:effectLst/>
        </c:spPr>
      </c:pivotFmt>
      <c:pivotFmt>
        <c:idx val="8"/>
        <c:spPr>
          <a:solidFill>
            <a:srgbClr val="68A141"/>
          </a:solidFill>
          <a:ln>
            <a:noFill/>
          </a:ln>
          <a:effectLst/>
        </c:spPr>
      </c:pivotFmt>
      <c:pivotFmt>
        <c:idx val="9"/>
        <c:spPr>
          <a:solidFill>
            <a:srgbClr val="85BE5E"/>
          </a:solidFill>
          <a:ln>
            <a:noFill/>
          </a:ln>
          <a:effectLst/>
        </c:spPr>
      </c:pivotFmt>
      <c:pivotFmt>
        <c:idx val="10"/>
        <c:spPr>
          <a:solidFill>
            <a:srgbClr val="60943C"/>
          </a:solidFill>
          <a:ln>
            <a:noFill/>
          </a:ln>
          <a:effectLst/>
        </c:spPr>
      </c:pivotFmt>
      <c:pivotFmt>
        <c:idx val="11"/>
        <c:spPr>
          <a:solidFill>
            <a:srgbClr val="73B248"/>
          </a:solidFill>
          <a:ln>
            <a:noFill/>
          </a:ln>
          <a:effectLst/>
        </c:spPr>
      </c:pivotFmt>
      <c:pivotFmt>
        <c:idx val="12"/>
        <c:spPr>
          <a:solidFill>
            <a:srgbClr val="8DC369"/>
          </a:solidFill>
          <a:ln>
            <a:noFill/>
          </a:ln>
          <a:effectLst/>
        </c:spPr>
      </c:pivotFmt>
      <c:pivotFmt>
        <c:idx val="13"/>
        <c:spPr>
          <a:solidFill>
            <a:srgbClr val="B0D597"/>
          </a:solidFill>
          <a:ln>
            <a:noFill/>
          </a:ln>
          <a:effectLst/>
        </c:spPr>
      </c:pivotFmt>
      <c:pivotFmt>
        <c:idx val="14"/>
        <c:spPr>
          <a:solidFill>
            <a:srgbClr val="A4CF87"/>
          </a:solidFill>
          <a:ln>
            <a:noFill/>
          </a:ln>
          <a:effectLst/>
        </c:spPr>
      </c:pivotFmt>
      <c:pivotFmt>
        <c:idx val="15"/>
        <c:spPr>
          <a:solidFill>
            <a:schemeClr val="accent1"/>
          </a:solidFill>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60943C"/>
          </a:solidFill>
          <a:ln>
            <a:noFill/>
          </a:ln>
          <a:effectLst/>
        </c:spPr>
      </c:pivotFmt>
      <c:pivotFmt>
        <c:idx val="17"/>
        <c:spPr>
          <a:solidFill>
            <a:srgbClr val="73B248"/>
          </a:solidFill>
          <a:ln>
            <a:noFill/>
          </a:ln>
          <a:effectLst/>
        </c:spPr>
      </c:pivotFmt>
      <c:pivotFmt>
        <c:idx val="18"/>
        <c:spPr>
          <a:solidFill>
            <a:srgbClr val="8DC369"/>
          </a:solidFill>
          <a:ln>
            <a:noFill/>
          </a:ln>
          <a:effectLst/>
        </c:spPr>
      </c:pivotFmt>
      <c:pivotFmt>
        <c:idx val="19"/>
        <c:spPr>
          <a:solidFill>
            <a:srgbClr val="B0D597"/>
          </a:solidFill>
          <a:ln>
            <a:noFill/>
          </a:ln>
          <a:effectLst/>
        </c:spPr>
      </c:pivotFmt>
      <c:pivotFmt>
        <c:idx val="20"/>
        <c:spPr>
          <a:solidFill>
            <a:schemeClr val="accent1"/>
          </a:solidFill>
          <a:ln w="28575" cap="rnd">
            <a:solidFill>
              <a:schemeClr val="accent6">
                <a:lumMod val="50000"/>
              </a:schemeClr>
            </a:solidFill>
            <a:round/>
          </a:ln>
          <a:effectLst/>
        </c:spPr>
        <c:marker>
          <c:symbol val="circle"/>
          <c:size val="5"/>
        </c:marker>
      </c:pivotFmt>
      <c:pivotFmt>
        <c:idx val="21"/>
        <c:spPr>
          <a:solidFill>
            <a:schemeClr val="accent1"/>
          </a:solidFill>
          <a:ln w="28575" cap="rnd">
            <a:solidFill>
              <a:schemeClr val="accent6">
                <a:lumMod val="50000"/>
              </a:schemeClr>
            </a:solidFill>
            <a:round/>
          </a:ln>
          <a:effectLst/>
        </c:spPr>
        <c:marker>
          <c:symbol val="circle"/>
          <c:size val="5"/>
        </c:marker>
      </c:pivotFmt>
      <c:pivotFmt>
        <c:idx val="22"/>
        <c:spPr>
          <a:solidFill>
            <a:schemeClr val="accent1"/>
          </a:solidFill>
          <a:ln w="28575" cap="rnd">
            <a:solidFill>
              <a:schemeClr val="accent6">
                <a:lumMod val="50000"/>
              </a:schemeClr>
            </a:solidFill>
            <a:round/>
          </a:ln>
          <a:effectLst/>
        </c:spPr>
        <c:marker>
          <c:symbol val="circle"/>
          <c:size val="5"/>
        </c:marker>
      </c:pivotFmt>
      <c:pivotFmt>
        <c:idx val="23"/>
        <c:spPr>
          <a:solidFill>
            <a:schemeClr val="accent1"/>
          </a:solidFill>
          <a:ln w="28575" cap="rnd">
            <a:solidFill>
              <a:schemeClr val="accent6">
                <a:lumMod val="50000"/>
              </a:schemeClr>
            </a:solidFill>
            <a:round/>
          </a:ln>
          <a:effectLst/>
        </c:spPr>
        <c:marker>
          <c:symbol val="circle"/>
          <c:size val="5"/>
        </c:marker>
      </c:pivotFmt>
      <c:pivotFmt>
        <c:idx val="24"/>
        <c:spPr>
          <a:solidFill>
            <a:schemeClr val="accent1"/>
          </a:solidFill>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pivotFmt>
      <c:pivotFmt>
        <c:idx val="26"/>
        <c:spPr>
          <a:solidFill>
            <a:schemeClr val="accent1"/>
          </a:solidFill>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pivotFmt>
      <c:pivotFmt>
        <c:idx val="27"/>
        <c:spPr>
          <a:solidFill>
            <a:schemeClr val="accent1"/>
          </a:solidFill>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pivotFmt>
      <c:pivotFmt>
        <c:idx val="28"/>
        <c:spPr>
          <a:solidFill>
            <a:schemeClr val="accent1"/>
          </a:solidFill>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pivotFmt>
      <c:pivotFmt>
        <c:idx val="29"/>
        <c:spPr>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pivotFmt>
      <c:pivotFmt>
        <c:idx val="31"/>
        <c:spPr>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pivotFmt>
      <c:pivotFmt>
        <c:idx val="32"/>
        <c:spPr>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pivotFmt>
      <c:pivotFmt>
        <c:idx val="33"/>
        <c:spPr>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pivotFmt>
      <c:pivotFmt>
        <c:idx val="34"/>
        <c:spPr>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5"/>
        <c:spPr>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pivotFmt>
      <c:pivotFmt>
        <c:idx val="36"/>
        <c:spPr>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pivotFmt>
      <c:pivotFmt>
        <c:idx val="37"/>
        <c:spPr>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pivotFmt>
      <c:pivotFmt>
        <c:idx val="38"/>
        <c:spPr>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pivotFmt>
      <c:pivotFmt>
        <c:idx val="39"/>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40"/>
        <c:dLbl>
          <c:idx val="0"/>
          <c:layout>
            <c:manualLayout>
              <c:x val="-0.1548937200511705"/>
              <c:y val="0.131744281572030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41"/>
        <c:dLbl>
          <c:idx val="0"/>
          <c:layout>
            <c:manualLayout>
              <c:x val="0.16923573116701951"/>
              <c:y val="0.106245388364540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42"/>
        <c:dLbl>
          <c:idx val="0"/>
          <c:layout>
            <c:manualLayout>
              <c:x val="0.15202531782800077"/>
              <c:y val="1.27494466037447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43"/>
        <c:dLbl>
          <c:idx val="0"/>
          <c:layout>
            <c:manualLayout>
              <c:x val="0.14628851338166102"/>
              <c:y val="-0.10199557282995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44"/>
        <c:dLbl>
          <c:idx val="0"/>
          <c:layout>
            <c:manualLayout>
              <c:x val="-9.1788871141434358E-2"/>
              <c:y val="-0.144493728175775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45"/>
        <c:dLbl>
          <c:idx val="0"/>
          <c:layout>
            <c:manualLayout>
              <c:x val="-0.18644614450603855"/>
              <c:y val="-8.499631069163238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'Top 6 Ship Cities by Revenue'!$B$3</c:f>
              <c:strCache>
                <c:ptCount val="1"/>
                <c:pt idx="0">
                  <c:v>Total</c:v>
                </c:pt>
              </c:strCache>
            </c:strRef>
          </c:tx>
          <c:spPr>
            <a:ln w="28575" cap="rnd">
              <a:solidFill>
                <a:schemeClr val="accent6">
                  <a:lumMod val="50000"/>
                </a:schemeClr>
              </a:solidFill>
              <a:round/>
            </a:ln>
            <a:effectLst/>
          </c:spPr>
          <c:dPt>
            <c:idx val="1"/>
            <c:bubble3D val="0"/>
            <c:extLst>
              <c:ext xmlns:c16="http://schemas.microsoft.com/office/drawing/2014/chart" uri="{C3380CC4-5D6E-409C-BE32-E72D297353CC}">
                <c16:uniqueId val="{0000000A-4272-4887-958D-01769E733458}"/>
              </c:ext>
            </c:extLst>
          </c:dPt>
          <c:dPt>
            <c:idx val="2"/>
            <c:bubble3D val="0"/>
            <c:extLst>
              <c:ext xmlns:c16="http://schemas.microsoft.com/office/drawing/2014/chart" uri="{C3380CC4-5D6E-409C-BE32-E72D297353CC}">
                <c16:uniqueId val="{0000000C-4272-4887-958D-01769E733458}"/>
              </c:ext>
            </c:extLst>
          </c:dPt>
          <c:dPt>
            <c:idx val="3"/>
            <c:bubble3D val="0"/>
            <c:extLst>
              <c:ext xmlns:c16="http://schemas.microsoft.com/office/drawing/2014/chart" uri="{C3380CC4-5D6E-409C-BE32-E72D297353CC}">
                <c16:uniqueId val="{0000000E-4272-4887-958D-01769E733458}"/>
              </c:ext>
            </c:extLst>
          </c:dPt>
          <c:dPt>
            <c:idx val="4"/>
            <c:bubble3D val="0"/>
            <c:extLst>
              <c:ext xmlns:c16="http://schemas.microsoft.com/office/drawing/2014/chart" uri="{C3380CC4-5D6E-409C-BE32-E72D297353CC}">
                <c16:uniqueId val="{00000010-4272-4887-958D-01769E733458}"/>
              </c:ext>
            </c:extLst>
          </c:dPt>
          <c:dLbls>
            <c:dLbl>
              <c:idx val="0"/>
              <c:layout>
                <c:manualLayout>
                  <c:x val="0.14628851338166102"/>
                  <c:y val="-0.101995572829958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5E1-40ED-8EC2-7B70B038FCBF}"/>
                </c:ext>
              </c:extLst>
            </c:dLbl>
            <c:dLbl>
              <c:idx val="1"/>
              <c:layout>
                <c:manualLayout>
                  <c:x val="0.15202531782800077"/>
                  <c:y val="1.274944660374477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272-4887-958D-01769E733458}"/>
                </c:ext>
              </c:extLst>
            </c:dLbl>
            <c:dLbl>
              <c:idx val="2"/>
              <c:layout>
                <c:manualLayout>
                  <c:x val="0.16923573116701951"/>
                  <c:y val="0.1062453883645404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272-4887-958D-01769E733458}"/>
                </c:ext>
              </c:extLst>
            </c:dLbl>
            <c:dLbl>
              <c:idx val="3"/>
              <c:layout>
                <c:manualLayout>
                  <c:x val="-0.1548937200511705"/>
                  <c:y val="0.1317442815720301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272-4887-958D-01769E733458}"/>
                </c:ext>
              </c:extLst>
            </c:dLbl>
            <c:dLbl>
              <c:idx val="4"/>
              <c:layout>
                <c:manualLayout>
                  <c:x val="-0.18644614450603855"/>
                  <c:y val="-8.4996310691632382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272-4887-958D-01769E733458}"/>
                </c:ext>
              </c:extLst>
            </c:dLbl>
            <c:dLbl>
              <c:idx val="5"/>
              <c:layout>
                <c:manualLayout>
                  <c:x val="-9.1788871141434358E-2"/>
                  <c:y val="-0.1444937281757750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5E1-40ED-8EC2-7B70B038FCB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6 Ship Cities by Revenue'!$A$4:$A$10</c:f>
              <c:strCache>
                <c:ptCount val="6"/>
                <c:pt idx="0">
                  <c:v>New York</c:v>
                </c:pt>
                <c:pt idx="1">
                  <c:v>Portland</c:v>
                </c:pt>
                <c:pt idx="2">
                  <c:v>Miami</c:v>
                </c:pt>
                <c:pt idx="3">
                  <c:v>Memphis</c:v>
                </c:pt>
                <c:pt idx="4">
                  <c:v>Chicago</c:v>
                </c:pt>
                <c:pt idx="5">
                  <c:v>Milwaukee</c:v>
                </c:pt>
              </c:strCache>
            </c:strRef>
          </c:cat>
          <c:val>
            <c:numRef>
              <c:f>'Top 6 Ship Cities by Revenue'!$B$4:$B$10</c:f>
              <c:numCache>
                <c:formatCode>[$$-409]#,##0.00</c:formatCode>
                <c:ptCount val="6"/>
                <c:pt idx="0">
                  <c:v>67180.5</c:v>
                </c:pt>
                <c:pt idx="1">
                  <c:v>50208.35</c:v>
                </c:pt>
                <c:pt idx="2">
                  <c:v>50145.330000000009</c:v>
                </c:pt>
                <c:pt idx="3">
                  <c:v>43713</c:v>
                </c:pt>
                <c:pt idx="4">
                  <c:v>41095.01</c:v>
                </c:pt>
                <c:pt idx="5">
                  <c:v>37428</c:v>
                </c:pt>
              </c:numCache>
            </c:numRef>
          </c:val>
          <c:extLst>
            <c:ext xmlns:c16="http://schemas.microsoft.com/office/drawing/2014/chart" uri="{C3380CC4-5D6E-409C-BE32-E72D297353CC}">
              <c16:uniqueId val="{00000011-4272-4887-958D-01769E733458}"/>
            </c:ext>
          </c:extLst>
        </c:ser>
        <c:dLbls>
          <c:showLegendKey val="0"/>
          <c:showVal val="0"/>
          <c:showCatName val="0"/>
          <c:showSerName val="0"/>
          <c:showPercent val="0"/>
          <c:showBubbleSize val="0"/>
          <c:showLeaderLines val="1"/>
        </c:dLbls>
        <c:firstSliceAng val="0"/>
        <c:holeSize val="50"/>
      </c:doughnutChart>
    </c:plotArea>
    <c:plotVisOnly val="1"/>
    <c:dispBlanksAs val="gap"/>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Dashboard Completion &amp; Recommendations Board.xlsx]Transactions by Amount!PivotTable1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Transactions by Amount</a:t>
            </a:r>
          </a:p>
        </c:rich>
      </c:tx>
      <c:layout>
        <c:manualLayout>
          <c:xMode val="edge"/>
          <c:yMode val="edge"/>
          <c:x val="2.7077865266838966E-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rgbClr val="4D7830"/>
          </a:solidFill>
          <a:ln>
            <a:noFill/>
          </a:ln>
          <a:effectLst/>
        </c:spPr>
      </c:pivotFmt>
      <c:pivotFmt>
        <c:idx val="3"/>
        <c:spPr>
          <a:solidFill>
            <a:srgbClr val="68A141"/>
          </a:solidFill>
          <a:ln>
            <a:noFill/>
          </a:ln>
          <a:effectLst/>
        </c:spPr>
      </c:pivotFmt>
      <c:pivotFmt>
        <c:idx val="4"/>
        <c:spPr>
          <a:solidFill>
            <a:srgbClr val="85BE5E"/>
          </a:solidFill>
          <a:ln>
            <a:noFill/>
          </a:ln>
          <a:effectLst/>
        </c:spPr>
      </c:pivotFmt>
      <c:pivotFmt>
        <c:idx val="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pivotFmt>
      <c:pivotFmt>
        <c:idx val="7"/>
        <c:spPr>
          <a:solidFill>
            <a:srgbClr val="4D7830"/>
          </a:solidFill>
          <a:ln>
            <a:noFill/>
          </a:ln>
          <a:effectLst/>
        </c:spPr>
      </c:pivotFmt>
      <c:pivotFmt>
        <c:idx val="8"/>
        <c:spPr>
          <a:solidFill>
            <a:srgbClr val="68A141"/>
          </a:solidFill>
          <a:ln>
            <a:noFill/>
          </a:ln>
          <a:effectLst/>
        </c:spPr>
      </c:pivotFmt>
      <c:pivotFmt>
        <c:idx val="9"/>
        <c:spPr>
          <a:solidFill>
            <a:srgbClr val="85BE5E"/>
          </a:solidFill>
          <a:ln>
            <a:noFill/>
          </a:ln>
          <a:effectLst/>
        </c:spPr>
      </c:pivotFmt>
      <c:pivotFmt>
        <c:idx val="10"/>
        <c:spPr>
          <a:solidFill>
            <a:schemeClr val="accent6">
              <a:lumMod val="50000"/>
            </a:schemeClr>
          </a:solidFill>
          <a:ln>
            <a:noFill/>
          </a:ln>
          <a:effectLst/>
        </c:spPr>
      </c:pivotFmt>
      <c:pivotFmt>
        <c:idx val="11"/>
        <c:spPr>
          <a:solidFill>
            <a:schemeClr val="accent6">
              <a:lumMod val="75000"/>
            </a:schemeClr>
          </a:solidFill>
          <a:ln>
            <a:noFill/>
          </a:ln>
          <a:effectLst/>
        </c:spPr>
      </c:pivotFmt>
      <c:pivotFmt>
        <c:idx val="12"/>
        <c:spPr>
          <a:solidFill>
            <a:schemeClr val="accent6">
              <a:lumMod val="60000"/>
              <a:lumOff val="40000"/>
            </a:schemeClr>
          </a:solidFill>
          <a:ln>
            <a:noFill/>
          </a:ln>
          <a:effectLst/>
        </c:spPr>
      </c:pivotFmt>
      <c:pivotFmt>
        <c:idx val="13"/>
        <c:spPr>
          <a:solidFill>
            <a:schemeClr val="accent6">
              <a:lumMod val="40000"/>
              <a:lumOff val="60000"/>
            </a:schemeClr>
          </a:solidFill>
          <a:ln>
            <a:noFill/>
          </a:ln>
          <a:effectLst/>
        </c:spPr>
      </c:pivotFmt>
      <c:pivotFmt>
        <c:idx val="14"/>
        <c:spPr>
          <a:solidFill>
            <a:schemeClr val="accent6">
              <a:lumMod val="20000"/>
              <a:lumOff val="80000"/>
            </a:schemeClr>
          </a:solidFill>
          <a:ln>
            <a:noFill/>
          </a:ln>
          <a:effectLst/>
        </c:spPr>
      </c:pivotFmt>
      <c:pivotFmt>
        <c:idx val="15"/>
        <c:spPr>
          <a:solidFill>
            <a:srgbClr val="D4E8C6"/>
          </a:solidFill>
          <a:ln>
            <a:noFill/>
          </a:ln>
          <a:effectLst/>
        </c:spPr>
      </c:pivotFmt>
      <c:pivotFmt>
        <c:idx val="16"/>
        <c:spPr>
          <a:solidFill>
            <a:srgbClr val="E4F1DB"/>
          </a:solidFill>
          <a:ln>
            <a:noFill/>
          </a:ln>
          <a:effectLst/>
        </c:spPr>
      </c:pivotFmt>
    </c:pivotFmts>
    <c:plotArea>
      <c:layout/>
      <c:barChart>
        <c:barDir val="col"/>
        <c:grouping val="clustered"/>
        <c:varyColors val="0"/>
        <c:ser>
          <c:idx val="0"/>
          <c:order val="0"/>
          <c:tx>
            <c:strRef>
              <c:f>'Transactions by Amount'!$B$3</c:f>
              <c:strCache>
                <c:ptCount val="1"/>
                <c:pt idx="0">
                  <c:v>Total</c:v>
                </c:pt>
              </c:strCache>
            </c:strRef>
          </c:tx>
          <c:spPr>
            <a:solidFill>
              <a:schemeClr val="accent6">
                <a:lumMod val="50000"/>
              </a:schemeClr>
            </a:solidFill>
            <a:ln>
              <a:noFill/>
            </a:ln>
            <a:effectLst/>
          </c:spPr>
          <c:invertIfNegative val="0"/>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1-4779-4B3D-B08F-419278A0C9DC}"/>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2-4779-4B3D-B08F-419278A0C9DC}"/>
              </c:ext>
            </c:extLst>
          </c:dPt>
          <c:dPt>
            <c:idx val="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4779-4B3D-B08F-419278A0C9DC}"/>
              </c:ext>
            </c:extLst>
          </c:dPt>
          <c:dPt>
            <c:idx val="4"/>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4-4779-4B3D-B08F-419278A0C9DC}"/>
              </c:ext>
            </c:extLst>
          </c:dPt>
          <c:dPt>
            <c:idx val="5"/>
            <c:invertIfNegative val="0"/>
            <c:bubble3D val="0"/>
            <c:spPr>
              <a:solidFill>
                <a:srgbClr val="D4E8C6"/>
              </a:solidFill>
              <a:ln>
                <a:noFill/>
              </a:ln>
              <a:effectLst/>
            </c:spPr>
            <c:extLst>
              <c:ext xmlns:c16="http://schemas.microsoft.com/office/drawing/2014/chart" uri="{C3380CC4-5D6E-409C-BE32-E72D297353CC}">
                <c16:uniqueId val="{00000005-4779-4B3D-B08F-419278A0C9DC}"/>
              </c:ext>
            </c:extLst>
          </c:dPt>
          <c:dPt>
            <c:idx val="6"/>
            <c:invertIfNegative val="0"/>
            <c:bubble3D val="0"/>
            <c:spPr>
              <a:solidFill>
                <a:srgbClr val="E4F1DB"/>
              </a:solidFill>
              <a:ln>
                <a:noFill/>
              </a:ln>
              <a:effectLst/>
            </c:spPr>
            <c:extLst>
              <c:ext xmlns:c16="http://schemas.microsoft.com/office/drawing/2014/chart" uri="{C3380CC4-5D6E-409C-BE32-E72D297353CC}">
                <c16:uniqueId val="{00000006-4779-4B3D-B08F-419278A0C9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'Transactions by Amount'!$A$4:$A$11</c:f>
              <c:strCache>
                <c:ptCount val="7"/>
                <c:pt idx="0">
                  <c:v>10-1010</c:v>
                </c:pt>
                <c:pt idx="1">
                  <c:v>1010-2010</c:v>
                </c:pt>
                <c:pt idx="2">
                  <c:v>2010-3010</c:v>
                </c:pt>
                <c:pt idx="3">
                  <c:v>3010-4010</c:v>
                </c:pt>
                <c:pt idx="4">
                  <c:v>4010-5010</c:v>
                </c:pt>
                <c:pt idx="5">
                  <c:v>6010-7010</c:v>
                </c:pt>
                <c:pt idx="6">
                  <c:v>7010-8010</c:v>
                </c:pt>
              </c:strCache>
            </c:strRef>
          </c:cat>
          <c:val>
            <c:numRef>
              <c:f>'Transactions by Amount'!$B$4:$B$11</c:f>
              <c:numCache>
                <c:formatCode>#,##0.00</c:formatCode>
                <c:ptCount val="7"/>
                <c:pt idx="0">
                  <c:v>221</c:v>
                </c:pt>
                <c:pt idx="1">
                  <c:v>82</c:v>
                </c:pt>
                <c:pt idx="2">
                  <c:v>32</c:v>
                </c:pt>
                <c:pt idx="3">
                  <c:v>23</c:v>
                </c:pt>
                <c:pt idx="4">
                  <c:v>8</c:v>
                </c:pt>
                <c:pt idx="5">
                  <c:v>2</c:v>
                </c:pt>
                <c:pt idx="6">
                  <c:v>1</c:v>
                </c:pt>
              </c:numCache>
            </c:numRef>
          </c:val>
          <c:extLst>
            <c:ext xmlns:c16="http://schemas.microsoft.com/office/drawing/2014/chart" uri="{C3380CC4-5D6E-409C-BE32-E72D297353CC}">
              <c16:uniqueId val="{00000008-B948-477A-BBBD-98DD1E530C69}"/>
            </c:ext>
          </c:extLst>
        </c:ser>
        <c:dLbls>
          <c:showLegendKey val="0"/>
          <c:showVal val="0"/>
          <c:showCatName val="0"/>
          <c:showSerName val="0"/>
          <c:showPercent val="0"/>
          <c:showBubbleSize val="0"/>
        </c:dLbls>
        <c:gapWidth val="100"/>
        <c:axId val="628633199"/>
        <c:axId val="109121711"/>
      </c:barChart>
      <c:catAx>
        <c:axId val="6286331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9121711"/>
        <c:crosses val="autoZero"/>
        <c:auto val="1"/>
        <c:lblAlgn val="ctr"/>
        <c:lblOffset val="100"/>
        <c:noMultiLvlLbl val="0"/>
      </c:catAx>
      <c:valAx>
        <c:axId val="109121711"/>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628633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50800" dir="5400000" algn="ctr" rotWithShape="0">
        <a:srgbClr val="538034">
          <a:alpha val="50000"/>
        </a:srgb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Dashboard Completion &amp; Recommendations Board.xlsx]Sales By Region!PivotTable1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6">
                    <a:lumMod val="50000"/>
                  </a:schemeClr>
                </a:solidFill>
                <a:latin typeface="Amasis MT Std" panose="02040802050304020203" pitchFamily="18" charset="0"/>
              </a:rPr>
              <a:t>Sales By Region</a:t>
            </a:r>
          </a:p>
        </c:rich>
      </c:tx>
      <c:layout>
        <c:manualLayout>
          <c:xMode val="edge"/>
          <c:yMode val="edge"/>
          <c:x val="2.7077865266838966E-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rgbClr val="4D7830"/>
          </a:solidFill>
          <a:ln>
            <a:noFill/>
          </a:ln>
          <a:effectLst/>
        </c:spPr>
      </c:pivotFmt>
      <c:pivotFmt>
        <c:idx val="3"/>
        <c:spPr>
          <a:solidFill>
            <a:srgbClr val="68A141"/>
          </a:solidFill>
          <a:ln>
            <a:noFill/>
          </a:ln>
          <a:effectLst/>
        </c:spPr>
      </c:pivotFmt>
      <c:pivotFmt>
        <c:idx val="4"/>
        <c:spPr>
          <a:solidFill>
            <a:srgbClr val="85BE5E"/>
          </a:solidFill>
          <a:ln>
            <a:noFill/>
          </a:ln>
          <a:effectLst/>
        </c:spPr>
      </c:pivotFmt>
      <c:pivotFmt>
        <c:idx val="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pivotFmt>
      <c:pivotFmt>
        <c:idx val="7"/>
        <c:spPr>
          <a:solidFill>
            <a:srgbClr val="4D7830"/>
          </a:solidFill>
          <a:ln>
            <a:noFill/>
          </a:ln>
          <a:effectLst/>
        </c:spPr>
      </c:pivotFmt>
      <c:pivotFmt>
        <c:idx val="8"/>
        <c:spPr>
          <a:solidFill>
            <a:srgbClr val="68A141"/>
          </a:solidFill>
          <a:ln>
            <a:noFill/>
          </a:ln>
          <a:effectLst/>
        </c:spPr>
      </c:pivotFmt>
      <c:pivotFmt>
        <c:idx val="9"/>
        <c:spPr>
          <a:solidFill>
            <a:srgbClr val="85BE5E"/>
          </a:solidFill>
          <a:ln>
            <a:noFill/>
          </a:ln>
          <a:effectLst/>
        </c:spPr>
      </c:pivotFmt>
      <c:pivotFmt>
        <c:idx val="1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50000"/>
            </a:schemeClr>
          </a:solidFill>
          <a:ln>
            <a:noFill/>
          </a:ln>
          <a:effectLst/>
        </c:spPr>
      </c:pivotFmt>
      <c:pivotFmt>
        <c:idx val="12"/>
        <c:spPr>
          <a:solidFill>
            <a:srgbClr val="4D7830"/>
          </a:solidFill>
          <a:ln>
            <a:noFill/>
          </a:ln>
          <a:effectLst/>
        </c:spPr>
      </c:pivotFmt>
      <c:pivotFmt>
        <c:idx val="13"/>
        <c:spPr>
          <a:solidFill>
            <a:srgbClr val="68A141"/>
          </a:solidFill>
          <a:ln>
            <a:noFill/>
          </a:ln>
          <a:effectLst/>
        </c:spPr>
      </c:pivotFmt>
      <c:pivotFmt>
        <c:idx val="14"/>
        <c:spPr>
          <a:solidFill>
            <a:srgbClr val="85BE5E"/>
          </a:solidFill>
          <a:ln>
            <a:noFill/>
          </a:ln>
          <a:effectLst/>
        </c:spPr>
      </c:pivotFmt>
    </c:pivotFmts>
    <c:plotArea>
      <c:layout/>
      <c:pieChart>
        <c:varyColors val="1"/>
        <c:ser>
          <c:idx val="0"/>
          <c:order val="0"/>
          <c:tx>
            <c:strRef>
              <c:f>'Sales By Region'!$B$3</c:f>
              <c:strCache>
                <c:ptCount val="1"/>
                <c:pt idx="0">
                  <c:v>Total</c:v>
                </c:pt>
              </c:strCache>
            </c:strRef>
          </c:tx>
          <c:spPr>
            <a:solidFill>
              <a:schemeClr val="accent6">
                <a:lumMod val="50000"/>
              </a:schemeClr>
            </a:solidFill>
            <a:ln>
              <a:noFill/>
            </a:ln>
          </c:spPr>
          <c:explosion val="2"/>
          <c:dPt>
            <c:idx val="0"/>
            <c:bubble3D val="0"/>
            <c:spPr>
              <a:solidFill>
                <a:schemeClr val="accent6">
                  <a:lumMod val="50000"/>
                </a:schemeClr>
              </a:solidFill>
              <a:ln>
                <a:noFill/>
              </a:ln>
              <a:effectLst/>
            </c:spPr>
            <c:extLst>
              <c:ext xmlns:c16="http://schemas.microsoft.com/office/drawing/2014/chart" uri="{C3380CC4-5D6E-409C-BE32-E72D297353CC}">
                <c16:uniqueId val="{00000001-A275-4DE3-B4D7-CE2E3ACD37DF}"/>
              </c:ext>
            </c:extLst>
          </c:dPt>
          <c:dPt>
            <c:idx val="1"/>
            <c:bubble3D val="0"/>
            <c:spPr>
              <a:solidFill>
                <a:srgbClr val="4D7830"/>
              </a:solidFill>
              <a:ln>
                <a:noFill/>
              </a:ln>
              <a:effectLst/>
            </c:spPr>
            <c:extLst>
              <c:ext xmlns:c16="http://schemas.microsoft.com/office/drawing/2014/chart" uri="{C3380CC4-5D6E-409C-BE32-E72D297353CC}">
                <c16:uniqueId val="{00000003-A275-4DE3-B4D7-CE2E3ACD37DF}"/>
              </c:ext>
            </c:extLst>
          </c:dPt>
          <c:dPt>
            <c:idx val="2"/>
            <c:bubble3D val="0"/>
            <c:spPr>
              <a:solidFill>
                <a:srgbClr val="68A141"/>
              </a:solidFill>
              <a:ln>
                <a:noFill/>
              </a:ln>
              <a:effectLst/>
            </c:spPr>
            <c:extLst>
              <c:ext xmlns:c16="http://schemas.microsoft.com/office/drawing/2014/chart" uri="{C3380CC4-5D6E-409C-BE32-E72D297353CC}">
                <c16:uniqueId val="{00000005-A275-4DE3-B4D7-CE2E3ACD37DF}"/>
              </c:ext>
            </c:extLst>
          </c:dPt>
          <c:dPt>
            <c:idx val="3"/>
            <c:bubble3D val="0"/>
            <c:spPr>
              <a:solidFill>
                <a:srgbClr val="85BE5E"/>
              </a:solidFill>
              <a:ln>
                <a:noFill/>
              </a:ln>
              <a:effectLst/>
            </c:spPr>
            <c:extLst>
              <c:ext xmlns:c16="http://schemas.microsoft.com/office/drawing/2014/chart" uri="{C3380CC4-5D6E-409C-BE32-E72D297353CC}">
                <c16:uniqueId val="{00000007-A275-4DE3-B4D7-CE2E3ACD37DF}"/>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Region'!$A$4:$A$8</c:f>
              <c:strCache>
                <c:ptCount val="4"/>
                <c:pt idx="0">
                  <c:v>North</c:v>
                </c:pt>
                <c:pt idx="1">
                  <c:v>East</c:v>
                </c:pt>
                <c:pt idx="2">
                  <c:v>South</c:v>
                </c:pt>
                <c:pt idx="3">
                  <c:v>West</c:v>
                </c:pt>
              </c:strCache>
            </c:strRef>
          </c:cat>
          <c:val>
            <c:numRef>
              <c:f>'Sales By Region'!$B$4:$B$8</c:f>
              <c:numCache>
                <c:formatCode>[$$-409]#,##0.00</c:formatCode>
                <c:ptCount val="4"/>
                <c:pt idx="0">
                  <c:v>141680.33999999997</c:v>
                </c:pt>
                <c:pt idx="1">
                  <c:v>108275.51</c:v>
                </c:pt>
                <c:pt idx="2">
                  <c:v>93858.329999999987</c:v>
                </c:pt>
                <c:pt idx="3">
                  <c:v>91251.979999999981</c:v>
                </c:pt>
              </c:numCache>
            </c:numRef>
          </c:val>
          <c:extLst>
            <c:ext xmlns:c16="http://schemas.microsoft.com/office/drawing/2014/chart" uri="{C3380CC4-5D6E-409C-BE32-E72D297353CC}">
              <c16:uniqueId val="{00000008-A275-4DE3-B4D7-CE2E3ACD37DF}"/>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50800" dir="5400000" algn="ctr" rotWithShape="0">
        <a:srgbClr val="538034">
          <a:alpha val="50000"/>
        </a:srgb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Dashboard Completion &amp; Recommendations Board.xlsx]Sales By Salespersons!PivotTable1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6">
                    <a:lumMod val="50000"/>
                  </a:schemeClr>
                </a:solidFill>
                <a:latin typeface="Amasis MT Std" panose="02040802050304020203" pitchFamily="18" charset="0"/>
              </a:rPr>
              <a:t>Sales By Salespersons</a:t>
            </a:r>
          </a:p>
        </c:rich>
      </c:tx>
      <c:layout>
        <c:manualLayout>
          <c:xMode val="edge"/>
          <c:yMode val="edge"/>
          <c:x val="1.2588844172236132E-2"/>
          <c:y val="1.72269494599283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rgbClr val="4D7830"/>
          </a:solidFill>
          <a:ln>
            <a:noFill/>
          </a:ln>
          <a:effectLst/>
        </c:spPr>
      </c:pivotFmt>
      <c:pivotFmt>
        <c:idx val="3"/>
        <c:spPr>
          <a:solidFill>
            <a:srgbClr val="68A141"/>
          </a:solidFill>
          <a:ln>
            <a:noFill/>
          </a:ln>
          <a:effectLst/>
        </c:spPr>
      </c:pivotFmt>
      <c:pivotFmt>
        <c:idx val="4"/>
        <c:spPr>
          <a:solidFill>
            <a:srgbClr val="85BE5E"/>
          </a:solidFill>
          <a:ln>
            <a:noFill/>
          </a:ln>
          <a:effectLst/>
        </c:spPr>
      </c:pivotFmt>
      <c:pivotFmt>
        <c:idx val="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pivotFmt>
      <c:pivotFmt>
        <c:idx val="7"/>
        <c:spPr>
          <a:solidFill>
            <a:srgbClr val="4D7830"/>
          </a:solidFill>
          <a:ln>
            <a:noFill/>
          </a:ln>
          <a:effectLst/>
        </c:spPr>
      </c:pivotFmt>
      <c:pivotFmt>
        <c:idx val="8"/>
        <c:spPr>
          <a:solidFill>
            <a:srgbClr val="68A141"/>
          </a:solidFill>
          <a:ln>
            <a:noFill/>
          </a:ln>
          <a:effectLst/>
        </c:spPr>
      </c:pivotFmt>
      <c:pivotFmt>
        <c:idx val="9"/>
        <c:spPr>
          <a:solidFill>
            <a:srgbClr val="85BE5E"/>
          </a:solidFill>
          <a:ln>
            <a:noFill/>
          </a:ln>
          <a:effectLst/>
        </c:spPr>
      </c:pivotFmt>
      <c:pivotFmt>
        <c:idx val="10"/>
        <c:spPr>
          <a:solidFill>
            <a:schemeClr val="accent6">
              <a:lumMod val="75000"/>
            </a:schemeClr>
          </a:solidFill>
          <a:ln>
            <a:noFill/>
          </a:ln>
          <a:effectLst/>
        </c:spPr>
      </c:pivotFmt>
      <c:pivotFmt>
        <c:idx val="11"/>
        <c:spPr>
          <a:solidFill>
            <a:srgbClr val="68A141"/>
          </a:solidFill>
          <a:ln>
            <a:noFill/>
          </a:ln>
          <a:effectLst/>
        </c:spPr>
      </c:pivotFmt>
      <c:pivotFmt>
        <c:idx val="12"/>
        <c:spPr>
          <a:solidFill>
            <a:srgbClr val="85BE5E"/>
          </a:solidFill>
          <a:ln>
            <a:noFill/>
          </a:ln>
          <a:effectLst/>
        </c:spPr>
      </c:pivotFmt>
      <c:pivotFmt>
        <c:idx val="13"/>
        <c:spPr>
          <a:solidFill>
            <a:srgbClr val="80BC58"/>
          </a:solidFill>
          <a:ln>
            <a:noFill/>
          </a:ln>
          <a:effectLst/>
        </c:spPr>
      </c:pivotFmt>
      <c:pivotFmt>
        <c:idx val="14"/>
        <c:spPr>
          <a:solidFill>
            <a:schemeClr val="accent6">
              <a:lumMod val="50000"/>
            </a:schemeClr>
          </a:solidFill>
          <a:ln>
            <a:noFill/>
          </a:ln>
          <a:effectLst/>
        </c:spPr>
      </c:pivotFmt>
      <c:pivotFmt>
        <c:idx val="15"/>
        <c:spPr>
          <a:solidFill>
            <a:srgbClr val="89C163"/>
          </a:solidFill>
          <a:ln>
            <a:noFill/>
          </a:ln>
          <a:effectLst/>
        </c:spPr>
      </c:pivotFmt>
      <c:pivotFmt>
        <c:idx val="16"/>
        <c:spPr>
          <a:solidFill>
            <a:srgbClr val="9ECB7F"/>
          </a:solidFill>
          <a:ln>
            <a:noFill/>
          </a:ln>
          <a:effectLst/>
        </c:spPr>
      </c:pivotFmt>
      <c:pivotFmt>
        <c:idx val="17"/>
        <c:spPr>
          <a:solidFill>
            <a:srgbClr val="CBE3BB"/>
          </a:solidFill>
          <a:ln>
            <a:noFill/>
          </a:ln>
          <a:effectLst/>
        </c:spPr>
      </c:pivotFmt>
      <c:pivotFmt>
        <c:idx val="18"/>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lumMod val="75000"/>
            </a:schemeClr>
          </a:solidFill>
          <a:ln>
            <a:noFill/>
          </a:ln>
          <a:effectLst/>
        </c:spPr>
      </c:pivotFmt>
      <c:pivotFmt>
        <c:idx val="20"/>
        <c:spPr>
          <a:solidFill>
            <a:srgbClr val="68A141"/>
          </a:solidFill>
          <a:ln>
            <a:noFill/>
          </a:ln>
          <a:effectLst/>
        </c:spPr>
      </c:pivotFmt>
      <c:pivotFmt>
        <c:idx val="21"/>
        <c:spPr>
          <a:solidFill>
            <a:srgbClr val="85BE5E"/>
          </a:solidFill>
          <a:ln>
            <a:noFill/>
          </a:ln>
          <a:effectLst/>
        </c:spPr>
      </c:pivotFmt>
      <c:pivotFmt>
        <c:idx val="22"/>
        <c:spPr>
          <a:solidFill>
            <a:srgbClr val="80BC58"/>
          </a:solidFill>
          <a:ln>
            <a:noFill/>
          </a:ln>
          <a:effectLst/>
        </c:spPr>
      </c:pivotFmt>
      <c:pivotFmt>
        <c:idx val="23"/>
        <c:spPr>
          <a:solidFill>
            <a:srgbClr val="89C163"/>
          </a:solidFill>
          <a:ln>
            <a:noFill/>
          </a:ln>
          <a:effectLst/>
        </c:spPr>
      </c:pivotFmt>
      <c:pivotFmt>
        <c:idx val="24"/>
        <c:spPr>
          <a:solidFill>
            <a:srgbClr val="9ECB7F"/>
          </a:solidFill>
          <a:ln>
            <a:noFill/>
          </a:ln>
          <a:effectLst/>
        </c:spPr>
      </c:pivotFmt>
      <c:pivotFmt>
        <c:idx val="25"/>
        <c:spPr>
          <a:solidFill>
            <a:srgbClr val="CBE3BB"/>
          </a:solidFill>
          <a:ln>
            <a:noFill/>
          </a:ln>
          <a:effectLst/>
        </c:spPr>
      </c:pivotFmt>
      <c:pivotFmt>
        <c:idx val="26"/>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lumMod val="75000"/>
            </a:schemeClr>
          </a:solidFill>
          <a:ln>
            <a:noFill/>
          </a:ln>
          <a:effectLst/>
        </c:spPr>
      </c:pivotFmt>
      <c:pivotFmt>
        <c:idx val="28"/>
        <c:spPr>
          <a:solidFill>
            <a:srgbClr val="68A141"/>
          </a:solidFill>
          <a:ln>
            <a:noFill/>
          </a:ln>
          <a:effectLst/>
        </c:spPr>
      </c:pivotFmt>
      <c:pivotFmt>
        <c:idx val="29"/>
        <c:spPr>
          <a:solidFill>
            <a:srgbClr val="85BE5E"/>
          </a:solidFill>
          <a:ln>
            <a:noFill/>
          </a:ln>
          <a:effectLst/>
        </c:spPr>
      </c:pivotFmt>
      <c:pivotFmt>
        <c:idx val="30"/>
        <c:spPr>
          <a:solidFill>
            <a:srgbClr val="80BC58"/>
          </a:solidFill>
          <a:ln>
            <a:noFill/>
          </a:ln>
          <a:effectLst/>
        </c:spPr>
      </c:pivotFmt>
      <c:pivotFmt>
        <c:idx val="31"/>
        <c:spPr>
          <a:solidFill>
            <a:srgbClr val="89C163"/>
          </a:solidFill>
          <a:ln>
            <a:noFill/>
          </a:ln>
          <a:effectLst/>
        </c:spPr>
      </c:pivotFmt>
      <c:pivotFmt>
        <c:idx val="32"/>
        <c:spPr>
          <a:solidFill>
            <a:srgbClr val="9ECB7F"/>
          </a:solidFill>
          <a:ln>
            <a:noFill/>
          </a:ln>
          <a:effectLst/>
        </c:spPr>
      </c:pivotFmt>
      <c:pivotFmt>
        <c:idx val="33"/>
        <c:spPr>
          <a:solidFill>
            <a:srgbClr val="CBE3BB"/>
          </a:solidFill>
          <a:ln>
            <a:noFill/>
          </a:ln>
          <a:effectLst/>
        </c:spPr>
      </c:pivotFmt>
    </c:pivotFmts>
    <c:plotArea>
      <c:layout/>
      <c:barChart>
        <c:barDir val="bar"/>
        <c:grouping val="clustered"/>
        <c:varyColors val="0"/>
        <c:ser>
          <c:idx val="0"/>
          <c:order val="0"/>
          <c:tx>
            <c:strRef>
              <c:f>'Sales By Salespersons'!$B$3</c:f>
              <c:strCache>
                <c:ptCount val="1"/>
                <c:pt idx="0">
                  <c:v>Total</c:v>
                </c:pt>
              </c:strCache>
            </c:strRef>
          </c:tx>
          <c:spPr>
            <a:solidFill>
              <a:schemeClr val="accent6">
                <a:lumMod val="50000"/>
              </a:schemeClr>
            </a:solidFill>
            <a:ln>
              <a:noFill/>
            </a:ln>
            <a:effectLst/>
          </c:spPr>
          <c:invertIfNegative val="0"/>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1-C117-4F59-B793-9B0082370604}"/>
              </c:ext>
            </c:extLst>
          </c:dPt>
          <c:dPt>
            <c:idx val="2"/>
            <c:invertIfNegative val="0"/>
            <c:bubble3D val="0"/>
            <c:spPr>
              <a:solidFill>
                <a:srgbClr val="68A141"/>
              </a:solidFill>
              <a:ln>
                <a:noFill/>
              </a:ln>
              <a:effectLst/>
            </c:spPr>
            <c:extLst>
              <c:ext xmlns:c16="http://schemas.microsoft.com/office/drawing/2014/chart" uri="{C3380CC4-5D6E-409C-BE32-E72D297353CC}">
                <c16:uniqueId val="{00000003-C117-4F59-B793-9B0082370604}"/>
              </c:ext>
            </c:extLst>
          </c:dPt>
          <c:dPt>
            <c:idx val="3"/>
            <c:invertIfNegative val="0"/>
            <c:bubble3D val="0"/>
            <c:spPr>
              <a:solidFill>
                <a:srgbClr val="85BE5E"/>
              </a:solidFill>
              <a:ln>
                <a:noFill/>
              </a:ln>
              <a:effectLst/>
            </c:spPr>
            <c:extLst>
              <c:ext xmlns:c16="http://schemas.microsoft.com/office/drawing/2014/chart" uri="{C3380CC4-5D6E-409C-BE32-E72D297353CC}">
                <c16:uniqueId val="{00000005-C117-4F59-B793-9B0082370604}"/>
              </c:ext>
            </c:extLst>
          </c:dPt>
          <c:dPt>
            <c:idx val="4"/>
            <c:invertIfNegative val="0"/>
            <c:bubble3D val="0"/>
            <c:spPr>
              <a:solidFill>
                <a:srgbClr val="80BC58"/>
              </a:solidFill>
              <a:ln>
                <a:noFill/>
              </a:ln>
              <a:effectLst/>
            </c:spPr>
            <c:extLst>
              <c:ext xmlns:c16="http://schemas.microsoft.com/office/drawing/2014/chart" uri="{C3380CC4-5D6E-409C-BE32-E72D297353CC}">
                <c16:uniqueId val="{00000007-C117-4F59-B793-9B0082370604}"/>
              </c:ext>
            </c:extLst>
          </c:dPt>
          <c:dPt>
            <c:idx val="5"/>
            <c:invertIfNegative val="0"/>
            <c:bubble3D val="0"/>
            <c:spPr>
              <a:solidFill>
                <a:srgbClr val="89C163"/>
              </a:solidFill>
              <a:ln>
                <a:noFill/>
              </a:ln>
              <a:effectLst/>
            </c:spPr>
            <c:extLst>
              <c:ext xmlns:c16="http://schemas.microsoft.com/office/drawing/2014/chart" uri="{C3380CC4-5D6E-409C-BE32-E72D297353CC}">
                <c16:uniqueId val="{00000009-C117-4F59-B793-9B0082370604}"/>
              </c:ext>
            </c:extLst>
          </c:dPt>
          <c:dPt>
            <c:idx val="6"/>
            <c:invertIfNegative val="0"/>
            <c:bubble3D val="0"/>
            <c:spPr>
              <a:solidFill>
                <a:srgbClr val="9ECB7F"/>
              </a:solidFill>
              <a:ln>
                <a:noFill/>
              </a:ln>
              <a:effectLst/>
            </c:spPr>
            <c:extLst>
              <c:ext xmlns:c16="http://schemas.microsoft.com/office/drawing/2014/chart" uri="{C3380CC4-5D6E-409C-BE32-E72D297353CC}">
                <c16:uniqueId val="{0000000B-C117-4F59-B793-9B0082370604}"/>
              </c:ext>
            </c:extLst>
          </c:dPt>
          <c:dPt>
            <c:idx val="7"/>
            <c:invertIfNegative val="0"/>
            <c:bubble3D val="0"/>
            <c:spPr>
              <a:solidFill>
                <a:srgbClr val="CBE3BB"/>
              </a:solidFill>
              <a:ln>
                <a:noFill/>
              </a:ln>
              <a:effectLst/>
            </c:spPr>
            <c:extLst>
              <c:ext xmlns:c16="http://schemas.microsoft.com/office/drawing/2014/chart" uri="{C3380CC4-5D6E-409C-BE32-E72D297353CC}">
                <c16:uniqueId val="{0000000D-C117-4F59-B793-9B0082370604}"/>
              </c:ext>
            </c:extLst>
          </c:dPt>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Salespersons'!$A$4:$A$12</c:f>
              <c:strCache>
                <c:ptCount val="8"/>
                <c:pt idx="0">
                  <c:v>Nancy Freehafer</c:v>
                </c:pt>
                <c:pt idx="1">
                  <c:v>Anne Larsen</c:v>
                </c:pt>
                <c:pt idx="2">
                  <c:v>Andrew Cencini</c:v>
                </c:pt>
                <c:pt idx="3">
                  <c:v>Mariya Sergienko</c:v>
                </c:pt>
                <c:pt idx="4">
                  <c:v>Laura Giussani</c:v>
                </c:pt>
                <c:pt idx="5">
                  <c:v>Michael Neipper</c:v>
                </c:pt>
                <c:pt idx="6">
                  <c:v>Robert Zare</c:v>
                </c:pt>
                <c:pt idx="7">
                  <c:v>Jan Kotas</c:v>
                </c:pt>
              </c:strCache>
            </c:strRef>
          </c:cat>
          <c:val>
            <c:numRef>
              <c:f>'Sales By Salespersons'!$B$4:$B$12</c:f>
              <c:numCache>
                <c:formatCode>[$$-409]#,##0.00</c:formatCode>
                <c:ptCount val="8"/>
                <c:pt idx="0">
                  <c:v>104252.33999999997</c:v>
                </c:pt>
                <c:pt idx="1">
                  <c:v>93858.329999999987</c:v>
                </c:pt>
                <c:pt idx="2">
                  <c:v>67180.5</c:v>
                </c:pt>
                <c:pt idx="3">
                  <c:v>42370.880000000005</c:v>
                </c:pt>
                <c:pt idx="4">
                  <c:v>41095.01</c:v>
                </c:pt>
                <c:pt idx="5">
                  <c:v>37428</c:v>
                </c:pt>
                <c:pt idx="6">
                  <c:v>32530.6</c:v>
                </c:pt>
                <c:pt idx="7">
                  <c:v>16350.5</c:v>
                </c:pt>
              </c:numCache>
            </c:numRef>
          </c:val>
          <c:extLst>
            <c:ext xmlns:c16="http://schemas.microsoft.com/office/drawing/2014/chart" uri="{C3380CC4-5D6E-409C-BE32-E72D297353CC}">
              <c16:uniqueId val="{0000000E-C117-4F59-B793-9B0082370604}"/>
            </c:ext>
          </c:extLst>
        </c:ser>
        <c:dLbls>
          <c:showLegendKey val="0"/>
          <c:showVal val="0"/>
          <c:showCatName val="0"/>
          <c:showSerName val="0"/>
          <c:showPercent val="0"/>
          <c:showBubbleSize val="0"/>
        </c:dLbls>
        <c:gapWidth val="22"/>
        <c:axId val="45178143"/>
        <c:axId val="1903841199"/>
      </c:barChart>
      <c:valAx>
        <c:axId val="1903841199"/>
        <c:scaling>
          <c:orientation val="minMax"/>
        </c:scaling>
        <c:delete val="1"/>
        <c:axPos val="t"/>
        <c:majorGridlines>
          <c:spPr>
            <a:ln w="9525" cap="flat" cmpd="sng" algn="ctr">
              <a:solidFill>
                <a:schemeClr val="tx1">
                  <a:lumMod val="15000"/>
                  <a:lumOff val="85000"/>
                </a:schemeClr>
              </a:solidFill>
              <a:round/>
            </a:ln>
            <a:effectLst/>
          </c:spPr>
        </c:majorGridlines>
        <c:numFmt formatCode="[$$-409]#,##0.00" sourceLinked="1"/>
        <c:majorTickMark val="out"/>
        <c:minorTickMark val="none"/>
        <c:tickLblPos val="nextTo"/>
        <c:crossAx val="45178143"/>
        <c:crosses val="autoZero"/>
        <c:crossBetween val="between"/>
      </c:valAx>
      <c:catAx>
        <c:axId val="4517814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NG"/>
          </a:p>
        </c:txPr>
        <c:crossAx val="190384119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50800" dir="5400000" algn="ctr" rotWithShape="0">
        <a:srgbClr val="538034">
          <a:alpha val="50000"/>
        </a:srgb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Dashboard Completion &amp; Recommendations Board.xlsx]Sales Trend!PivotTable1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6">
                    <a:lumMod val="50000"/>
                  </a:schemeClr>
                </a:solidFill>
                <a:latin typeface="Amasis MT Std" panose="02040802050304020203" pitchFamily="18" charset="0"/>
              </a:rPr>
              <a:t>Sales Trend</a:t>
            </a:r>
          </a:p>
        </c:rich>
      </c:tx>
      <c:layout>
        <c:manualLayout>
          <c:xMode val="edge"/>
          <c:yMode val="edge"/>
          <c:x val="6.2028033415038849E-3"/>
          <c:y val="3.650792236288472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rgbClr val="4D7830"/>
          </a:solidFill>
          <a:ln>
            <a:noFill/>
          </a:ln>
          <a:effectLst/>
        </c:spPr>
      </c:pivotFmt>
      <c:pivotFmt>
        <c:idx val="3"/>
        <c:spPr>
          <a:solidFill>
            <a:srgbClr val="68A141"/>
          </a:solidFill>
          <a:ln>
            <a:noFill/>
          </a:ln>
          <a:effectLst/>
        </c:spPr>
      </c:pivotFmt>
      <c:pivotFmt>
        <c:idx val="4"/>
        <c:spPr>
          <a:solidFill>
            <a:srgbClr val="85BE5E"/>
          </a:solidFill>
          <a:ln>
            <a:noFill/>
          </a:ln>
          <a:effectLst/>
        </c:spPr>
      </c:pivotFmt>
      <c:pivotFmt>
        <c:idx val="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pivotFmt>
      <c:pivotFmt>
        <c:idx val="7"/>
        <c:spPr>
          <a:solidFill>
            <a:srgbClr val="4D7830"/>
          </a:solidFill>
          <a:ln>
            <a:noFill/>
          </a:ln>
          <a:effectLst/>
        </c:spPr>
      </c:pivotFmt>
      <c:pivotFmt>
        <c:idx val="8"/>
        <c:spPr>
          <a:solidFill>
            <a:srgbClr val="68A141"/>
          </a:solidFill>
          <a:ln>
            <a:noFill/>
          </a:ln>
          <a:effectLst/>
        </c:spPr>
      </c:pivotFmt>
      <c:pivotFmt>
        <c:idx val="9"/>
        <c:spPr>
          <a:solidFill>
            <a:srgbClr val="85BE5E"/>
          </a:solidFill>
          <a:ln>
            <a:noFill/>
          </a:ln>
          <a:effectLst/>
        </c:spPr>
      </c:pivotFmt>
      <c:pivotFmt>
        <c:idx val="10"/>
        <c:spPr>
          <a:solidFill>
            <a:schemeClr val="accent6">
              <a:lumMod val="75000"/>
            </a:schemeClr>
          </a:solidFill>
          <a:ln>
            <a:noFill/>
          </a:ln>
          <a:effectLst/>
        </c:spPr>
      </c:pivotFmt>
      <c:pivotFmt>
        <c:idx val="11"/>
        <c:spPr>
          <a:solidFill>
            <a:srgbClr val="68A141"/>
          </a:solidFill>
          <a:ln>
            <a:noFill/>
          </a:ln>
          <a:effectLst/>
        </c:spPr>
      </c:pivotFmt>
      <c:pivotFmt>
        <c:idx val="12"/>
        <c:spPr>
          <a:solidFill>
            <a:srgbClr val="85BE5E"/>
          </a:solidFill>
          <a:ln>
            <a:noFill/>
          </a:ln>
          <a:effectLst/>
        </c:spPr>
      </c:pivotFmt>
      <c:pivotFmt>
        <c:idx val="13"/>
        <c:spPr>
          <a:solidFill>
            <a:srgbClr val="80BC58"/>
          </a:solidFill>
          <a:ln>
            <a:noFill/>
          </a:ln>
          <a:effectLst/>
        </c:spPr>
      </c:pivotFmt>
      <c:pivotFmt>
        <c:idx val="14"/>
        <c:spPr>
          <a:solidFill>
            <a:schemeClr val="accent6">
              <a:lumMod val="50000"/>
            </a:schemeClr>
          </a:solidFill>
          <a:ln>
            <a:noFill/>
          </a:ln>
          <a:effectLst/>
        </c:spPr>
      </c:pivotFmt>
      <c:pivotFmt>
        <c:idx val="15"/>
        <c:spPr>
          <a:solidFill>
            <a:srgbClr val="89C163"/>
          </a:solidFill>
          <a:ln>
            <a:noFill/>
          </a:ln>
          <a:effectLst/>
        </c:spPr>
      </c:pivotFmt>
      <c:pivotFmt>
        <c:idx val="16"/>
        <c:spPr>
          <a:solidFill>
            <a:srgbClr val="9ECB7F"/>
          </a:solidFill>
          <a:ln>
            <a:noFill/>
          </a:ln>
          <a:effectLst/>
        </c:spPr>
      </c:pivotFmt>
      <c:pivotFmt>
        <c:idx val="17"/>
        <c:spPr>
          <a:solidFill>
            <a:srgbClr val="CBE3BB"/>
          </a:solidFill>
          <a:ln>
            <a:noFill/>
          </a:ln>
          <a:effectLst/>
        </c:spPr>
      </c:pivotFmt>
      <c:pivotFmt>
        <c:idx val="18"/>
        <c:spPr>
          <a:solidFill>
            <a:srgbClr val="43682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lumMod val="75000"/>
            </a:schemeClr>
          </a:solidFill>
          <a:ln>
            <a:noFill/>
          </a:ln>
          <a:effectLst/>
        </c:spPr>
      </c:pivotFmt>
      <c:pivotFmt>
        <c:idx val="20"/>
        <c:spPr>
          <a:solidFill>
            <a:srgbClr val="68A141"/>
          </a:solidFill>
          <a:ln>
            <a:noFill/>
          </a:ln>
          <a:effectLst/>
        </c:spPr>
      </c:pivotFmt>
      <c:pivotFmt>
        <c:idx val="21"/>
        <c:spPr>
          <a:solidFill>
            <a:srgbClr val="85BE5E"/>
          </a:solidFill>
          <a:ln>
            <a:noFill/>
          </a:ln>
          <a:effectLst/>
        </c:spPr>
      </c:pivotFmt>
      <c:pivotFmt>
        <c:idx val="22"/>
        <c:spPr>
          <a:solidFill>
            <a:srgbClr val="80BC58"/>
          </a:solidFill>
          <a:ln>
            <a:noFill/>
          </a:ln>
          <a:effectLst/>
        </c:spPr>
      </c:pivotFmt>
      <c:pivotFmt>
        <c:idx val="23"/>
        <c:spPr>
          <a:solidFill>
            <a:srgbClr val="89C163"/>
          </a:solidFill>
          <a:ln>
            <a:noFill/>
          </a:ln>
          <a:effectLst/>
        </c:spPr>
      </c:pivotFmt>
      <c:pivotFmt>
        <c:idx val="24"/>
        <c:spPr>
          <a:solidFill>
            <a:srgbClr val="9ECB7F"/>
          </a:solidFill>
          <a:ln>
            <a:noFill/>
          </a:ln>
          <a:effectLst/>
        </c:spPr>
      </c:pivotFmt>
      <c:pivotFmt>
        <c:idx val="25"/>
        <c:spPr>
          <a:solidFill>
            <a:srgbClr val="CBE3BB"/>
          </a:solidFill>
          <a:ln>
            <a:noFill/>
          </a:ln>
          <a:effectLst/>
        </c:spPr>
      </c:pivotFmt>
      <c:pivotFmt>
        <c:idx val="26"/>
        <c:spPr>
          <a:solidFill>
            <a:srgbClr val="43682A"/>
          </a:solidFill>
          <a:ln>
            <a:noFill/>
          </a:ln>
          <a:effectLst/>
        </c:spPr>
      </c:pivotFmt>
      <c:pivotFmt>
        <c:idx val="27"/>
        <c:spPr>
          <a:solidFill>
            <a:srgbClr val="4B752F"/>
          </a:solidFill>
          <a:ln>
            <a:noFill/>
          </a:ln>
          <a:effectLst/>
        </c:spPr>
      </c:pivotFmt>
      <c:pivotFmt>
        <c:idx val="28"/>
        <c:spPr>
          <a:solidFill>
            <a:srgbClr val="558335"/>
          </a:solidFill>
          <a:ln>
            <a:noFill/>
          </a:ln>
          <a:effectLst/>
        </c:spPr>
      </c:pivotFmt>
      <c:pivotFmt>
        <c:idx val="29"/>
        <c:spPr>
          <a:solidFill>
            <a:srgbClr val="60943C"/>
          </a:solidFill>
          <a:ln>
            <a:noFill/>
          </a:ln>
          <a:effectLst/>
        </c:spPr>
      </c:pivotFmt>
      <c:pivotFmt>
        <c:idx val="30"/>
        <c:spPr>
          <a:solidFill>
            <a:srgbClr val="6DA945"/>
          </a:solidFill>
          <a:ln>
            <a:noFill/>
          </a:ln>
          <a:effectLst/>
        </c:spPr>
      </c:pivotFmt>
      <c:pivotFmt>
        <c:idx val="31"/>
        <c:spPr>
          <a:solidFill>
            <a:srgbClr val="7AB850"/>
          </a:solidFill>
          <a:ln>
            <a:noFill/>
          </a:ln>
          <a:effectLst/>
        </c:spPr>
      </c:pivotFmt>
      <c:pivotFmt>
        <c:idx val="32"/>
        <c:spPr>
          <a:solidFill>
            <a:srgbClr val="85BE5E"/>
          </a:solidFill>
          <a:ln>
            <a:noFill/>
          </a:ln>
          <a:effectLst/>
        </c:spPr>
      </c:pivotFmt>
      <c:pivotFmt>
        <c:idx val="33"/>
        <c:spPr>
          <a:solidFill>
            <a:srgbClr val="8FC36B"/>
          </a:solidFill>
          <a:ln>
            <a:noFill/>
          </a:ln>
          <a:effectLst/>
        </c:spPr>
      </c:pivotFmt>
      <c:pivotFmt>
        <c:idx val="34"/>
        <c:spPr>
          <a:solidFill>
            <a:srgbClr val="B6DBA5"/>
          </a:solidFill>
          <a:ln>
            <a:noFill/>
          </a:ln>
          <a:effectLst/>
        </c:spPr>
      </c:pivotFmt>
      <c:pivotFmt>
        <c:idx val="35"/>
        <c:spPr>
          <a:solidFill>
            <a:srgbClr val="C7E1B5"/>
          </a:solidFill>
          <a:ln>
            <a:noFill/>
          </a:ln>
          <a:effectLst/>
        </c:spPr>
      </c:pivotFmt>
      <c:pivotFmt>
        <c:idx val="36"/>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4B752F"/>
          </a:solidFill>
          <a:ln>
            <a:noFill/>
          </a:ln>
          <a:effectLst/>
        </c:spPr>
      </c:pivotFmt>
      <c:pivotFmt>
        <c:idx val="38"/>
        <c:spPr>
          <a:solidFill>
            <a:srgbClr val="558335"/>
          </a:solidFill>
          <a:ln>
            <a:noFill/>
          </a:ln>
          <a:effectLst/>
        </c:spPr>
      </c:pivotFmt>
      <c:pivotFmt>
        <c:idx val="39"/>
        <c:spPr>
          <a:solidFill>
            <a:srgbClr val="60943C"/>
          </a:solidFill>
          <a:ln>
            <a:noFill/>
          </a:ln>
          <a:effectLst/>
        </c:spPr>
      </c:pivotFmt>
      <c:pivotFmt>
        <c:idx val="40"/>
        <c:spPr>
          <a:solidFill>
            <a:srgbClr val="6DA945"/>
          </a:solidFill>
          <a:ln>
            <a:noFill/>
          </a:ln>
          <a:effectLst/>
        </c:spPr>
      </c:pivotFmt>
      <c:pivotFmt>
        <c:idx val="41"/>
        <c:spPr>
          <a:solidFill>
            <a:srgbClr val="7AB850"/>
          </a:solidFill>
          <a:ln>
            <a:noFill/>
          </a:ln>
          <a:effectLst/>
        </c:spPr>
      </c:pivotFmt>
      <c:pivotFmt>
        <c:idx val="42"/>
        <c:spPr>
          <a:solidFill>
            <a:srgbClr val="85BE5E"/>
          </a:solidFill>
          <a:ln>
            <a:noFill/>
          </a:ln>
          <a:effectLst/>
        </c:spPr>
      </c:pivotFmt>
      <c:pivotFmt>
        <c:idx val="43"/>
        <c:spPr>
          <a:solidFill>
            <a:srgbClr val="8FC36B"/>
          </a:solidFill>
          <a:ln>
            <a:noFill/>
          </a:ln>
          <a:effectLst/>
        </c:spPr>
      </c:pivotFmt>
      <c:pivotFmt>
        <c:idx val="44"/>
        <c:spPr>
          <a:solidFill>
            <a:srgbClr val="B6DBA5"/>
          </a:solidFill>
          <a:ln>
            <a:noFill/>
          </a:ln>
          <a:effectLst/>
        </c:spPr>
      </c:pivotFmt>
      <c:pivotFmt>
        <c:idx val="45"/>
        <c:spPr>
          <a:solidFill>
            <a:srgbClr val="C7E1B5"/>
          </a:solidFill>
          <a:ln>
            <a:noFill/>
          </a:ln>
          <a:effectLst/>
        </c:spPr>
      </c:pivotFmt>
      <c:pivotFmt>
        <c:idx val="46"/>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47"/>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48"/>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49"/>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50"/>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51"/>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52"/>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53"/>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54"/>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55"/>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57"/>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58"/>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59"/>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60"/>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61"/>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62"/>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63"/>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64"/>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65"/>
        <c:spPr>
          <a:ln w="28575" cap="rnd">
            <a:solidFill>
              <a:schemeClr val="accent6">
                <a:lumMod val="5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6"/>
        <c:spPr>
          <a:ln w="28575" cap="rnd">
            <a:solidFill>
              <a:schemeClr val="accent6">
                <a:lumMod val="50000"/>
              </a:schemeClr>
            </a:solidFill>
            <a:round/>
          </a:ln>
          <a:effectLst/>
        </c:spPr>
        <c:marker>
          <c:symbol val="circle"/>
          <c:size val="5"/>
        </c:marker>
      </c:pivotFmt>
      <c:pivotFmt>
        <c:idx val="67"/>
        <c:spPr>
          <a:ln w="28575" cap="rnd">
            <a:solidFill>
              <a:schemeClr val="accent6">
                <a:lumMod val="50000"/>
              </a:schemeClr>
            </a:solidFill>
            <a:round/>
          </a:ln>
          <a:effectLst/>
        </c:spPr>
        <c:marker>
          <c:symbol val="circle"/>
          <c:size val="5"/>
        </c:marker>
      </c:pivotFmt>
      <c:pivotFmt>
        <c:idx val="68"/>
        <c:spPr>
          <a:ln w="28575" cap="rnd">
            <a:solidFill>
              <a:schemeClr val="accent6">
                <a:lumMod val="50000"/>
              </a:schemeClr>
            </a:solidFill>
            <a:round/>
          </a:ln>
          <a:effectLst/>
        </c:spPr>
        <c:marker>
          <c:symbol val="circle"/>
          <c:size val="5"/>
        </c:marker>
      </c:pivotFmt>
      <c:pivotFmt>
        <c:idx val="69"/>
        <c:spPr>
          <a:ln w="28575" cap="rnd">
            <a:solidFill>
              <a:schemeClr val="accent6">
                <a:lumMod val="50000"/>
              </a:schemeClr>
            </a:solidFill>
            <a:round/>
          </a:ln>
          <a:effectLst/>
        </c:spPr>
        <c:marker>
          <c:symbol val="circle"/>
          <c:size val="5"/>
        </c:marker>
      </c:pivotFmt>
      <c:pivotFmt>
        <c:idx val="70"/>
        <c:spPr>
          <a:ln w="28575" cap="rnd">
            <a:solidFill>
              <a:schemeClr val="accent6">
                <a:lumMod val="50000"/>
              </a:schemeClr>
            </a:solidFill>
            <a:round/>
          </a:ln>
          <a:effectLst/>
        </c:spPr>
        <c:marker>
          <c:symbol val="circle"/>
          <c:size val="5"/>
        </c:marker>
      </c:pivotFmt>
      <c:pivotFmt>
        <c:idx val="71"/>
        <c:spPr>
          <a:ln w="28575" cap="rnd">
            <a:solidFill>
              <a:schemeClr val="accent6">
                <a:lumMod val="50000"/>
              </a:schemeClr>
            </a:solidFill>
            <a:round/>
          </a:ln>
          <a:effectLst/>
        </c:spPr>
        <c:marker>
          <c:symbol val="circle"/>
          <c:size val="5"/>
        </c:marker>
      </c:pivotFmt>
      <c:pivotFmt>
        <c:idx val="72"/>
        <c:spPr>
          <a:ln w="28575" cap="rnd">
            <a:solidFill>
              <a:schemeClr val="accent6">
                <a:lumMod val="50000"/>
              </a:schemeClr>
            </a:solidFill>
            <a:round/>
          </a:ln>
          <a:effectLst/>
        </c:spPr>
        <c:marker>
          <c:symbol val="circle"/>
          <c:size val="5"/>
        </c:marker>
      </c:pivotFmt>
      <c:pivotFmt>
        <c:idx val="73"/>
        <c:spPr>
          <a:ln w="28575" cap="rnd">
            <a:solidFill>
              <a:schemeClr val="accent6">
                <a:lumMod val="50000"/>
              </a:schemeClr>
            </a:solidFill>
            <a:round/>
          </a:ln>
          <a:effectLst/>
        </c:spPr>
        <c:marker>
          <c:symbol val="circle"/>
          <c:size val="5"/>
        </c:marker>
      </c:pivotFmt>
      <c:pivotFmt>
        <c:idx val="74"/>
        <c:spPr>
          <a:ln w="28575" cap="rnd">
            <a:solidFill>
              <a:schemeClr val="accent6">
                <a:lumMod val="50000"/>
              </a:schemeClr>
            </a:solidFill>
            <a:round/>
          </a:ln>
          <a:effectLst/>
        </c:spPr>
        <c:marker>
          <c:symbol val="circle"/>
          <c:size val="5"/>
        </c:marker>
      </c:pivotFmt>
    </c:pivotFmts>
    <c:plotArea>
      <c:layout>
        <c:manualLayout>
          <c:layoutTarget val="inner"/>
          <c:xMode val="edge"/>
          <c:yMode val="edge"/>
          <c:x val="1.9830074572152301E-2"/>
          <c:y val="0.16169280555982887"/>
          <c:w val="0.9603398508556954"/>
          <c:h val="0.67585622037284243"/>
        </c:manualLayout>
      </c:layout>
      <c:lineChart>
        <c:grouping val="standard"/>
        <c:varyColors val="0"/>
        <c:ser>
          <c:idx val="0"/>
          <c:order val="0"/>
          <c:tx>
            <c:strRef>
              <c:f>'Sales Trend'!$B$3</c:f>
              <c:strCache>
                <c:ptCount val="1"/>
                <c:pt idx="0">
                  <c:v>Total</c:v>
                </c:pt>
              </c:strCache>
            </c:strRef>
          </c:tx>
          <c:spPr>
            <a:ln w="28575" cap="rnd">
              <a:solidFill>
                <a:schemeClr val="accent6">
                  <a:lumMod val="5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dPt>
            <c:idx val="1"/>
            <c:marker>
              <c:symbol val="circle"/>
              <c:size val="5"/>
              <c:spPr>
                <a:solidFill>
                  <a:schemeClr val="accent6">
                    <a:lumMod val="60000"/>
                    <a:lumOff val="40000"/>
                  </a:schemeClr>
                </a:solidFill>
                <a:ln w="9525">
                  <a:solidFill>
                    <a:schemeClr val="accent6">
                      <a:lumMod val="60000"/>
                      <a:lumOff val="40000"/>
                    </a:schemeClr>
                  </a:solidFill>
                </a:ln>
                <a:effectLst/>
              </c:spPr>
            </c:marker>
            <c:bubble3D val="0"/>
            <c:spPr>
              <a:ln w="28575" cap="rnd">
                <a:solidFill>
                  <a:schemeClr val="accent6">
                    <a:lumMod val="50000"/>
                  </a:schemeClr>
                </a:solidFill>
                <a:round/>
              </a:ln>
              <a:effectLst/>
            </c:spPr>
            <c:extLst>
              <c:ext xmlns:c16="http://schemas.microsoft.com/office/drawing/2014/chart" uri="{C3380CC4-5D6E-409C-BE32-E72D297353CC}">
                <c16:uniqueId val="{00000001-2801-4CD7-B4B7-9989C7B771F8}"/>
              </c:ext>
            </c:extLst>
          </c:dPt>
          <c:dPt>
            <c:idx val="2"/>
            <c:marker>
              <c:symbol val="circle"/>
              <c:size val="5"/>
              <c:spPr>
                <a:solidFill>
                  <a:schemeClr val="accent6">
                    <a:lumMod val="60000"/>
                    <a:lumOff val="40000"/>
                  </a:schemeClr>
                </a:solidFill>
                <a:ln w="9525">
                  <a:solidFill>
                    <a:schemeClr val="accent6">
                      <a:lumMod val="60000"/>
                      <a:lumOff val="40000"/>
                    </a:schemeClr>
                  </a:solidFill>
                </a:ln>
                <a:effectLst/>
              </c:spPr>
            </c:marker>
            <c:bubble3D val="0"/>
            <c:spPr>
              <a:ln w="28575" cap="rnd">
                <a:solidFill>
                  <a:schemeClr val="accent6">
                    <a:lumMod val="50000"/>
                  </a:schemeClr>
                </a:solidFill>
                <a:round/>
              </a:ln>
              <a:effectLst/>
            </c:spPr>
            <c:extLst>
              <c:ext xmlns:c16="http://schemas.microsoft.com/office/drawing/2014/chart" uri="{C3380CC4-5D6E-409C-BE32-E72D297353CC}">
                <c16:uniqueId val="{00000003-2801-4CD7-B4B7-9989C7B771F8}"/>
              </c:ext>
            </c:extLst>
          </c:dPt>
          <c:dPt>
            <c:idx val="3"/>
            <c:marker>
              <c:symbol val="circle"/>
              <c:size val="5"/>
              <c:spPr>
                <a:solidFill>
                  <a:schemeClr val="accent6">
                    <a:lumMod val="60000"/>
                    <a:lumOff val="40000"/>
                  </a:schemeClr>
                </a:solidFill>
                <a:ln w="9525">
                  <a:solidFill>
                    <a:schemeClr val="accent6">
                      <a:lumMod val="60000"/>
                      <a:lumOff val="40000"/>
                    </a:schemeClr>
                  </a:solidFill>
                </a:ln>
                <a:effectLst/>
              </c:spPr>
            </c:marker>
            <c:bubble3D val="0"/>
            <c:spPr>
              <a:ln w="28575" cap="rnd">
                <a:solidFill>
                  <a:schemeClr val="accent6">
                    <a:lumMod val="50000"/>
                  </a:schemeClr>
                </a:solidFill>
                <a:round/>
              </a:ln>
              <a:effectLst/>
            </c:spPr>
            <c:extLst>
              <c:ext xmlns:c16="http://schemas.microsoft.com/office/drawing/2014/chart" uri="{C3380CC4-5D6E-409C-BE32-E72D297353CC}">
                <c16:uniqueId val="{00000005-2801-4CD7-B4B7-9989C7B771F8}"/>
              </c:ext>
            </c:extLst>
          </c:dPt>
          <c:dPt>
            <c:idx val="4"/>
            <c:marker>
              <c:symbol val="circle"/>
              <c:size val="5"/>
              <c:spPr>
                <a:solidFill>
                  <a:schemeClr val="accent6">
                    <a:lumMod val="60000"/>
                    <a:lumOff val="40000"/>
                  </a:schemeClr>
                </a:solidFill>
                <a:ln w="9525">
                  <a:solidFill>
                    <a:schemeClr val="accent6">
                      <a:lumMod val="60000"/>
                      <a:lumOff val="40000"/>
                    </a:schemeClr>
                  </a:solidFill>
                </a:ln>
                <a:effectLst/>
              </c:spPr>
            </c:marker>
            <c:bubble3D val="0"/>
            <c:spPr>
              <a:ln w="28575" cap="rnd">
                <a:solidFill>
                  <a:schemeClr val="accent6">
                    <a:lumMod val="50000"/>
                  </a:schemeClr>
                </a:solidFill>
                <a:round/>
              </a:ln>
              <a:effectLst/>
            </c:spPr>
            <c:extLst>
              <c:ext xmlns:c16="http://schemas.microsoft.com/office/drawing/2014/chart" uri="{C3380CC4-5D6E-409C-BE32-E72D297353CC}">
                <c16:uniqueId val="{00000007-2801-4CD7-B4B7-9989C7B771F8}"/>
              </c:ext>
            </c:extLst>
          </c:dPt>
          <c:dPt>
            <c:idx val="5"/>
            <c:marker>
              <c:symbol val="circle"/>
              <c:size val="5"/>
              <c:spPr>
                <a:solidFill>
                  <a:schemeClr val="accent6">
                    <a:lumMod val="60000"/>
                    <a:lumOff val="40000"/>
                  </a:schemeClr>
                </a:solidFill>
                <a:ln w="9525">
                  <a:solidFill>
                    <a:schemeClr val="accent6">
                      <a:lumMod val="60000"/>
                      <a:lumOff val="40000"/>
                    </a:schemeClr>
                  </a:solidFill>
                </a:ln>
                <a:effectLst/>
              </c:spPr>
            </c:marker>
            <c:bubble3D val="0"/>
            <c:spPr>
              <a:ln w="28575" cap="rnd">
                <a:solidFill>
                  <a:schemeClr val="accent6">
                    <a:lumMod val="50000"/>
                  </a:schemeClr>
                </a:solidFill>
                <a:round/>
              </a:ln>
              <a:effectLst/>
            </c:spPr>
            <c:extLst>
              <c:ext xmlns:c16="http://schemas.microsoft.com/office/drawing/2014/chart" uri="{C3380CC4-5D6E-409C-BE32-E72D297353CC}">
                <c16:uniqueId val="{00000009-2801-4CD7-B4B7-9989C7B771F8}"/>
              </c:ext>
            </c:extLst>
          </c:dPt>
          <c:dPt>
            <c:idx val="6"/>
            <c:marker>
              <c:symbol val="circle"/>
              <c:size val="5"/>
              <c:spPr>
                <a:solidFill>
                  <a:schemeClr val="accent6">
                    <a:lumMod val="60000"/>
                    <a:lumOff val="40000"/>
                  </a:schemeClr>
                </a:solidFill>
                <a:ln w="9525">
                  <a:solidFill>
                    <a:schemeClr val="accent6">
                      <a:lumMod val="60000"/>
                      <a:lumOff val="40000"/>
                    </a:schemeClr>
                  </a:solidFill>
                </a:ln>
                <a:effectLst/>
              </c:spPr>
            </c:marker>
            <c:bubble3D val="0"/>
            <c:spPr>
              <a:ln w="28575" cap="rnd">
                <a:solidFill>
                  <a:schemeClr val="accent6">
                    <a:lumMod val="50000"/>
                  </a:schemeClr>
                </a:solidFill>
                <a:round/>
              </a:ln>
              <a:effectLst/>
            </c:spPr>
            <c:extLst>
              <c:ext xmlns:c16="http://schemas.microsoft.com/office/drawing/2014/chart" uri="{C3380CC4-5D6E-409C-BE32-E72D297353CC}">
                <c16:uniqueId val="{0000000B-2801-4CD7-B4B7-9989C7B771F8}"/>
              </c:ext>
            </c:extLst>
          </c:dPt>
          <c:dPt>
            <c:idx val="7"/>
            <c:marker>
              <c:symbol val="circle"/>
              <c:size val="5"/>
              <c:spPr>
                <a:solidFill>
                  <a:schemeClr val="accent6">
                    <a:lumMod val="60000"/>
                    <a:lumOff val="40000"/>
                  </a:schemeClr>
                </a:solidFill>
                <a:ln w="9525">
                  <a:solidFill>
                    <a:schemeClr val="accent6">
                      <a:lumMod val="60000"/>
                      <a:lumOff val="40000"/>
                    </a:schemeClr>
                  </a:solidFill>
                </a:ln>
                <a:effectLst/>
              </c:spPr>
            </c:marker>
            <c:bubble3D val="0"/>
            <c:spPr>
              <a:ln w="28575" cap="rnd">
                <a:solidFill>
                  <a:schemeClr val="accent6">
                    <a:lumMod val="50000"/>
                  </a:schemeClr>
                </a:solidFill>
                <a:round/>
              </a:ln>
              <a:effectLst/>
            </c:spPr>
            <c:extLst>
              <c:ext xmlns:c16="http://schemas.microsoft.com/office/drawing/2014/chart" uri="{C3380CC4-5D6E-409C-BE32-E72D297353CC}">
                <c16:uniqueId val="{0000000D-2801-4CD7-B4B7-9989C7B771F8}"/>
              </c:ext>
            </c:extLst>
          </c:dPt>
          <c:dPt>
            <c:idx val="8"/>
            <c:marker>
              <c:symbol val="circle"/>
              <c:size val="5"/>
              <c:spPr>
                <a:solidFill>
                  <a:schemeClr val="accent6">
                    <a:lumMod val="60000"/>
                    <a:lumOff val="40000"/>
                  </a:schemeClr>
                </a:solidFill>
                <a:ln w="9525">
                  <a:solidFill>
                    <a:schemeClr val="accent6">
                      <a:lumMod val="60000"/>
                      <a:lumOff val="40000"/>
                    </a:schemeClr>
                  </a:solidFill>
                </a:ln>
                <a:effectLst/>
              </c:spPr>
            </c:marker>
            <c:bubble3D val="0"/>
            <c:spPr>
              <a:ln w="28575" cap="rnd">
                <a:solidFill>
                  <a:schemeClr val="accent6">
                    <a:lumMod val="50000"/>
                  </a:schemeClr>
                </a:solidFill>
                <a:round/>
              </a:ln>
              <a:effectLst/>
            </c:spPr>
            <c:extLst>
              <c:ext xmlns:c16="http://schemas.microsoft.com/office/drawing/2014/chart" uri="{C3380CC4-5D6E-409C-BE32-E72D297353CC}">
                <c16:uniqueId val="{0000000F-2801-4CD7-B4B7-9989C7B771F8}"/>
              </c:ext>
            </c:extLst>
          </c:dPt>
          <c:dPt>
            <c:idx val="9"/>
            <c:marker>
              <c:symbol val="circle"/>
              <c:size val="5"/>
              <c:spPr>
                <a:solidFill>
                  <a:schemeClr val="accent6">
                    <a:lumMod val="60000"/>
                    <a:lumOff val="40000"/>
                  </a:schemeClr>
                </a:solidFill>
                <a:ln w="9525">
                  <a:solidFill>
                    <a:schemeClr val="accent6">
                      <a:lumMod val="60000"/>
                      <a:lumOff val="40000"/>
                    </a:schemeClr>
                  </a:solidFill>
                </a:ln>
                <a:effectLst/>
              </c:spPr>
            </c:marker>
            <c:bubble3D val="0"/>
            <c:spPr>
              <a:ln w="28575" cap="rnd">
                <a:solidFill>
                  <a:schemeClr val="accent6">
                    <a:lumMod val="50000"/>
                  </a:schemeClr>
                </a:solidFill>
                <a:round/>
              </a:ln>
              <a:effectLst/>
            </c:spPr>
            <c:extLst>
              <c:ext xmlns:c16="http://schemas.microsoft.com/office/drawing/2014/chart" uri="{C3380CC4-5D6E-409C-BE32-E72D297353CC}">
                <c16:uniqueId val="{00000011-2801-4CD7-B4B7-9989C7B771F8}"/>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'Sales Trend'!$A$4:$A$16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'Sales Trend'!$B$4:$B$16</c:f>
              <c:numCache>
                <c:formatCode>[$$-409]#,##0.00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13-2801-4CD7-B4B7-9989C7B771F8}"/>
            </c:ext>
          </c:extLst>
        </c:ser>
        <c:dLbls>
          <c:showLegendKey val="0"/>
          <c:showVal val="0"/>
          <c:showCatName val="0"/>
          <c:showSerName val="0"/>
          <c:showPercent val="0"/>
          <c:showBubbleSize val="0"/>
        </c:dLbls>
        <c:marker val="1"/>
        <c:smooth val="0"/>
        <c:axId val="45178143"/>
        <c:axId val="1903841199"/>
      </c:lineChart>
      <c:valAx>
        <c:axId val="1903841199"/>
        <c:scaling>
          <c:orientation val="minMax"/>
        </c:scaling>
        <c:delete val="1"/>
        <c:axPos val="l"/>
        <c:majorGridlines>
          <c:spPr>
            <a:ln w="9525" cap="flat" cmpd="sng" algn="ctr">
              <a:solidFill>
                <a:schemeClr val="tx1">
                  <a:lumMod val="15000"/>
                  <a:lumOff val="85000"/>
                </a:schemeClr>
              </a:solidFill>
              <a:round/>
            </a:ln>
            <a:effectLst/>
          </c:spPr>
        </c:majorGridlines>
        <c:numFmt formatCode="[$$-409]#,##0.00" sourceLinked="1"/>
        <c:majorTickMark val="out"/>
        <c:minorTickMark val="none"/>
        <c:tickLblPos val="nextTo"/>
        <c:crossAx val="45178143"/>
        <c:crosses val="autoZero"/>
        <c:crossBetween val="between"/>
      </c:valAx>
      <c:catAx>
        <c:axId val="451781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0384119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50800" dir="5400000" algn="ctr" rotWithShape="0">
        <a:srgbClr val="538034">
          <a:alpha val="50000"/>
        </a:srgb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Dashboard Completion &amp; Recommendations Board.xlsx]Top 6 Ship Cities by Revenue!PivotTable1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6">
                    <a:lumMod val="50000"/>
                  </a:schemeClr>
                </a:solidFill>
                <a:latin typeface="Amasis MT Std" panose="02040802050304020203" pitchFamily="18" charset="0"/>
              </a:rPr>
              <a:t>Top 6 Ship Cities By Revenue</a:t>
            </a:r>
          </a:p>
        </c:rich>
      </c:tx>
      <c:layout>
        <c:manualLayout>
          <c:xMode val="edge"/>
          <c:yMode val="edge"/>
          <c:x val="1.2557223402485131E-2"/>
          <c:y val="6.545996968224081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rgbClr val="4D7830"/>
          </a:solidFill>
          <a:ln>
            <a:noFill/>
          </a:ln>
          <a:effectLst/>
        </c:spPr>
      </c:pivotFmt>
      <c:pivotFmt>
        <c:idx val="3"/>
        <c:spPr>
          <a:solidFill>
            <a:srgbClr val="68A141"/>
          </a:solidFill>
          <a:ln>
            <a:noFill/>
          </a:ln>
          <a:effectLst/>
        </c:spPr>
      </c:pivotFmt>
      <c:pivotFmt>
        <c:idx val="4"/>
        <c:spPr>
          <a:solidFill>
            <a:srgbClr val="85BE5E"/>
          </a:solidFill>
          <a:ln>
            <a:noFill/>
          </a:ln>
          <a:effectLst/>
        </c:spPr>
      </c:pivotFmt>
      <c:pivotFmt>
        <c:idx val="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pivotFmt>
      <c:pivotFmt>
        <c:idx val="7"/>
        <c:spPr>
          <a:solidFill>
            <a:srgbClr val="4D7830"/>
          </a:solidFill>
          <a:ln>
            <a:noFill/>
          </a:ln>
          <a:effectLst/>
        </c:spPr>
      </c:pivotFmt>
      <c:pivotFmt>
        <c:idx val="8"/>
        <c:spPr>
          <a:solidFill>
            <a:srgbClr val="68A141"/>
          </a:solidFill>
          <a:ln>
            <a:noFill/>
          </a:ln>
          <a:effectLst/>
        </c:spPr>
      </c:pivotFmt>
      <c:pivotFmt>
        <c:idx val="9"/>
        <c:spPr>
          <a:solidFill>
            <a:srgbClr val="85BE5E"/>
          </a:solidFill>
          <a:ln>
            <a:noFill/>
          </a:ln>
          <a:effectLst/>
        </c:spPr>
      </c:pivotFmt>
      <c:pivotFmt>
        <c:idx val="10"/>
        <c:spPr>
          <a:solidFill>
            <a:srgbClr val="60943C"/>
          </a:solidFill>
          <a:ln>
            <a:noFill/>
          </a:ln>
          <a:effectLst/>
        </c:spPr>
      </c:pivotFmt>
      <c:pivotFmt>
        <c:idx val="11"/>
        <c:spPr>
          <a:solidFill>
            <a:srgbClr val="73B248"/>
          </a:solidFill>
          <a:ln>
            <a:noFill/>
          </a:ln>
          <a:effectLst/>
        </c:spPr>
      </c:pivotFmt>
      <c:pivotFmt>
        <c:idx val="12"/>
        <c:spPr>
          <a:solidFill>
            <a:srgbClr val="8DC369"/>
          </a:solidFill>
          <a:ln>
            <a:noFill/>
          </a:ln>
          <a:effectLst/>
        </c:spPr>
      </c:pivotFmt>
      <c:pivotFmt>
        <c:idx val="13"/>
        <c:spPr>
          <a:solidFill>
            <a:srgbClr val="B0D597"/>
          </a:solidFill>
          <a:ln>
            <a:noFill/>
          </a:ln>
          <a:effectLst/>
        </c:spPr>
      </c:pivotFmt>
      <c:pivotFmt>
        <c:idx val="14"/>
        <c:spPr>
          <a:solidFill>
            <a:srgbClr val="A4CF87"/>
          </a:solidFill>
          <a:ln>
            <a:noFill/>
          </a:ln>
          <a:effectLst/>
        </c:spPr>
      </c:pivotFmt>
      <c:pivotFmt>
        <c:idx val="15"/>
        <c:spPr>
          <a:solidFill>
            <a:schemeClr val="accent1"/>
          </a:solidFill>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60943C"/>
          </a:solidFill>
          <a:ln>
            <a:noFill/>
          </a:ln>
          <a:effectLst/>
        </c:spPr>
      </c:pivotFmt>
      <c:pivotFmt>
        <c:idx val="17"/>
        <c:spPr>
          <a:solidFill>
            <a:srgbClr val="73B248"/>
          </a:solidFill>
          <a:ln>
            <a:noFill/>
          </a:ln>
          <a:effectLst/>
        </c:spPr>
      </c:pivotFmt>
      <c:pivotFmt>
        <c:idx val="18"/>
        <c:spPr>
          <a:solidFill>
            <a:srgbClr val="8DC369"/>
          </a:solidFill>
          <a:ln>
            <a:noFill/>
          </a:ln>
          <a:effectLst/>
        </c:spPr>
      </c:pivotFmt>
      <c:pivotFmt>
        <c:idx val="19"/>
        <c:spPr>
          <a:solidFill>
            <a:srgbClr val="B0D597"/>
          </a:solidFill>
          <a:ln>
            <a:noFill/>
          </a:ln>
          <a:effectLst/>
        </c:spPr>
      </c:pivotFmt>
      <c:pivotFmt>
        <c:idx val="20"/>
        <c:spPr>
          <a:solidFill>
            <a:schemeClr val="accent1"/>
          </a:solidFill>
          <a:ln w="28575" cap="rnd">
            <a:solidFill>
              <a:schemeClr val="accent6">
                <a:lumMod val="50000"/>
              </a:schemeClr>
            </a:solidFill>
            <a:round/>
          </a:ln>
          <a:effectLst/>
        </c:spPr>
        <c:marker>
          <c:symbol val="circle"/>
          <c:size val="5"/>
        </c:marker>
      </c:pivotFmt>
      <c:pivotFmt>
        <c:idx val="21"/>
        <c:spPr>
          <a:solidFill>
            <a:schemeClr val="accent1"/>
          </a:solidFill>
          <a:ln w="28575" cap="rnd">
            <a:solidFill>
              <a:schemeClr val="accent6">
                <a:lumMod val="50000"/>
              </a:schemeClr>
            </a:solidFill>
            <a:round/>
          </a:ln>
          <a:effectLst/>
        </c:spPr>
        <c:marker>
          <c:symbol val="circle"/>
          <c:size val="5"/>
        </c:marker>
      </c:pivotFmt>
      <c:pivotFmt>
        <c:idx val="22"/>
        <c:spPr>
          <a:solidFill>
            <a:schemeClr val="accent1"/>
          </a:solidFill>
          <a:ln w="28575" cap="rnd">
            <a:solidFill>
              <a:schemeClr val="accent6">
                <a:lumMod val="50000"/>
              </a:schemeClr>
            </a:solidFill>
            <a:round/>
          </a:ln>
          <a:effectLst/>
        </c:spPr>
        <c:marker>
          <c:symbol val="circle"/>
          <c:size val="5"/>
        </c:marker>
      </c:pivotFmt>
      <c:pivotFmt>
        <c:idx val="23"/>
        <c:spPr>
          <a:solidFill>
            <a:schemeClr val="accent1"/>
          </a:solidFill>
          <a:ln w="28575" cap="rnd">
            <a:solidFill>
              <a:schemeClr val="accent6">
                <a:lumMod val="50000"/>
              </a:schemeClr>
            </a:solidFill>
            <a:round/>
          </a:ln>
          <a:effectLst/>
        </c:spPr>
        <c:marker>
          <c:symbol val="circle"/>
          <c:size val="5"/>
        </c:marker>
      </c:pivotFmt>
      <c:pivotFmt>
        <c:idx val="24"/>
        <c:spPr>
          <a:solidFill>
            <a:schemeClr val="accent1"/>
          </a:solidFill>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pivotFmt>
      <c:pivotFmt>
        <c:idx val="26"/>
        <c:spPr>
          <a:solidFill>
            <a:schemeClr val="accent1"/>
          </a:solidFill>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pivotFmt>
      <c:pivotFmt>
        <c:idx val="27"/>
        <c:spPr>
          <a:solidFill>
            <a:schemeClr val="accent1"/>
          </a:solidFill>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pivotFmt>
      <c:pivotFmt>
        <c:idx val="28"/>
        <c:spPr>
          <a:solidFill>
            <a:schemeClr val="accent1"/>
          </a:solidFill>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pivotFmt>
      <c:pivotFmt>
        <c:idx val="29"/>
        <c:spPr>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dLbl>
          <c:idx val="0"/>
          <c:layout>
            <c:manualLayout>
              <c:x val="-0.11057709051649081"/>
              <c:y val="5.19421560698191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1"/>
        <c:spPr>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dLbl>
          <c:idx val="0"/>
          <c:layout>
            <c:manualLayout>
              <c:x val="-6.5527164750513095E-2"/>
              <c:y val="0.103884312139638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dLbl>
          <c:idx val="0"/>
          <c:layout>
            <c:manualLayout>
              <c:x val="1.6123810224043568E-7"/>
              <c:y val="2.597133365575642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19246573045374979"/>
                  <c:h val="0.1167727152353092"/>
                </c:manualLayout>
              </c15:layout>
            </c:ext>
          </c:extLst>
        </c:dLbl>
      </c:pivotFmt>
      <c:pivotFmt>
        <c:idx val="33"/>
        <c:spPr>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dLbl>
          <c:idx val="0"/>
          <c:layout>
            <c:manualLayout>
              <c:x val="0.11057709051649087"/>
              <c:y val="-1.94783085261822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4"/>
        <c:spPr>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dLbl>
          <c:idx val="0"/>
          <c:layout>
            <c:manualLayout>
              <c:x val="0.13924522509484025"/>
              <c:y val="1.9478308526182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'Top 6 Ship Cities by Revenue'!$B$3</c:f>
              <c:strCache>
                <c:ptCount val="1"/>
                <c:pt idx="0">
                  <c:v>Total</c:v>
                </c:pt>
              </c:strCache>
            </c:strRef>
          </c:tx>
          <c:spPr>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dPt>
            <c:idx val="1"/>
            <c:marker>
              <c:symbol val="circle"/>
              <c:size val="5"/>
              <c:spPr>
                <a:solidFill>
                  <a:srgbClr val="8DC369"/>
                </a:solidFill>
                <a:ln w="9525">
                  <a:solidFill>
                    <a:schemeClr val="accent6">
                      <a:lumMod val="50000"/>
                    </a:schemeClr>
                  </a:solidFill>
                </a:ln>
                <a:effectLst/>
              </c:spPr>
            </c:marker>
            <c:bubble3D val="0"/>
            <c:spPr>
              <a:ln w="28575" cap="rnd">
                <a:solidFill>
                  <a:schemeClr val="accent6">
                    <a:lumMod val="50000"/>
                  </a:schemeClr>
                </a:solidFill>
                <a:round/>
              </a:ln>
              <a:effectLst/>
            </c:spPr>
            <c:extLst>
              <c:ext xmlns:c16="http://schemas.microsoft.com/office/drawing/2014/chart" uri="{C3380CC4-5D6E-409C-BE32-E72D297353CC}">
                <c16:uniqueId val="{00000000-43E1-4C5D-A559-E06EC63BB055}"/>
              </c:ext>
            </c:extLst>
          </c:dPt>
          <c:dPt>
            <c:idx val="2"/>
            <c:marker>
              <c:symbol val="circle"/>
              <c:size val="5"/>
              <c:spPr>
                <a:solidFill>
                  <a:srgbClr val="8DC369"/>
                </a:solidFill>
                <a:ln w="9525">
                  <a:solidFill>
                    <a:schemeClr val="accent6">
                      <a:lumMod val="50000"/>
                    </a:schemeClr>
                  </a:solidFill>
                </a:ln>
                <a:effectLst/>
              </c:spPr>
            </c:marker>
            <c:bubble3D val="0"/>
            <c:spPr>
              <a:ln w="28575" cap="rnd">
                <a:solidFill>
                  <a:schemeClr val="accent6">
                    <a:lumMod val="50000"/>
                  </a:schemeClr>
                </a:solidFill>
                <a:round/>
              </a:ln>
              <a:effectLst/>
            </c:spPr>
            <c:extLst>
              <c:ext xmlns:c16="http://schemas.microsoft.com/office/drawing/2014/chart" uri="{C3380CC4-5D6E-409C-BE32-E72D297353CC}">
                <c16:uniqueId val="{00000001-43E1-4C5D-A559-E06EC63BB055}"/>
              </c:ext>
            </c:extLst>
          </c:dPt>
          <c:dPt>
            <c:idx val="3"/>
            <c:marker>
              <c:symbol val="circle"/>
              <c:size val="5"/>
              <c:spPr>
                <a:solidFill>
                  <a:srgbClr val="8DC369"/>
                </a:solidFill>
                <a:ln w="9525">
                  <a:solidFill>
                    <a:schemeClr val="accent6">
                      <a:lumMod val="50000"/>
                    </a:schemeClr>
                  </a:solidFill>
                </a:ln>
                <a:effectLst/>
              </c:spPr>
            </c:marker>
            <c:bubble3D val="0"/>
            <c:spPr>
              <a:ln w="28575" cap="rnd">
                <a:solidFill>
                  <a:schemeClr val="accent6">
                    <a:lumMod val="50000"/>
                  </a:schemeClr>
                </a:solidFill>
                <a:round/>
              </a:ln>
              <a:effectLst/>
            </c:spPr>
            <c:extLst>
              <c:ext xmlns:c16="http://schemas.microsoft.com/office/drawing/2014/chart" uri="{C3380CC4-5D6E-409C-BE32-E72D297353CC}">
                <c16:uniqueId val="{00000002-43E1-4C5D-A559-E06EC63BB055}"/>
              </c:ext>
            </c:extLst>
          </c:dPt>
          <c:dPt>
            <c:idx val="4"/>
            <c:marker>
              <c:symbol val="circle"/>
              <c:size val="5"/>
              <c:spPr>
                <a:solidFill>
                  <a:srgbClr val="8DC369"/>
                </a:solidFill>
                <a:ln w="9525">
                  <a:solidFill>
                    <a:schemeClr val="accent6">
                      <a:lumMod val="50000"/>
                    </a:schemeClr>
                  </a:solidFill>
                </a:ln>
                <a:effectLst/>
              </c:spPr>
            </c:marker>
            <c:bubble3D val="0"/>
            <c:spPr>
              <a:ln w="28575" cap="rnd">
                <a:solidFill>
                  <a:schemeClr val="accent6">
                    <a:lumMod val="50000"/>
                  </a:schemeClr>
                </a:solidFill>
                <a:round/>
              </a:ln>
              <a:effectLst/>
            </c:spPr>
            <c:extLst>
              <c:ext xmlns:c16="http://schemas.microsoft.com/office/drawing/2014/chart" uri="{C3380CC4-5D6E-409C-BE32-E72D297353CC}">
                <c16:uniqueId val="{00000003-43E1-4C5D-A559-E06EC63BB055}"/>
              </c:ext>
            </c:extLst>
          </c:dPt>
          <c:dPt>
            <c:idx val="5"/>
            <c:marker>
              <c:symbol val="circle"/>
              <c:size val="5"/>
              <c:spPr>
                <a:solidFill>
                  <a:srgbClr val="8DC369"/>
                </a:solidFill>
                <a:ln w="9525">
                  <a:solidFill>
                    <a:schemeClr val="accent6">
                      <a:lumMod val="50000"/>
                    </a:schemeClr>
                  </a:solidFill>
                </a:ln>
                <a:effectLst/>
              </c:spPr>
            </c:marker>
            <c:bubble3D val="0"/>
            <c:spPr>
              <a:ln w="28575" cap="rnd">
                <a:solidFill>
                  <a:schemeClr val="accent6">
                    <a:lumMod val="50000"/>
                  </a:schemeClr>
                </a:solidFill>
                <a:round/>
              </a:ln>
              <a:effectLst/>
            </c:spPr>
            <c:extLst>
              <c:ext xmlns:c16="http://schemas.microsoft.com/office/drawing/2014/chart" uri="{C3380CC4-5D6E-409C-BE32-E72D297353CC}">
                <c16:uniqueId val="{00000006-43E1-4C5D-A559-E06EC63BB055}"/>
              </c:ext>
            </c:extLst>
          </c:dPt>
          <c:dLbls>
            <c:dLbl>
              <c:idx val="1"/>
              <c:layout>
                <c:manualLayout>
                  <c:x val="-0.11057709051649081"/>
                  <c:y val="5.19421560698191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3E1-4C5D-A559-E06EC63BB055}"/>
                </c:ext>
              </c:extLst>
            </c:dLbl>
            <c:dLbl>
              <c:idx val="2"/>
              <c:layout>
                <c:manualLayout>
                  <c:x val="-6.5527164750513095E-2"/>
                  <c:y val="0.103884312139638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3E1-4C5D-A559-E06EC63BB055}"/>
                </c:ext>
              </c:extLst>
            </c:dLbl>
            <c:dLbl>
              <c:idx val="3"/>
              <c:layout>
                <c:manualLayout>
                  <c:x val="1.6123810224043568E-7"/>
                  <c:y val="2.597133365575642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19246573045374979"/>
                      <c:h val="0.1167727152353092"/>
                    </c:manualLayout>
                  </c15:layout>
                </c:ext>
                <c:ext xmlns:c16="http://schemas.microsoft.com/office/drawing/2014/chart" uri="{C3380CC4-5D6E-409C-BE32-E72D297353CC}">
                  <c16:uniqueId val="{00000002-43E1-4C5D-A559-E06EC63BB055}"/>
                </c:ext>
              </c:extLst>
            </c:dLbl>
            <c:dLbl>
              <c:idx val="4"/>
              <c:layout>
                <c:manualLayout>
                  <c:x val="0.11057709051649087"/>
                  <c:y val="-1.94783085261822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3E1-4C5D-A559-E06EC63BB055}"/>
                </c:ext>
              </c:extLst>
            </c:dLbl>
            <c:dLbl>
              <c:idx val="5"/>
              <c:layout>
                <c:manualLayout>
                  <c:x val="0.13924522509484025"/>
                  <c:y val="1.9478308526182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3E1-4C5D-A559-E06EC63BB05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6 Ship Cities by Revenue'!$A$4:$A$10</c:f>
              <c:strCache>
                <c:ptCount val="6"/>
                <c:pt idx="0">
                  <c:v>New York</c:v>
                </c:pt>
                <c:pt idx="1">
                  <c:v>Portland</c:v>
                </c:pt>
                <c:pt idx="2">
                  <c:v>Miami</c:v>
                </c:pt>
                <c:pt idx="3">
                  <c:v>Memphis</c:v>
                </c:pt>
                <c:pt idx="4">
                  <c:v>Chicago</c:v>
                </c:pt>
                <c:pt idx="5">
                  <c:v>Milwaukee</c:v>
                </c:pt>
              </c:strCache>
            </c:strRef>
          </c:cat>
          <c:val>
            <c:numRef>
              <c:f>'Top 6 Ship Cities by Revenue'!$B$4:$B$10</c:f>
              <c:numCache>
                <c:formatCode>[$$-409]#,##0.00</c:formatCode>
                <c:ptCount val="6"/>
                <c:pt idx="0">
                  <c:v>67180.5</c:v>
                </c:pt>
                <c:pt idx="1">
                  <c:v>50208.35</c:v>
                </c:pt>
                <c:pt idx="2">
                  <c:v>50145.330000000009</c:v>
                </c:pt>
                <c:pt idx="3">
                  <c:v>43713</c:v>
                </c:pt>
                <c:pt idx="4">
                  <c:v>41095.01</c:v>
                </c:pt>
                <c:pt idx="5">
                  <c:v>37428</c:v>
                </c:pt>
              </c:numCache>
            </c:numRef>
          </c:val>
          <c:extLst>
            <c:ext xmlns:c16="http://schemas.microsoft.com/office/drawing/2014/chart" uri="{C3380CC4-5D6E-409C-BE32-E72D297353CC}">
              <c16:uniqueId val="{00000004-43E1-4C5D-A559-E06EC63BB055}"/>
            </c:ext>
          </c:extLst>
        </c:ser>
        <c:dLbls>
          <c:showLegendKey val="0"/>
          <c:showVal val="0"/>
          <c:showCatName val="0"/>
          <c:showSerName val="0"/>
          <c:showPercent val="0"/>
          <c:showBubbleSize val="0"/>
        </c:dLbls>
        <c:axId val="500843263"/>
        <c:axId val="629691279"/>
      </c:radarChart>
      <c:valAx>
        <c:axId val="629691279"/>
        <c:scaling>
          <c:orientation val="minMax"/>
        </c:scaling>
        <c:delete val="1"/>
        <c:axPos val="l"/>
        <c:majorGridlines>
          <c:spPr>
            <a:ln w="9525" cap="flat" cmpd="sng" algn="ctr">
              <a:solidFill>
                <a:schemeClr val="tx1">
                  <a:lumMod val="15000"/>
                  <a:lumOff val="85000"/>
                </a:schemeClr>
              </a:solidFill>
              <a:round/>
            </a:ln>
            <a:effectLst/>
          </c:spPr>
        </c:majorGridlines>
        <c:numFmt formatCode="[$$-409]#,##0.00" sourceLinked="1"/>
        <c:majorTickMark val="out"/>
        <c:minorTickMark val="none"/>
        <c:tickLblPos val="nextTo"/>
        <c:crossAx val="500843263"/>
        <c:crosses val="autoZero"/>
        <c:crossBetween val="between"/>
      </c:valAx>
      <c:catAx>
        <c:axId val="500843263"/>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NG"/>
          </a:p>
        </c:txPr>
        <c:crossAx val="62969127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50800" dir="5400000" algn="ctr" rotWithShape="0">
        <a:srgbClr val="538034">
          <a:alpha val="50000"/>
        </a:srgb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Dashboard Completion &amp; Recommendations Board.xlsx]Cities' Performance by Revenue!PivotTable1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6">
                    <a:lumMod val="50000"/>
                  </a:schemeClr>
                </a:solidFill>
                <a:latin typeface="Amasis MT Std" panose="02040802050304020203" pitchFamily="18" charset="0"/>
              </a:rPr>
              <a:t>Cities' Performance By Revenue</a:t>
            </a:r>
          </a:p>
        </c:rich>
      </c:tx>
      <c:layout>
        <c:manualLayout>
          <c:xMode val="edge"/>
          <c:yMode val="edge"/>
          <c:x val="2.1510577009270521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rgbClr val="4D7830"/>
          </a:solidFill>
          <a:ln>
            <a:noFill/>
          </a:ln>
          <a:effectLst/>
        </c:spPr>
      </c:pivotFmt>
      <c:pivotFmt>
        <c:idx val="3"/>
        <c:spPr>
          <a:solidFill>
            <a:srgbClr val="68A141"/>
          </a:solidFill>
          <a:ln>
            <a:noFill/>
          </a:ln>
          <a:effectLst/>
        </c:spPr>
      </c:pivotFmt>
      <c:pivotFmt>
        <c:idx val="4"/>
        <c:spPr>
          <a:solidFill>
            <a:srgbClr val="85BE5E"/>
          </a:solidFill>
          <a:ln>
            <a:noFill/>
          </a:ln>
          <a:effectLst/>
        </c:spPr>
      </c:pivotFmt>
      <c:pivotFmt>
        <c:idx val="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pivotFmt>
      <c:pivotFmt>
        <c:idx val="7"/>
        <c:spPr>
          <a:solidFill>
            <a:srgbClr val="4D7830"/>
          </a:solidFill>
          <a:ln>
            <a:noFill/>
          </a:ln>
          <a:effectLst/>
        </c:spPr>
      </c:pivotFmt>
      <c:pivotFmt>
        <c:idx val="8"/>
        <c:spPr>
          <a:solidFill>
            <a:srgbClr val="68A141"/>
          </a:solidFill>
          <a:ln>
            <a:noFill/>
          </a:ln>
          <a:effectLst/>
        </c:spPr>
      </c:pivotFmt>
      <c:pivotFmt>
        <c:idx val="9"/>
        <c:spPr>
          <a:solidFill>
            <a:srgbClr val="85BE5E"/>
          </a:solidFill>
          <a:ln>
            <a:noFill/>
          </a:ln>
          <a:effectLst/>
        </c:spPr>
      </c:pivotFmt>
      <c:pivotFmt>
        <c:idx val="10"/>
        <c:spPr>
          <a:solidFill>
            <a:srgbClr val="60943C"/>
          </a:solidFill>
          <a:ln>
            <a:noFill/>
          </a:ln>
          <a:effectLst/>
        </c:spPr>
      </c:pivotFmt>
      <c:pivotFmt>
        <c:idx val="11"/>
        <c:spPr>
          <a:solidFill>
            <a:srgbClr val="73B248"/>
          </a:solidFill>
          <a:ln>
            <a:noFill/>
          </a:ln>
          <a:effectLst/>
        </c:spPr>
      </c:pivotFmt>
      <c:pivotFmt>
        <c:idx val="12"/>
        <c:spPr>
          <a:solidFill>
            <a:srgbClr val="8DC369"/>
          </a:solidFill>
          <a:ln>
            <a:noFill/>
          </a:ln>
          <a:effectLst/>
        </c:spPr>
      </c:pivotFmt>
      <c:pivotFmt>
        <c:idx val="13"/>
        <c:spPr>
          <a:solidFill>
            <a:srgbClr val="B0D597"/>
          </a:solidFill>
          <a:ln>
            <a:noFill/>
          </a:ln>
          <a:effectLst/>
        </c:spPr>
      </c:pivotFmt>
      <c:pivotFmt>
        <c:idx val="14"/>
        <c:spPr>
          <a:solidFill>
            <a:srgbClr val="A4CF87"/>
          </a:solidFill>
          <a:ln>
            <a:noFill/>
          </a:ln>
          <a:effectLst/>
        </c:spPr>
      </c:pivotFmt>
      <c:pivotFmt>
        <c:idx val="1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60943C"/>
          </a:solidFill>
          <a:ln>
            <a:noFill/>
          </a:ln>
          <a:effectLst/>
        </c:spPr>
      </c:pivotFmt>
      <c:pivotFmt>
        <c:idx val="17"/>
        <c:spPr>
          <a:solidFill>
            <a:srgbClr val="73B248"/>
          </a:solidFill>
          <a:ln>
            <a:noFill/>
          </a:ln>
          <a:effectLst/>
        </c:spPr>
      </c:pivotFmt>
      <c:pivotFmt>
        <c:idx val="18"/>
        <c:spPr>
          <a:solidFill>
            <a:srgbClr val="8DC369"/>
          </a:solidFill>
          <a:ln>
            <a:noFill/>
          </a:ln>
          <a:effectLst/>
        </c:spPr>
      </c:pivotFmt>
      <c:pivotFmt>
        <c:idx val="19"/>
        <c:spPr>
          <a:solidFill>
            <a:srgbClr val="B0D597"/>
          </a:solidFill>
          <a:ln>
            <a:noFill/>
          </a:ln>
          <a:effectLst/>
        </c:spPr>
      </c:pivotFmt>
      <c:pivotFmt>
        <c:idx val="2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60943C"/>
          </a:solidFill>
          <a:ln>
            <a:noFill/>
          </a:ln>
          <a:effectLst/>
        </c:spPr>
      </c:pivotFmt>
      <c:pivotFmt>
        <c:idx val="22"/>
        <c:spPr>
          <a:solidFill>
            <a:srgbClr val="73B248"/>
          </a:solidFill>
          <a:ln>
            <a:noFill/>
          </a:ln>
          <a:effectLst/>
        </c:spPr>
      </c:pivotFmt>
      <c:pivotFmt>
        <c:idx val="23"/>
        <c:spPr>
          <a:solidFill>
            <a:srgbClr val="8DC369"/>
          </a:solidFill>
          <a:ln>
            <a:noFill/>
          </a:ln>
          <a:effectLst/>
        </c:spPr>
      </c:pivotFmt>
      <c:pivotFmt>
        <c:idx val="24"/>
        <c:spPr>
          <a:solidFill>
            <a:srgbClr val="B0D597"/>
          </a:solidFill>
          <a:ln>
            <a:noFill/>
          </a:ln>
          <a:effectLst/>
        </c:spPr>
      </c:pivotFmt>
    </c:pivotFmts>
    <c:plotArea>
      <c:layout/>
      <c:barChart>
        <c:barDir val="bar"/>
        <c:grouping val="clustered"/>
        <c:varyColors val="0"/>
        <c:ser>
          <c:idx val="0"/>
          <c:order val="0"/>
          <c:tx>
            <c:strRef>
              <c:f>'Cities'' Performance by Revenue'!$B$3</c:f>
              <c:strCache>
                <c:ptCount val="1"/>
                <c:pt idx="0">
                  <c:v>Total</c:v>
                </c:pt>
              </c:strCache>
            </c:strRef>
          </c:tx>
          <c:spPr>
            <a:solidFill>
              <a:schemeClr val="accent6">
                <a:lumMod val="50000"/>
              </a:schemeClr>
            </a:solidFill>
            <a:ln>
              <a:noFill/>
            </a:ln>
            <a:effectLst/>
          </c:spPr>
          <c:invertIfNegative val="0"/>
          <c:dPt>
            <c:idx val="1"/>
            <c:invertIfNegative val="0"/>
            <c:bubble3D val="0"/>
            <c:spPr>
              <a:solidFill>
                <a:srgbClr val="60943C"/>
              </a:solidFill>
              <a:ln>
                <a:noFill/>
              </a:ln>
              <a:effectLst/>
            </c:spPr>
            <c:extLst>
              <c:ext xmlns:c16="http://schemas.microsoft.com/office/drawing/2014/chart" uri="{C3380CC4-5D6E-409C-BE32-E72D297353CC}">
                <c16:uniqueId val="{00000001-7E62-4329-8FD6-D1EB5984EB32}"/>
              </c:ext>
            </c:extLst>
          </c:dPt>
          <c:dPt>
            <c:idx val="2"/>
            <c:invertIfNegative val="0"/>
            <c:bubble3D val="0"/>
            <c:spPr>
              <a:solidFill>
                <a:srgbClr val="73B248"/>
              </a:solidFill>
              <a:ln>
                <a:noFill/>
              </a:ln>
              <a:effectLst/>
            </c:spPr>
            <c:extLst>
              <c:ext xmlns:c16="http://schemas.microsoft.com/office/drawing/2014/chart" uri="{C3380CC4-5D6E-409C-BE32-E72D297353CC}">
                <c16:uniqueId val="{00000003-7E62-4329-8FD6-D1EB5984EB32}"/>
              </c:ext>
            </c:extLst>
          </c:dPt>
          <c:dPt>
            <c:idx val="3"/>
            <c:invertIfNegative val="0"/>
            <c:bubble3D val="0"/>
            <c:spPr>
              <a:solidFill>
                <a:srgbClr val="8DC369"/>
              </a:solidFill>
              <a:ln>
                <a:noFill/>
              </a:ln>
              <a:effectLst/>
            </c:spPr>
            <c:extLst>
              <c:ext xmlns:c16="http://schemas.microsoft.com/office/drawing/2014/chart" uri="{C3380CC4-5D6E-409C-BE32-E72D297353CC}">
                <c16:uniqueId val="{00000005-7E62-4329-8FD6-D1EB5984EB32}"/>
              </c:ext>
            </c:extLst>
          </c:dPt>
          <c:dPt>
            <c:idx val="4"/>
            <c:invertIfNegative val="0"/>
            <c:bubble3D val="0"/>
            <c:spPr>
              <a:solidFill>
                <a:srgbClr val="B0D597"/>
              </a:solidFill>
              <a:ln>
                <a:noFill/>
              </a:ln>
              <a:effectLst/>
            </c:spPr>
            <c:extLst>
              <c:ext xmlns:c16="http://schemas.microsoft.com/office/drawing/2014/chart" uri="{C3380CC4-5D6E-409C-BE32-E72D297353CC}">
                <c16:uniqueId val="{00000007-7E62-4329-8FD6-D1EB5984EB32}"/>
              </c:ext>
            </c:extLst>
          </c:dPt>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'Cities'' Performance by Revenue'!$A$4:$A$9</c:f>
              <c:strCache>
                <c:ptCount val="5"/>
                <c:pt idx="0">
                  <c:v>New York</c:v>
                </c:pt>
                <c:pt idx="1">
                  <c:v>Portland</c:v>
                </c:pt>
                <c:pt idx="2">
                  <c:v>Miami</c:v>
                </c:pt>
                <c:pt idx="3">
                  <c:v>Memphis</c:v>
                </c:pt>
                <c:pt idx="4">
                  <c:v>Chicago</c:v>
                </c:pt>
              </c:strCache>
            </c:strRef>
          </c:cat>
          <c:val>
            <c:numRef>
              <c:f>'Cities'' Performance by Revenue'!$B$4:$B$9</c:f>
              <c:numCache>
                <c:formatCode>[$$-409]#,##0.00</c:formatCode>
                <c:ptCount val="5"/>
                <c:pt idx="0">
                  <c:v>67180.5</c:v>
                </c:pt>
                <c:pt idx="1">
                  <c:v>50208.35</c:v>
                </c:pt>
                <c:pt idx="2">
                  <c:v>50145.330000000009</c:v>
                </c:pt>
                <c:pt idx="3">
                  <c:v>43713</c:v>
                </c:pt>
                <c:pt idx="4">
                  <c:v>41095.01</c:v>
                </c:pt>
              </c:numCache>
            </c:numRef>
          </c:val>
          <c:extLst>
            <c:ext xmlns:c16="http://schemas.microsoft.com/office/drawing/2014/chart" uri="{C3380CC4-5D6E-409C-BE32-E72D297353CC}">
              <c16:uniqueId val="{00000008-7E62-4329-8FD6-D1EB5984EB32}"/>
            </c:ext>
          </c:extLst>
        </c:ser>
        <c:dLbls>
          <c:showLegendKey val="0"/>
          <c:showVal val="0"/>
          <c:showCatName val="0"/>
          <c:showSerName val="0"/>
          <c:showPercent val="0"/>
          <c:showBubbleSize val="0"/>
        </c:dLbls>
        <c:gapWidth val="37"/>
        <c:axId val="500843263"/>
        <c:axId val="629691279"/>
      </c:barChart>
      <c:valAx>
        <c:axId val="629691279"/>
        <c:scaling>
          <c:orientation val="minMax"/>
        </c:scaling>
        <c:delete val="1"/>
        <c:axPos val="t"/>
        <c:majorGridlines>
          <c:spPr>
            <a:ln w="9525" cap="flat" cmpd="sng" algn="ctr">
              <a:solidFill>
                <a:schemeClr val="tx1">
                  <a:lumMod val="15000"/>
                  <a:lumOff val="85000"/>
                </a:schemeClr>
              </a:solidFill>
              <a:round/>
            </a:ln>
            <a:effectLst/>
          </c:spPr>
        </c:majorGridlines>
        <c:numFmt formatCode="[$$-409]#,##0.00" sourceLinked="1"/>
        <c:majorTickMark val="out"/>
        <c:minorTickMark val="none"/>
        <c:tickLblPos val="nextTo"/>
        <c:crossAx val="500843263"/>
        <c:crosses val="autoZero"/>
        <c:crossBetween val="between"/>
      </c:valAx>
      <c:catAx>
        <c:axId val="50084326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2969127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50800" dir="5400000" algn="ctr" rotWithShape="0">
        <a:srgbClr val="538034">
          <a:alpha val="50000"/>
        </a:srgb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Completion &amp; Recommendations Board.xlsx]Sales By Salespersons!PivotTable1</c:name>
    <c:fmtId val="15"/>
  </c:pivotSource>
  <c:chart>
    <c:autoTitleDeleted val="1"/>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rgbClr val="4D7830"/>
          </a:solidFill>
          <a:ln>
            <a:noFill/>
          </a:ln>
          <a:effectLst/>
        </c:spPr>
      </c:pivotFmt>
      <c:pivotFmt>
        <c:idx val="3"/>
        <c:spPr>
          <a:solidFill>
            <a:srgbClr val="68A141"/>
          </a:solidFill>
          <a:ln>
            <a:noFill/>
          </a:ln>
          <a:effectLst/>
        </c:spPr>
      </c:pivotFmt>
      <c:pivotFmt>
        <c:idx val="4"/>
        <c:spPr>
          <a:solidFill>
            <a:srgbClr val="85BE5E"/>
          </a:solidFill>
          <a:ln>
            <a:noFill/>
          </a:ln>
          <a:effectLst/>
        </c:spPr>
      </c:pivotFmt>
      <c:pivotFmt>
        <c:idx val="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pivotFmt>
      <c:pivotFmt>
        <c:idx val="7"/>
        <c:spPr>
          <a:solidFill>
            <a:srgbClr val="4D7830"/>
          </a:solidFill>
          <a:ln>
            <a:noFill/>
          </a:ln>
          <a:effectLst/>
        </c:spPr>
      </c:pivotFmt>
      <c:pivotFmt>
        <c:idx val="8"/>
        <c:spPr>
          <a:solidFill>
            <a:srgbClr val="68A141"/>
          </a:solidFill>
          <a:ln>
            <a:noFill/>
          </a:ln>
          <a:effectLst/>
        </c:spPr>
      </c:pivotFmt>
      <c:pivotFmt>
        <c:idx val="9"/>
        <c:spPr>
          <a:solidFill>
            <a:srgbClr val="85BE5E"/>
          </a:solidFill>
          <a:ln>
            <a:noFill/>
          </a:ln>
          <a:effectLst/>
        </c:spPr>
      </c:pivotFmt>
      <c:pivotFmt>
        <c:idx val="10"/>
        <c:spPr>
          <a:solidFill>
            <a:schemeClr val="accent6">
              <a:lumMod val="75000"/>
            </a:schemeClr>
          </a:solidFill>
          <a:ln>
            <a:noFill/>
          </a:ln>
          <a:effectLst/>
        </c:spPr>
      </c:pivotFmt>
      <c:pivotFmt>
        <c:idx val="11"/>
        <c:spPr>
          <a:solidFill>
            <a:srgbClr val="68A141"/>
          </a:solidFill>
          <a:ln>
            <a:noFill/>
          </a:ln>
          <a:effectLst/>
        </c:spPr>
      </c:pivotFmt>
      <c:pivotFmt>
        <c:idx val="12"/>
        <c:spPr>
          <a:solidFill>
            <a:srgbClr val="85BE5E"/>
          </a:solidFill>
          <a:ln>
            <a:noFill/>
          </a:ln>
          <a:effectLst/>
        </c:spPr>
      </c:pivotFmt>
      <c:pivotFmt>
        <c:idx val="13"/>
        <c:spPr>
          <a:solidFill>
            <a:srgbClr val="80BC58"/>
          </a:solidFill>
          <a:ln>
            <a:noFill/>
          </a:ln>
          <a:effectLst/>
        </c:spPr>
      </c:pivotFmt>
      <c:pivotFmt>
        <c:idx val="14"/>
        <c:spPr>
          <a:solidFill>
            <a:schemeClr val="accent6">
              <a:lumMod val="50000"/>
            </a:schemeClr>
          </a:solidFill>
          <a:ln>
            <a:noFill/>
          </a:ln>
          <a:effectLst/>
        </c:spPr>
      </c:pivotFmt>
      <c:pivotFmt>
        <c:idx val="15"/>
        <c:spPr>
          <a:solidFill>
            <a:srgbClr val="89C163"/>
          </a:solidFill>
          <a:ln>
            <a:noFill/>
          </a:ln>
          <a:effectLst/>
        </c:spPr>
      </c:pivotFmt>
      <c:pivotFmt>
        <c:idx val="16"/>
        <c:spPr>
          <a:solidFill>
            <a:srgbClr val="9ECB7F"/>
          </a:solidFill>
          <a:ln>
            <a:noFill/>
          </a:ln>
          <a:effectLst/>
        </c:spPr>
      </c:pivotFmt>
      <c:pivotFmt>
        <c:idx val="17"/>
        <c:spPr>
          <a:solidFill>
            <a:srgbClr val="CBE3BB"/>
          </a:solidFill>
          <a:ln>
            <a:noFill/>
          </a:ln>
          <a:effectLst/>
        </c:spPr>
      </c:pivotFmt>
      <c:pivotFmt>
        <c:idx val="18"/>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lumMod val="75000"/>
            </a:schemeClr>
          </a:solidFill>
          <a:ln>
            <a:noFill/>
          </a:ln>
          <a:effectLst/>
        </c:spPr>
      </c:pivotFmt>
      <c:pivotFmt>
        <c:idx val="20"/>
        <c:spPr>
          <a:solidFill>
            <a:srgbClr val="68A141"/>
          </a:solidFill>
          <a:ln>
            <a:noFill/>
          </a:ln>
          <a:effectLst/>
        </c:spPr>
      </c:pivotFmt>
      <c:pivotFmt>
        <c:idx val="21"/>
        <c:spPr>
          <a:solidFill>
            <a:srgbClr val="85BE5E"/>
          </a:solidFill>
          <a:ln>
            <a:noFill/>
          </a:ln>
          <a:effectLst/>
        </c:spPr>
      </c:pivotFmt>
      <c:pivotFmt>
        <c:idx val="22"/>
        <c:spPr>
          <a:solidFill>
            <a:srgbClr val="80BC58"/>
          </a:solidFill>
          <a:ln>
            <a:noFill/>
          </a:ln>
          <a:effectLst/>
        </c:spPr>
      </c:pivotFmt>
      <c:pivotFmt>
        <c:idx val="23"/>
        <c:spPr>
          <a:solidFill>
            <a:srgbClr val="89C163"/>
          </a:solidFill>
          <a:ln>
            <a:noFill/>
          </a:ln>
          <a:effectLst/>
        </c:spPr>
      </c:pivotFmt>
      <c:pivotFmt>
        <c:idx val="24"/>
        <c:spPr>
          <a:solidFill>
            <a:srgbClr val="9ECB7F"/>
          </a:solidFill>
          <a:ln>
            <a:noFill/>
          </a:ln>
          <a:effectLst/>
        </c:spPr>
      </c:pivotFmt>
      <c:pivotFmt>
        <c:idx val="25"/>
        <c:spPr>
          <a:solidFill>
            <a:srgbClr val="CBE3BB"/>
          </a:solidFill>
          <a:ln>
            <a:noFill/>
          </a:ln>
          <a:effectLst/>
        </c:spPr>
      </c:pivotFmt>
      <c:pivotFmt>
        <c:idx val="26"/>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lumMod val="75000"/>
            </a:schemeClr>
          </a:solidFill>
          <a:ln>
            <a:noFill/>
          </a:ln>
          <a:effectLst/>
        </c:spPr>
      </c:pivotFmt>
      <c:pivotFmt>
        <c:idx val="28"/>
        <c:spPr>
          <a:solidFill>
            <a:srgbClr val="68A141"/>
          </a:solidFill>
          <a:ln>
            <a:noFill/>
          </a:ln>
          <a:effectLst/>
        </c:spPr>
      </c:pivotFmt>
      <c:pivotFmt>
        <c:idx val="29"/>
        <c:spPr>
          <a:solidFill>
            <a:srgbClr val="85BE5E"/>
          </a:solidFill>
          <a:ln>
            <a:noFill/>
          </a:ln>
          <a:effectLst/>
        </c:spPr>
      </c:pivotFmt>
      <c:pivotFmt>
        <c:idx val="30"/>
        <c:spPr>
          <a:solidFill>
            <a:srgbClr val="80BC58"/>
          </a:solidFill>
          <a:ln>
            <a:noFill/>
          </a:ln>
          <a:effectLst/>
        </c:spPr>
      </c:pivotFmt>
      <c:pivotFmt>
        <c:idx val="31"/>
        <c:spPr>
          <a:solidFill>
            <a:srgbClr val="89C163"/>
          </a:solidFill>
          <a:ln>
            <a:noFill/>
          </a:ln>
          <a:effectLst/>
        </c:spPr>
      </c:pivotFmt>
      <c:pivotFmt>
        <c:idx val="32"/>
        <c:spPr>
          <a:solidFill>
            <a:srgbClr val="9ECB7F"/>
          </a:solidFill>
          <a:ln>
            <a:noFill/>
          </a:ln>
          <a:effectLst/>
        </c:spPr>
      </c:pivotFmt>
      <c:pivotFmt>
        <c:idx val="33"/>
        <c:spPr>
          <a:solidFill>
            <a:srgbClr val="CBE3BB"/>
          </a:solidFill>
          <a:ln>
            <a:noFill/>
          </a:ln>
          <a:effectLst/>
        </c:spPr>
      </c:pivotFmt>
      <c:pivotFmt>
        <c:idx val="3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6">
              <a:lumMod val="75000"/>
            </a:schemeClr>
          </a:solidFill>
          <a:ln>
            <a:noFill/>
          </a:ln>
          <a:effectLst/>
        </c:spPr>
      </c:pivotFmt>
      <c:pivotFmt>
        <c:idx val="36"/>
        <c:spPr>
          <a:solidFill>
            <a:srgbClr val="68A141"/>
          </a:solidFill>
          <a:ln>
            <a:noFill/>
          </a:ln>
          <a:effectLst/>
        </c:spPr>
      </c:pivotFmt>
      <c:pivotFmt>
        <c:idx val="37"/>
        <c:spPr>
          <a:solidFill>
            <a:srgbClr val="85BE5E"/>
          </a:solidFill>
          <a:ln>
            <a:noFill/>
          </a:ln>
          <a:effectLst/>
        </c:spPr>
      </c:pivotFmt>
      <c:pivotFmt>
        <c:idx val="38"/>
        <c:spPr>
          <a:solidFill>
            <a:srgbClr val="80BC58"/>
          </a:solidFill>
          <a:ln>
            <a:noFill/>
          </a:ln>
          <a:effectLst/>
        </c:spPr>
      </c:pivotFmt>
      <c:pivotFmt>
        <c:idx val="39"/>
        <c:spPr>
          <a:solidFill>
            <a:srgbClr val="89C163"/>
          </a:solidFill>
          <a:ln>
            <a:noFill/>
          </a:ln>
          <a:effectLst/>
        </c:spPr>
      </c:pivotFmt>
      <c:pivotFmt>
        <c:idx val="40"/>
        <c:spPr>
          <a:solidFill>
            <a:srgbClr val="9ECB7F"/>
          </a:solidFill>
          <a:ln>
            <a:noFill/>
          </a:ln>
          <a:effectLst/>
        </c:spPr>
      </c:pivotFmt>
      <c:pivotFmt>
        <c:idx val="41"/>
        <c:spPr>
          <a:solidFill>
            <a:srgbClr val="CBE3BB"/>
          </a:solidFill>
          <a:ln>
            <a:noFill/>
          </a:ln>
          <a:effectLst/>
        </c:spPr>
      </c:pivotFmt>
      <c:pivotFmt>
        <c:idx val="4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6">
              <a:lumMod val="75000"/>
            </a:schemeClr>
          </a:solidFill>
          <a:ln>
            <a:noFill/>
          </a:ln>
          <a:effectLst/>
        </c:spPr>
      </c:pivotFmt>
      <c:pivotFmt>
        <c:idx val="44"/>
        <c:spPr>
          <a:solidFill>
            <a:srgbClr val="68A141"/>
          </a:solidFill>
          <a:ln>
            <a:noFill/>
          </a:ln>
          <a:effectLst/>
        </c:spPr>
      </c:pivotFmt>
      <c:pivotFmt>
        <c:idx val="45"/>
        <c:spPr>
          <a:solidFill>
            <a:srgbClr val="85BE5E"/>
          </a:solidFill>
          <a:ln>
            <a:noFill/>
          </a:ln>
          <a:effectLst/>
        </c:spPr>
      </c:pivotFmt>
      <c:pivotFmt>
        <c:idx val="46"/>
        <c:spPr>
          <a:solidFill>
            <a:srgbClr val="80BC58"/>
          </a:solidFill>
          <a:ln>
            <a:noFill/>
          </a:ln>
          <a:effectLst/>
        </c:spPr>
      </c:pivotFmt>
      <c:pivotFmt>
        <c:idx val="47"/>
        <c:spPr>
          <a:solidFill>
            <a:srgbClr val="89C163"/>
          </a:solidFill>
          <a:ln>
            <a:noFill/>
          </a:ln>
          <a:effectLst/>
        </c:spPr>
      </c:pivotFmt>
      <c:pivotFmt>
        <c:idx val="48"/>
        <c:spPr>
          <a:solidFill>
            <a:srgbClr val="9ECB7F"/>
          </a:solidFill>
          <a:ln>
            <a:noFill/>
          </a:ln>
          <a:effectLst/>
        </c:spPr>
      </c:pivotFmt>
      <c:pivotFmt>
        <c:idx val="49"/>
        <c:spPr>
          <a:solidFill>
            <a:srgbClr val="CBE3BB"/>
          </a:solidFill>
          <a:ln>
            <a:noFill/>
          </a:ln>
          <a:effectLst/>
        </c:spPr>
      </c:pivotFmt>
      <c:pivotFmt>
        <c:idx val="5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6">
              <a:lumMod val="75000"/>
            </a:schemeClr>
          </a:solidFill>
          <a:ln>
            <a:noFill/>
          </a:ln>
          <a:effectLst/>
        </c:spPr>
      </c:pivotFmt>
      <c:pivotFmt>
        <c:idx val="52"/>
        <c:spPr>
          <a:solidFill>
            <a:srgbClr val="68A141"/>
          </a:solidFill>
          <a:ln>
            <a:noFill/>
          </a:ln>
          <a:effectLst/>
        </c:spPr>
      </c:pivotFmt>
      <c:pivotFmt>
        <c:idx val="53"/>
        <c:spPr>
          <a:solidFill>
            <a:srgbClr val="85BE5E"/>
          </a:solidFill>
          <a:ln>
            <a:noFill/>
          </a:ln>
          <a:effectLst/>
        </c:spPr>
      </c:pivotFmt>
      <c:pivotFmt>
        <c:idx val="54"/>
        <c:spPr>
          <a:solidFill>
            <a:srgbClr val="80BC58"/>
          </a:solidFill>
          <a:ln>
            <a:noFill/>
          </a:ln>
          <a:effectLst/>
        </c:spPr>
      </c:pivotFmt>
      <c:pivotFmt>
        <c:idx val="55"/>
        <c:spPr>
          <a:solidFill>
            <a:srgbClr val="89C163"/>
          </a:solidFill>
          <a:ln>
            <a:noFill/>
          </a:ln>
          <a:effectLst/>
        </c:spPr>
      </c:pivotFmt>
      <c:pivotFmt>
        <c:idx val="56"/>
        <c:spPr>
          <a:solidFill>
            <a:srgbClr val="9ECB7F"/>
          </a:solidFill>
          <a:ln>
            <a:noFill/>
          </a:ln>
          <a:effectLst/>
        </c:spPr>
      </c:pivotFmt>
      <c:pivotFmt>
        <c:idx val="57"/>
        <c:spPr>
          <a:solidFill>
            <a:srgbClr val="CBE3BB"/>
          </a:solidFill>
          <a:ln>
            <a:noFill/>
          </a:ln>
          <a:effectLst/>
        </c:spPr>
      </c:pivotFmt>
      <c:pivotFmt>
        <c:idx val="58"/>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6">
              <a:lumMod val="75000"/>
            </a:schemeClr>
          </a:solidFill>
          <a:ln>
            <a:noFill/>
          </a:ln>
          <a:effectLst/>
        </c:spPr>
      </c:pivotFmt>
      <c:pivotFmt>
        <c:idx val="60"/>
        <c:spPr>
          <a:solidFill>
            <a:srgbClr val="68A141"/>
          </a:solidFill>
          <a:ln>
            <a:noFill/>
          </a:ln>
          <a:effectLst/>
        </c:spPr>
      </c:pivotFmt>
      <c:pivotFmt>
        <c:idx val="61"/>
        <c:spPr>
          <a:solidFill>
            <a:srgbClr val="85BE5E"/>
          </a:solidFill>
          <a:ln>
            <a:noFill/>
          </a:ln>
          <a:effectLst/>
        </c:spPr>
      </c:pivotFmt>
      <c:pivotFmt>
        <c:idx val="62"/>
        <c:spPr>
          <a:solidFill>
            <a:srgbClr val="80BC58"/>
          </a:solidFill>
          <a:ln>
            <a:noFill/>
          </a:ln>
          <a:effectLst/>
        </c:spPr>
      </c:pivotFmt>
      <c:pivotFmt>
        <c:idx val="63"/>
        <c:spPr>
          <a:solidFill>
            <a:srgbClr val="89C163"/>
          </a:solidFill>
          <a:ln>
            <a:noFill/>
          </a:ln>
          <a:effectLst/>
        </c:spPr>
      </c:pivotFmt>
      <c:pivotFmt>
        <c:idx val="64"/>
        <c:spPr>
          <a:solidFill>
            <a:srgbClr val="9ECB7F"/>
          </a:solidFill>
          <a:ln>
            <a:noFill/>
          </a:ln>
          <a:effectLst/>
        </c:spPr>
      </c:pivotFmt>
      <c:pivotFmt>
        <c:idx val="65"/>
        <c:spPr>
          <a:solidFill>
            <a:srgbClr val="CBE3BB"/>
          </a:solidFill>
          <a:ln>
            <a:noFill/>
          </a:ln>
          <a:effectLst/>
        </c:spPr>
      </c:pivotFmt>
    </c:pivotFmts>
    <c:plotArea>
      <c:layout/>
      <c:barChart>
        <c:barDir val="bar"/>
        <c:grouping val="clustered"/>
        <c:varyColors val="0"/>
        <c:ser>
          <c:idx val="0"/>
          <c:order val="0"/>
          <c:tx>
            <c:strRef>
              <c:f>'Sales By Salespersons'!$B$3</c:f>
              <c:strCache>
                <c:ptCount val="1"/>
                <c:pt idx="0">
                  <c:v>Total</c:v>
                </c:pt>
              </c:strCache>
            </c:strRef>
          </c:tx>
          <c:spPr>
            <a:solidFill>
              <a:schemeClr val="accent6">
                <a:lumMod val="50000"/>
              </a:schemeClr>
            </a:solidFill>
            <a:ln>
              <a:noFill/>
            </a:ln>
            <a:effectLst/>
          </c:spPr>
          <c:invertIfNegative val="0"/>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1-C671-4E52-87FC-085B79BAF50D}"/>
              </c:ext>
            </c:extLst>
          </c:dPt>
          <c:dPt>
            <c:idx val="2"/>
            <c:invertIfNegative val="0"/>
            <c:bubble3D val="0"/>
            <c:spPr>
              <a:solidFill>
                <a:srgbClr val="68A141"/>
              </a:solidFill>
              <a:ln>
                <a:noFill/>
              </a:ln>
              <a:effectLst/>
            </c:spPr>
            <c:extLst>
              <c:ext xmlns:c16="http://schemas.microsoft.com/office/drawing/2014/chart" uri="{C3380CC4-5D6E-409C-BE32-E72D297353CC}">
                <c16:uniqueId val="{00000003-C671-4E52-87FC-085B79BAF50D}"/>
              </c:ext>
            </c:extLst>
          </c:dPt>
          <c:dPt>
            <c:idx val="3"/>
            <c:invertIfNegative val="0"/>
            <c:bubble3D val="0"/>
            <c:spPr>
              <a:solidFill>
                <a:srgbClr val="85BE5E"/>
              </a:solidFill>
              <a:ln>
                <a:noFill/>
              </a:ln>
              <a:effectLst/>
            </c:spPr>
            <c:extLst>
              <c:ext xmlns:c16="http://schemas.microsoft.com/office/drawing/2014/chart" uri="{C3380CC4-5D6E-409C-BE32-E72D297353CC}">
                <c16:uniqueId val="{00000005-C671-4E52-87FC-085B79BAF50D}"/>
              </c:ext>
            </c:extLst>
          </c:dPt>
          <c:dPt>
            <c:idx val="4"/>
            <c:invertIfNegative val="0"/>
            <c:bubble3D val="0"/>
            <c:spPr>
              <a:solidFill>
                <a:srgbClr val="80BC58"/>
              </a:solidFill>
              <a:ln>
                <a:noFill/>
              </a:ln>
              <a:effectLst/>
            </c:spPr>
            <c:extLst>
              <c:ext xmlns:c16="http://schemas.microsoft.com/office/drawing/2014/chart" uri="{C3380CC4-5D6E-409C-BE32-E72D297353CC}">
                <c16:uniqueId val="{00000007-C671-4E52-87FC-085B79BAF50D}"/>
              </c:ext>
            </c:extLst>
          </c:dPt>
          <c:dPt>
            <c:idx val="5"/>
            <c:invertIfNegative val="0"/>
            <c:bubble3D val="0"/>
            <c:spPr>
              <a:solidFill>
                <a:srgbClr val="89C163"/>
              </a:solidFill>
              <a:ln>
                <a:noFill/>
              </a:ln>
              <a:effectLst/>
            </c:spPr>
            <c:extLst>
              <c:ext xmlns:c16="http://schemas.microsoft.com/office/drawing/2014/chart" uri="{C3380CC4-5D6E-409C-BE32-E72D297353CC}">
                <c16:uniqueId val="{00000009-C671-4E52-87FC-085B79BAF50D}"/>
              </c:ext>
            </c:extLst>
          </c:dPt>
          <c:dPt>
            <c:idx val="6"/>
            <c:invertIfNegative val="0"/>
            <c:bubble3D val="0"/>
            <c:spPr>
              <a:solidFill>
                <a:srgbClr val="9ECB7F"/>
              </a:solidFill>
              <a:ln>
                <a:noFill/>
              </a:ln>
              <a:effectLst/>
            </c:spPr>
            <c:extLst>
              <c:ext xmlns:c16="http://schemas.microsoft.com/office/drawing/2014/chart" uri="{C3380CC4-5D6E-409C-BE32-E72D297353CC}">
                <c16:uniqueId val="{0000000B-C671-4E52-87FC-085B79BAF50D}"/>
              </c:ext>
            </c:extLst>
          </c:dPt>
          <c:dPt>
            <c:idx val="7"/>
            <c:invertIfNegative val="0"/>
            <c:bubble3D val="0"/>
            <c:spPr>
              <a:solidFill>
                <a:srgbClr val="CBE3BB"/>
              </a:solidFill>
              <a:ln>
                <a:noFill/>
              </a:ln>
              <a:effectLst/>
            </c:spPr>
            <c:extLst>
              <c:ext xmlns:c16="http://schemas.microsoft.com/office/drawing/2014/chart" uri="{C3380CC4-5D6E-409C-BE32-E72D297353CC}">
                <c16:uniqueId val="{0000000D-C671-4E52-87FC-085B79BAF50D}"/>
              </c:ext>
            </c:extLst>
          </c:dPt>
          <c:dLbls>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Salespersons'!$A$4:$A$12</c:f>
              <c:strCache>
                <c:ptCount val="8"/>
                <c:pt idx="0">
                  <c:v>Nancy Freehafer</c:v>
                </c:pt>
                <c:pt idx="1">
                  <c:v>Anne Larsen</c:v>
                </c:pt>
                <c:pt idx="2">
                  <c:v>Andrew Cencini</c:v>
                </c:pt>
                <c:pt idx="3">
                  <c:v>Mariya Sergienko</c:v>
                </c:pt>
                <c:pt idx="4">
                  <c:v>Laura Giussani</c:v>
                </c:pt>
                <c:pt idx="5">
                  <c:v>Michael Neipper</c:v>
                </c:pt>
                <c:pt idx="6">
                  <c:v>Robert Zare</c:v>
                </c:pt>
                <c:pt idx="7">
                  <c:v>Jan Kotas</c:v>
                </c:pt>
              </c:strCache>
            </c:strRef>
          </c:cat>
          <c:val>
            <c:numRef>
              <c:f>'Sales By Salespersons'!$B$4:$B$12</c:f>
              <c:numCache>
                <c:formatCode>[$$-409]#,##0.00</c:formatCode>
                <c:ptCount val="8"/>
                <c:pt idx="0">
                  <c:v>104252.33999999997</c:v>
                </c:pt>
                <c:pt idx="1">
                  <c:v>93858.329999999987</c:v>
                </c:pt>
                <c:pt idx="2">
                  <c:v>67180.5</c:v>
                </c:pt>
                <c:pt idx="3">
                  <c:v>42370.880000000005</c:v>
                </c:pt>
                <c:pt idx="4">
                  <c:v>41095.01</c:v>
                </c:pt>
                <c:pt idx="5">
                  <c:v>37428</c:v>
                </c:pt>
                <c:pt idx="6">
                  <c:v>32530.6</c:v>
                </c:pt>
                <c:pt idx="7">
                  <c:v>16350.5</c:v>
                </c:pt>
              </c:numCache>
            </c:numRef>
          </c:val>
          <c:extLst>
            <c:ext xmlns:c16="http://schemas.microsoft.com/office/drawing/2014/chart" uri="{C3380CC4-5D6E-409C-BE32-E72D297353CC}">
              <c16:uniqueId val="{0000000E-C671-4E52-87FC-085B79BAF50D}"/>
            </c:ext>
          </c:extLst>
        </c:ser>
        <c:dLbls>
          <c:showLegendKey val="0"/>
          <c:showVal val="0"/>
          <c:showCatName val="0"/>
          <c:showSerName val="0"/>
          <c:showPercent val="0"/>
          <c:showBubbleSize val="0"/>
        </c:dLbls>
        <c:gapWidth val="22"/>
        <c:axId val="45178143"/>
        <c:axId val="1903841199"/>
      </c:barChart>
      <c:valAx>
        <c:axId val="1903841199"/>
        <c:scaling>
          <c:orientation val="minMax"/>
        </c:scaling>
        <c:delete val="1"/>
        <c:axPos val="t"/>
        <c:majorGridlines>
          <c:spPr>
            <a:ln w="9525" cap="flat" cmpd="sng" algn="ctr">
              <a:solidFill>
                <a:schemeClr val="tx1">
                  <a:lumMod val="15000"/>
                  <a:lumOff val="85000"/>
                </a:schemeClr>
              </a:solidFill>
              <a:round/>
            </a:ln>
            <a:effectLst/>
          </c:spPr>
        </c:majorGridlines>
        <c:numFmt formatCode="[$$-409]#,##0.00" sourceLinked="1"/>
        <c:majorTickMark val="out"/>
        <c:minorTickMark val="none"/>
        <c:tickLblPos val="nextTo"/>
        <c:crossAx val="45178143"/>
        <c:crosses val="autoZero"/>
        <c:crossBetween val="between"/>
      </c:valAx>
      <c:catAx>
        <c:axId val="4517814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0384119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Completion &amp; Recommendations Board.xlsx]Sales By Region!PivotTable1</c:name>
    <c:fmtId val="8"/>
  </c:pivotSource>
  <c:chart>
    <c:autoTitleDeleted val="1"/>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rgbClr val="4D7830"/>
          </a:solidFill>
          <a:ln>
            <a:noFill/>
          </a:ln>
          <a:effectLst/>
        </c:spPr>
      </c:pivotFmt>
      <c:pivotFmt>
        <c:idx val="3"/>
        <c:spPr>
          <a:solidFill>
            <a:srgbClr val="68A141"/>
          </a:solidFill>
          <a:ln>
            <a:noFill/>
          </a:ln>
          <a:effectLst/>
        </c:spPr>
      </c:pivotFmt>
      <c:pivotFmt>
        <c:idx val="4"/>
        <c:spPr>
          <a:solidFill>
            <a:srgbClr val="85BE5E"/>
          </a:solidFill>
          <a:ln>
            <a:noFill/>
          </a:ln>
          <a:effectLst/>
        </c:spPr>
      </c:pivotFmt>
      <c:pivotFmt>
        <c:idx val="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pivotFmt>
      <c:pivotFmt>
        <c:idx val="7"/>
        <c:spPr>
          <a:solidFill>
            <a:srgbClr val="4D7830"/>
          </a:solidFill>
          <a:ln>
            <a:noFill/>
          </a:ln>
          <a:effectLst/>
        </c:spPr>
      </c:pivotFmt>
      <c:pivotFmt>
        <c:idx val="8"/>
        <c:spPr>
          <a:solidFill>
            <a:srgbClr val="68A141"/>
          </a:solidFill>
          <a:ln>
            <a:noFill/>
          </a:ln>
          <a:effectLst/>
        </c:spPr>
      </c:pivotFmt>
      <c:pivotFmt>
        <c:idx val="9"/>
        <c:spPr>
          <a:solidFill>
            <a:srgbClr val="85BE5E"/>
          </a:solidFill>
          <a:ln>
            <a:noFill/>
          </a:ln>
          <a:effectLst/>
        </c:spPr>
      </c:pivotFmt>
      <c:pivotFmt>
        <c:idx val="1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50000"/>
            </a:schemeClr>
          </a:solidFill>
          <a:ln>
            <a:noFill/>
          </a:ln>
          <a:effectLst/>
        </c:spPr>
      </c:pivotFmt>
      <c:pivotFmt>
        <c:idx val="12"/>
        <c:spPr>
          <a:solidFill>
            <a:srgbClr val="4D7830"/>
          </a:solidFill>
          <a:ln>
            <a:noFill/>
          </a:ln>
          <a:effectLst/>
        </c:spPr>
      </c:pivotFmt>
      <c:pivotFmt>
        <c:idx val="13"/>
        <c:spPr>
          <a:solidFill>
            <a:srgbClr val="68A141"/>
          </a:solidFill>
          <a:ln>
            <a:noFill/>
          </a:ln>
          <a:effectLst/>
        </c:spPr>
      </c:pivotFmt>
      <c:pivotFmt>
        <c:idx val="14"/>
        <c:spPr>
          <a:solidFill>
            <a:srgbClr val="85BE5E"/>
          </a:solidFill>
          <a:ln>
            <a:noFill/>
          </a:ln>
          <a:effectLst/>
        </c:spPr>
      </c:pivotFmt>
      <c:pivotFmt>
        <c:idx val="1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50000"/>
            </a:schemeClr>
          </a:solidFill>
          <a:ln>
            <a:noFill/>
          </a:ln>
          <a:effectLst/>
        </c:spPr>
      </c:pivotFmt>
      <c:pivotFmt>
        <c:idx val="17"/>
        <c:spPr>
          <a:solidFill>
            <a:srgbClr val="4D7830"/>
          </a:solidFill>
          <a:ln>
            <a:noFill/>
          </a:ln>
          <a:effectLst/>
        </c:spPr>
      </c:pivotFmt>
      <c:pivotFmt>
        <c:idx val="18"/>
        <c:spPr>
          <a:solidFill>
            <a:srgbClr val="68A141"/>
          </a:solidFill>
          <a:ln>
            <a:noFill/>
          </a:ln>
          <a:effectLst/>
        </c:spPr>
      </c:pivotFmt>
      <c:pivotFmt>
        <c:idx val="19"/>
        <c:spPr>
          <a:solidFill>
            <a:srgbClr val="85BE5E"/>
          </a:solidFill>
          <a:ln>
            <a:noFill/>
          </a:ln>
          <a:effectLst/>
        </c:spPr>
      </c:pivotFmt>
      <c:pivotFmt>
        <c:idx val="2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1"/>
        <c:spPr>
          <a:solidFill>
            <a:schemeClr val="accent6">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15:layout>
                <c:manualLayout>
                  <c:w val="0.24528454795182036"/>
                  <c:h val="0.23440083487802538"/>
                </c:manualLayout>
              </c15:layout>
            </c:ext>
          </c:extLst>
        </c:dLbl>
      </c:pivotFmt>
      <c:pivotFmt>
        <c:idx val="22"/>
        <c:spPr>
          <a:solidFill>
            <a:srgbClr val="4D7830"/>
          </a:solidFill>
          <a:ln>
            <a:noFill/>
          </a:ln>
          <a:effectLst/>
        </c:spPr>
        <c:dLbl>
          <c:idx val="0"/>
          <c:layout>
            <c:manualLayout>
              <c:x val="0.14290234691290232"/>
              <c:y val="-6.51925060149306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1"/>
          <c:showSerName val="0"/>
          <c:showPercent val="0"/>
          <c:showBubbleSize val="0"/>
          <c:extLst>
            <c:ext xmlns:c15="http://schemas.microsoft.com/office/drawing/2012/chart" uri="{CE6537A1-D6FC-4f65-9D91-7224C49458BB}">
              <c15:layout>
                <c:manualLayout>
                  <c:w val="0.23247260143379464"/>
                  <c:h val="0.23440083487802538"/>
                </c:manualLayout>
              </c15:layout>
            </c:ext>
          </c:extLst>
        </c:dLbl>
      </c:pivotFmt>
      <c:pivotFmt>
        <c:idx val="23"/>
        <c:spPr>
          <a:solidFill>
            <a:srgbClr val="68A14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15:layout>
                <c:manualLayout>
                  <c:w val="0.21966065491576903"/>
                  <c:h val="0.23440083487802538"/>
                </c:manualLayout>
              </c15:layout>
            </c:ext>
          </c:extLst>
        </c:dLbl>
      </c:pivotFmt>
      <c:pivotFmt>
        <c:idx val="24"/>
        <c:spPr>
          <a:solidFill>
            <a:srgbClr val="85BE5E"/>
          </a:solidFill>
          <a:ln>
            <a:noFill/>
          </a:ln>
          <a:effectLst/>
        </c:spPr>
        <c:dLbl>
          <c:idx val="0"/>
          <c:layout>
            <c:manualLayout>
              <c:x val="-4.8208899964926874E-2"/>
              <c:y val="9.12701244155109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1"/>
          <c:showSerName val="0"/>
          <c:showPercent val="0"/>
          <c:showBubbleSize val="0"/>
          <c:extLst>
            <c:ext xmlns:c15="http://schemas.microsoft.com/office/drawing/2012/chart" uri="{CE6537A1-D6FC-4f65-9D91-7224C49458BB}">
              <c15:layout>
                <c:manualLayout>
                  <c:w val="0.21966065491576903"/>
                  <c:h val="0.23440083487802538"/>
                </c:manualLayout>
              </c15:layout>
            </c:ext>
          </c:extLst>
        </c:dLbl>
      </c:pivotFmt>
    </c:pivotFmts>
    <c:plotArea>
      <c:layout/>
      <c:pieChart>
        <c:varyColors val="1"/>
        <c:ser>
          <c:idx val="0"/>
          <c:order val="0"/>
          <c:tx>
            <c:strRef>
              <c:f>'Sales By Region'!$B$3</c:f>
              <c:strCache>
                <c:ptCount val="1"/>
                <c:pt idx="0">
                  <c:v>Total</c:v>
                </c:pt>
              </c:strCache>
            </c:strRef>
          </c:tx>
          <c:spPr>
            <a:solidFill>
              <a:schemeClr val="accent6">
                <a:lumMod val="50000"/>
              </a:schemeClr>
            </a:solidFill>
            <a:ln>
              <a:noFill/>
            </a:ln>
          </c:spPr>
          <c:explosion val="2"/>
          <c:dPt>
            <c:idx val="0"/>
            <c:bubble3D val="0"/>
            <c:spPr>
              <a:solidFill>
                <a:schemeClr val="accent6">
                  <a:lumMod val="50000"/>
                </a:schemeClr>
              </a:solidFill>
              <a:ln>
                <a:noFill/>
              </a:ln>
              <a:effectLst/>
            </c:spPr>
            <c:extLst>
              <c:ext xmlns:c16="http://schemas.microsoft.com/office/drawing/2014/chart" uri="{C3380CC4-5D6E-409C-BE32-E72D297353CC}">
                <c16:uniqueId val="{00000001-775C-4D8F-9C2C-3C48FD028E6C}"/>
              </c:ext>
            </c:extLst>
          </c:dPt>
          <c:dPt>
            <c:idx val="1"/>
            <c:bubble3D val="0"/>
            <c:spPr>
              <a:solidFill>
                <a:srgbClr val="4D7830"/>
              </a:solidFill>
              <a:ln>
                <a:noFill/>
              </a:ln>
              <a:effectLst/>
            </c:spPr>
            <c:extLst>
              <c:ext xmlns:c16="http://schemas.microsoft.com/office/drawing/2014/chart" uri="{C3380CC4-5D6E-409C-BE32-E72D297353CC}">
                <c16:uniqueId val="{00000003-775C-4D8F-9C2C-3C48FD028E6C}"/>
              </c:ext>
            </c:extLst>
          </c:dPt>
          <c:dPt>
            <c:idx val="2"/>
            <c:bubble3D val="0"/>
            <c:spPr>
              <a:solidFill>
                <a:srgbClr val="68A141"/>
              </a:solidFill>
              <a:ln>
                <a:noFill/>
              </a:ln>
              <a:effectLst/>
            </c:spPr>
            <c:extLst>
              <c:ext xmlns:c16="http://schemas.microsoft.com/office/drawing/2014/chart" uri="{C3380CC4-5D6E-409C-BE32-E72D297353CC}">
                <c16:uniqueId val="{00000005-775C-4D8F-9C2C-3C48FD028E6C}"/>
              </c:ext>
            </c:extLst>
          </c:dPt>
          <c:dPt>
            <c:idx val="3"/>
            <c:bubble3D val="0"/>
            <c:spPr>
              <a:solidFill>
                <a:srgbClr val="85BE5E"/>
              </a:solidFill>
              <a:ln>
                <a:noFill/>
              </a:ln>
              <a:effectLst/>
            </c:spPr>
            <c:extLst>
              <c:ext xmlns:c16="http://schemas.microsoft.com/office/drawing/2014/chart" uri="{C3380CC4-5D6E-409C-BE32-E72D297353CC}">
                <c16:uniqueId val="{00000007-775C-4D8F-9C2C-3C48FD028E6C}"/>
              </c:ext>
            </c:extLst>
          </c:dPt>
          <c:dLbls>
            <c:dLbl>
              <c:idx val="0"/>
              <c:dLblPos val="outEnd"/>
              <c:showLegendKey val="0"/>
              <c:showVal val="1"/>
              <c:showCatName val="1"/>
              <c:showSerName val="0"/>
              <c:showPercent val="0"/>
              <c:showBubbleSize val="0"/>
              <c:extLst>
                <c:ext xmlns:c15="http://schemas.microsoft.com/office/drawing/2012/chart" uri="{CE6537A1-D6FC-4f65-9D91-7224C49458BB}">
                  <c15:layout>
                    <c:manualLayout>
                      <c:w val="0.24528454795182036"/>
                      <c:h val="0.23440083487802538"/>
                    </c:manualLayout>
                  </c15:layout>
                </c:ext>
                <c:ext xmlns:c16="http://schemas.microsoft.com/office/drawing/2014/chart" uri="{C3380CC4-5D6E-409C-BE32-E72D297353CC}">
                  <c16:uniqueId val="{00000001-775C-4D8F-9C2C-3C48FD028E6C}"/>
                </c:ext>
              </c:extLst>
            </c:dLbl>
            <c:dLbl>
              <c:idx val="1"/>
              <c:layout>
                <c:manualLayout>
                  <c:x val="0.14290234691290232"/>
                  <c:y val="-6.5192506014930679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3247260143379464"/>
                      <c:h val="0.23440083487802538"/>
                    </c:manualLayout>
                  </c15:layout>
                </c:ext>
                <c:ext xmlns:c16="http://schemas.microsoft.com/office/drawing/2014/chart" uri="{C3380CC4-5D6E-409C-BE32-E72D297353CC}">
                  <c16:uniqueId val="{00000003-775C-4D8F-9C2C-3C48FD028E6C}"/>
                </c:ext>
              </c:extLst>
            </c:dLbl>
            <c:dLbl>
              <c:idx val="2"/>
              <c:dLblPos val="outEnd"/>
              <c:showLegendKey val="0"/>
              <c:showVal val="1"/>
              <c:showCatName val="1"/>
              <c:showSerName val="0"/>
              <c:showPercent val="0"/>
              <c:showBubbleSize val="0"/>
              <c:extLst>
                <c:ext xmlns:c15="http://schemas.microsoft.com/office/drawing/2012/chart" uri="{CE6537A1-D6FC-4f65-9D91-7224C49458BB}">
                  <c15:layout>
                    <c:manualLayout>
                      <c:w val="0.21966065491576903"/>
                      <c:h val="0.23440083487802538"/>
                    </c:manualLayout>
                  </c15:layout>
                </c:ext>
                <c:ext xmlns:c16="http://schemas.microsoft.com/office/drawing/2014/chart" uri="{C3380CC4-5D6E-409C-BE32-E72D297353CC}">
                  <c16:uniqueId val="{00000005-775C-4D8F-9C2C-3C48FD028E6C}"/>
                </c:ext>
              </c:extLst>
            </c:dLbl>
            <c:dLbl>
              <c:idx val="3"/>
              <c:layout>
                <c:manualLayout>
                  <c:x val="-4.8208899964926874E-2"/>
                  <c:y val="9.1270124415510953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1966065491576903"/>
                      <c:h val="0.23440083487802538"/>
                    </c:manualLayout>
                  </c15:layout>
                </c:ext>
                <c:ext xmlns:c16="http://schemas.microsoft.com/office/drawing/2014/chart" uri="{C3380CC4-5D6E-409C-BE32-E72D297353CC}">
                  <c16:uniqueId val="{00000007-775C-4D8F-9C2C-3C48FD028E6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Region'!$A$4:$A$8</c:f>
              <c:strCache>
                <c:ptCount val="4"/>
                <c:pt idx="0">
                  <c:v>North</c:v>
                </c:pt>
                <c:pt idx="1">
                  <c:v>East</c:v>
                </c:pt>
                <c:pt idx="2">
                  <c:v>South</c:v>
                </c:pt>
                <c:pt idx="3">
                  <c:v>West</c:v>
                </c:pt>
              </c:strCache>
            </c:strRef>
          </c:cat>
          <c:val>
            <c:numRef>
              <c:f>'Sales By Region'!$B$4:$B$8</c:f>
              <c:numCache>
                <c:formatCode>[$$-409]#,##0.00</c:formatCode>
                <c:ptCount val="4"/>
                <c:pt idx="0">
                  <c:v>141680.33999999997</c:v>
                </c:pt>
                <c:pt idx="1">
                  <c:v>108275.51</c:v>
                </c:pt>
                <c:pt idx="2">
                  <c:v>93858.329999999987</c:v>
                </c:pt>
                <c:pt idx="3">
                  <c:v>91251.979999999981</c:v>
                </c:pt>
              </c:numCache>
            </c:numRef>
          </c:val>
          <c:extLst>
            <c:ext xmlns:c16="http://schemas.microsoft.com/office/drawing/2014/chart" uri="{C3380CC4-5D6E-409C-BE32-E72D297353CC}">
              <c16:uniqueId val="{00000008-775C-4D8F-9C2C-3C48FD028E6C}"/>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Completion &amp; Recommendations Board.xlsx]Top 6 Ship Cities by Revenue!PivotTable1</c:name>
    <c:fmtId val="18"/>
  </c:pivotSource>
  <c:chart>
    <c:autoTitleDeleted val="1"/>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rgbClr val="4D7830"/>
          </a:solidFill>
          <a:ln>
            <a:noFill/>
          </a:ln>
          <a:effectLst/>
        </c:spPr>
      </c:pivotFmt>
      <c:pivotFmt>
        <c:idx val="3"/>
        <c:spPr>
          <a:solidFill>
            <a:srgbClr val="68A141"/>
          </a:solidFill>
          <a:ln>
            <a:noFill/>
          </a:ln>
          <a:effectLst/>
        </c:spPr>
      </c:pivotFmt>
      <c:pivotFmt>
        <c:idx val="4"/>
        <c:spPr>
          <a:solidFill>
            <a:srgbClr val="85BE5E"/>
          </a:solidFill>
          <a:ln>
            <a:noFill/>
          </a:ln>
          <a:effectLst/>
        </c:spPr>
      </c:pivotFmt>
      <c:pivotFmt>
        <c:idx val="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pivotFmt>
      <c:pivotFmt>
        <c:idx val="7"/>
        <c:spPr>
          <a:solidFill>
            <a:srgbClr val="4D7830"/>
          </a:solidFill>
          <a:ln>
            <a:noFill/>
          </a:ln>
          <a:effectLst/>
        </c:spPr>
      </c:pivotFmt>
      <c:pivotFmt>
        <c:idx val="8"/>
        <c:spPr>
          <a:solidFill>
            <a:srgbClr val="68A141"/>
          </a:solidFill>
          <a:ln>
            <a:noFill/>
          </a:ln>
          <a:effectLst/>
        </c:spPr>
      </c:pivotFmt>
      <c:pivotFmt>
        <c:idx val="9"/>
        <c:spPr>
          <a:solidFill>
            <a:srgbClr val="85BE5E"/>
          </a:solidFill>
          <a:ln>
            <a:noFill/>
          </a:ln>
          <a:effectLst/>
        </c:spPr>
      </c:pivotFmt>
      <c:pivotFmt>
        <c:idx val="10"/>
        <c:spPr>
          <a:solidFill>
            <a:srgbClr val="60943C"/>
          </a:solidFill>
          <a:ln>
            <a:noFill/>
          </a:ln>
          <a:effectLst/>
        </c:spPr>
      </c:pivotFmt>
      <c:pivotFmt>
        <c:idx val="11"/>
        <c:spPr>
          <a:solidFill>
            <a:srgbClr val="73B248"/>
          </a:solidFill>
          <a:ln>
            <a:noFill/>
          </a:ln>
          <a:effectLst/>
        </c:spPr>
      </c:pivotFmt>
      <c:pivotFmt>
        <c:idx val="12"/>
        <c:spPr>
          <a:solidFill>
            <a:srgbClr val="8DC369"/>
          </a:solidFill>
          <a:ln>
            <a:noFill/>
          </a:ln>
          <a:effectLst/>
        </c:spPr>
      </c:pivotFmt>
      <c:pivotFmt>
        <c:idx val="13"/>
        <c:spPr>
          <a:solidFill>
            <a:srgbClr val="B0D597"/>
          </a:solidFill>
          <a:ln>
            <a:noFill/>
          </a:ln>
          <a:effectLst/>
        </c:spPr>
      </c:pivotFmt>
      <c:pivotFmt>
        <c:idx val="14"/>
        <c:spPr>
          <a:solidFill>
            <a:srgbClr val="A4CF87"/>
          </a:solidFill>
          <a:ln>
            <a:noFill/>
          </a:ln>
          <a:effectLst/>
        </c:spPr>
      </c:pivotFmt>
      <c:pivotFmt>
        <c:idx val="15"/>
        <c:spPr>
          <a:solidFill>
            <a:schemeClr val="accent1"/>
          </a:solidFill>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60943C"/>
          </a:solidFill>
          <a:ln>
            <a:noFill/>
          </a:ln>
          <a:effectLst/>
        </c:spPr>
      </c:pivotFmt>
      <c:pivotFmt>
        <c:idx val="17"/>
        <c:spPr>
          <a:solidFill>
            <a:srgbClr val="73B248"/>
          </a:solidFill>
          <a:ln>
            <a:noFill/>
          </a:ln>
          <a:effectLst/>
        </c:spPr>
      </c:pivotFmt>
      <c:pivotFmt>
        <c:idx val="18"/>
        <c:spPr>
          <a:solidFill>
            <a:srgbClr val="8DC369"/>
          </a:solidFill>
          <a:ln>
            <a:noFill/>
          </a:ln>
          <a:effectLst/>
        </c:spPr>
      </c:pivotFmt>
      <c:pivotFmt>
        <c:idx val="19"/>
        <c:spPr>
          <a:solidFill>
            <a:srgbClr val="B0D597"/>
          </a:solidFill>
          <a:ln>
            <a:noFill/>
          </a:ln>
          <a:effectLst/>
        </c:spPr>
      </c:pivotFmt>
      <c:pivotFmt>
        <c:idx val="20"/>
        <c:spPr>
          <a:solidFill>
            <a:schemeClr val="accent1"/>
          </a:solidFill>
          <a:ln w="28575" cap="rnd">
            <a:solidFill>
              <a:schemeClr val="accent6">
                <a:lumMod val="50000"/>
              </a:schemeClr>
            </a:solidFill>
            <a:round/>
          </a:ln>
          <a:effectLst/>
        </c:spPr>
        <c:marker>
          <c:symbol val="circle"/>
          <c:size val="5"/>
        </c:marker>
      </c:pivotFmt>
      <c:pivotFmt>
        <c:idx val="21"/>
        <c:spPr>
          <a:solidFill>
            <a:schemeClr val="accent1"/>
          </a:solidFill>
          <a:ln w="28575" cap="rnd">
            <a:solidFill>
              <a:schemeClr val="accent6">
                <a:lumMod val="50000"/>
              </a:schemeClr>
            </a:solidFill>
            <a:round/>
          </a:ln>
          <a:effectLst/>
        </c:spPr>
        <c:marker>
          <c:symbol val="circle"/>
          <c:size val="5"/>
        </c:marker>
      </c:pivotFmt>
      <c:pivotFmt>
        <c:idx val="22"/>
        <c:spPr>
          <a:solidFill>
            <a:schemeClr val="accent1"/>
          </a:solidFill>
          <a:ln w="28575" cap="rnd">
            <a:solidFill>
              <a:schemeClr val="accent6">
                <a:lumMod val="50000"/>
              </a:schemeClr>
            </a:solidFill>
            <a:round/>
          </a:ln>
          <a:effectLst/>
        </c:spPr>
        <c:marker>
          <c:symbol val="circle"/>
          <c:size val="5"/>
        </c:marker>
      </c:pivotFmt>
      <c:pivotFmt>
        <c:idx val="23"/>
        <c:spPr>
          <a:solidFill>
            <a:schemeClr val="accent1"/>
          </a:solidFill>
          <a:ln w="28575" cap="rnd">
            <a:solidFill>
              <a:schemeClr val="accent6">
                <a:lumMod val="50000"/>
              </a:schemeClr>
            </a:solidFill>
            <a:round/>
          </a:ln>
          <a:effectLst/>
        </c:spPr>
        <c:marker>
          <c:symbol val="circle"/>
          <c:size val="5"/>
        </c:marker>
      </c:pivotFmt>
      <c:pivotFmt>
        <c:idx val="24"/>
        <c:spPr>
          <a:solidFill>
            <a:schemeClr val="accent1"/>
          </a:solidFill>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pivotFmt>
      <c:pivotFmt>
        <c:idx val="26"/>
        <c:spPr>
          <a:solidFill>
            <a:schemeClr val="accent1"/>
          </a:solidFill>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pivotFmt>
      <c:pivotFmt>
        <c:idx val="27"/>
        <c:spPr>
          <a:solidFill>
            <a:schemeClr val="accent1"/>
          </a:solidFill>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pivotFmt>
      <c:pivotFmt>
        <c:idx val="28"/>
        <c:spPr>
          <a:solidFill>
            <a:schemeClr val="accent1"/>
          </a:solidFill>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pivotFmt>
      <c:pivotFmt>
        <c:idx val="29"/>
        <c:spPr>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pivotFmt>
      <c:pivotFmt>
        <c:idx val="31"/>
        <c:spPr>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pivotFmt>
      <c:pivotFmt>
        <c:idx val="32"/>
        <c:spPr>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pivotFmt>
      <c:pivotFmt>
        <c:idx val="33"/>
        <c:spPr>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pivotFmt>
      <c:pivotFmt>
        <c:idx val="34"/>
        <c:spPr>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5"/>
        <c:spPr>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pivotFmt>
      <c:pivotFmt>
        <c:idx val="36"/>
        <c:spPr>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pivotFmt>
      <c:pivotFmt>
        <c:idx val="37"/>
        <c:spPr>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pivotFmt>
      <c:pivotFmt>
        <c:idx val="38"/>
        <c:spPr>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pivotFmt>
      <c:pivotFmt>
        <c:idx val="39"/>
        <c:spPr>
          <a:ln w="28575" cap="rnd">
            <a:solidFill>
              <a:schemeClr val="accent6">
                <a:lumMod val="50000"/>
              </a:schemeClr>
            </a:solidFill>
            <a:round/>
          </a:ln>
          <a:effectLst/>
        </c:spPr>
        <c:marker>
          <c:symbol val="circle"/>
          <c:size val="5"/>
          <c:spPr>
            <a:solidFill>
              <a:srgbClr val="8DC369"/>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40"/>
        <c:dLbl>
          <c:idx val="0"/>
          <c:layout>
            <c:manualLayout>
              <c:x val="-0.1548937200511705"/>
              <c:y val="0.131744281572030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41"/>
        <c:dLbl>
          <c:idx val="0"/>
          <c:layout>
            <c:manualLayout>
              <c:x val="0.16923573116701951"/>
              <c:y val="0.106245388364540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42"/>
        <c:dLbl>
          <c:idx val="0"/>
          <c:layout>
            <c:manualLayout>
              <c:x val="0.15202531782800077"/>
              <c:y val="1.27494466037447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43"/>
        <c:dLbl>
          <c:idx val="0"/>
          <c:layout>
            <c:manualLayout>
              <c:x val="0.14628851338166102"/>
              <c:y val="-0.10199557282995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44"/>
        <c:dLbl>
          <c:idx val="0"/>
          <c:layout>
            <c:manualLayout>
              <c:x val="-9.1788871141434358E-2"/>
              <c:y val="-0.144493728175775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45"/>
        <c:dLbl>
          <c:idx val="0"/>
          <c:layout>
            <c:manualLayout>
              <c:x val="-0.18644614450603855"/>
              <c:y val="-8.499631069163238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46"/>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47"/>
        <c:dLbl>
          <c:idx val="0"/>
          <c:layout>
            <c:manualLayout>
              <c:x val="0.14628851338166102"/>
              <c:y val="-0.10199557282995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48"/>
        <c:dLbl>
          <c:idx val="0"/>
          <c:layout>
            <c:manualLayout>
              <c:x val="0.15202531782800077"/>
              <c:y val="1.27494466037447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49"/>
        <c:dLbl>
          <c:idx val="0"/>
          <c:layout>
            <c:manualLayout>
              <c:x val="0.16923573116701951"/>
              <c:y val="0.106245388364540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50"/>
        <c:dLbl>
          <c:idx val="0"/>
          <c:layout>
            <c:manualLayout>
              <c:x val="-0.1548937200511705"/>
              <c:y val="0.131744281572030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51"/>
        <c:dLbl>
          <c:idx val="0"/>
          <c:layout>
            <c:manualLayout>
              <c:x val="-0.18644614450603855"/>
              <c:y val="-8.499631069163238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52"/>
        <c:dLbl>
          <c:idx val="0"/>
          <c:layout>
            <c:manualLayout>
              <c:x val="-9.1788871141434358E-2"/>
              <c:y val="-0.144493728175775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53"/>
        <c:spPr>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54"/>
        <c:spPr>
          <a:solidFill>
            <a:schemeClr val="accent6">
              <a:lumMod val="50000"/>
            </a:schemeClr>
          </a:solidFill>
          <a:ln w="28575" cap="rnd">
            <a:noFill/>
            <a:round/>
          </a:ln>
          <a:effectLst/>
        </c:spPr>
        <c:dLbl>
          <c:idx val="0"/>
          <c:layout>
            <c:manualLayout>
              <c:x val="0.14628851338166102"/>
              <c:y val="-0.10199557282995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55"/>
        <c:spPr>
          <a:solidFill>
            <a:schemeClr val="accent6">
              <a:lumMod val="75000"/>
            </a:schemeClr>
          </a:solidFill>
          <a:ln w="28575" cap="rnd">
            <a:noFill/>
            <a:round/>
          </a:ln>
          <a:effectLst/>
        </c:spPr>
        <c:dLbl>
          <c:idx val="0"/>
          <c:layout>
            <c:manualLayout>
              <c:x val="0.15202531782800077"/>
              <c:y val="1.27494466037447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56"/>
        <c:spPr>
          <a:solidFill>
            <a:srgbClr val="6CA644"/>
          </a:solidFill>
          <a:ln w="28575" cap="rnd">
            <a:noFill/>
            <a:round/>
          </a:ln>
          <a:effectLst/>
        </c:spPr>
        <c:dLbl>
          <c:idx val="0"/>
          <c:layout>
            <c:manualLayout>
              <c:x val="0.10827294133308919"/>
              <c:y val="0.141972235529379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w="28575" cap="rnd">
            <a:noFill/>
            <a:round/>
          </a:ln>
          <a:effectLst/>
        </c:spPr>
        <c:dLbl>
          <c:idx val="0"/>
          <c:layout>
            <c:manualLayout>
              <c:x val="-0.1548937200511705"/>
              <c:y val="0.131744281572030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58"/>
        <c:spPr>
          <a:solidFill>
            <a:schemeClr val="accent6">
              <a:lumMod val="40000"/>
              <a:lumOff val="60000"/>
            </a:schemeClr>
          </a:solidFill>
          <a:ln w="28575" cap="rnd">
            <a:noFill/>
            <a:round/>
          </a:ln>
          <a:effectLst/>
        </c:spPr>
        <c:dLbl>
          <c:idx val="0"/>
          <c:layout>
            <c:manualLayout>
              <c:x val="-0.18644614450603855"/>
              <c:y val="-8.499631069163238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59"/>
        <c:spPr>
          <a:solidFill>
            <a:schemeClr val="accent6">
              <a:lumMod val="20000"/>
              <a:lumOff val="80000"/>
            </a:schemeClr>
          </a:solidFill>
          <a:ln w="28575" cap="rnd">
            <a:noFill/>
            <a:round/>
          </a:ln>
          <a:effectLst/>
        </c:spPr>
        <c:dLbl>
          <c:idx val="0"/>
          <c:layout>
            <c:manualLayout>
              <c:x val="-0.14462334656698439"/>
              <c:y val="-0.151661346324900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'Top 6 Ship Cities by Revenue'!$B$3</c:f>
              <c:strCache>
                <c:ptCount val="1"/>
                <c:pt idx="0">
                  <c:v>Total</c:v>
                </c:pt>
              </c:strCache>
            </c:strRef>
          </c:tx>
          <c:spPr>
            <a:ln w="28575" cap="rnd">
              <a:noFill/>
              <a:round/>
            </a:ln>
            <a:effectLst/>
          </c:spPr>
          <c:dPt>
            <c:idx val="0"/>
            <c:bubble3D val="0"/>
            <c:spPr>
              <a:solidFill>
                <a:schemeClr val="accent6">
                  <a:lumMod val="50000"/>
                </a:schemeClr>
              </a:solidFill>
              <a:ln w="28575" cap="rnd">
                <a:noFill/>
                <a:round/>
              </a:ln>
              <a:effectLst/>
            </c:spPr>
            <c:extLst>
              <c:ext xmlns:c16="http://schemas.microsoft.com/office/drawing/2014/chart" uri="{C3380CC4-5D6E-409C-BE32-E72D297353CC}">
                <c16:uniqueId val="{00000004-B485-480D-911A-B6C2272F31F8}"/>
              </c:ext>
            </c:extLst>
          </c:dPt>
          <c:dPt>
            <c:idx val="1"/>
            <c:bubble3D val="0"/>
            <c:spPr>
              <a:solidFill>
                <a:schemeClr val="accent6">
                  <a:lumMod val="75000"/>
                </a:schemeClr>
              </a:solidFill>
              <a:ln w="28575" cap="rnd">
                <a:noFill/>
                <a:round/>
              </a:ln>
              <a:effectLst/>
            </c:spPr>
            <c:extLst>
              <c:ext xmlns:c16="http://schemas.microsoft.com/office/drawing/2014/chart" uri="{C3380CC4-5D6E-409C-BE32-E72D297353CC}">
                <c16:uniqueId val="{00000000-B485-480D-911A-B6C2272F31F8}"/>
              </c:ext>
            </c:extLst>
          </c:dPt>
          <c:dPt>
            <c:idx val="2"/>
            <c:bubble3D val="0"/>
            <c:spPr>
              <a:solidFill>
                <a:srgbClr val="6CA644"/>
              </a:solidFill>
              <a:ln w="28575" cap="rnd">
                <a:noFill/>
                <a:round/>
              </a:ln>
              <a:effectLst/>
            </c:spPr>
            <c:extLst>
              <c:ext xmlns:c16="http://schemas.microsoft.com/office/drawing/2014/chart" uri="{C3380CC4-5D6E-409C-BE32-E72D297353CC}">
                <c16:uniqueId val="{00000001-B485-480D-911A-B6C2272F31F8}"/>
              </c:ext>
            </c:extLst>
          </c:dPt>
          <c:dPt>
            <c:idx val="3"/>
            <c:bubble3D val="0"/>
            <c:spPr>
              <a:solidFill>
                <a:schemeClr val="accent6">
                  <a:lumMod val="60000"/>
                  <a:lumOff val="40000"/>
                </a:schemeClr>
              </a:solidFill>
              <a:ln w="28575" cap="rnd">
                <a:noFill/>
                <a:round/>
              </a:ln>
              <a:effectLst/>
            </c:spPr>
            <c:extLst>
              <c:ext xmlns:c16="http://schemas.microsoft.com/office/drawing/2014/chart" uri="{C3380CC4-5D6E-409C-BE32-E72D297353CC}">
                <c16:uniqueId val="{00000002-B485-480D-911A-B6C2272F31F8}"/>
              </c:ext>
            </c:extLst>
          </c:dPt>
          <c:dPt>
            <c:idx val="4"/>
            <c:bubble3D val="0"/>
            <c:spPr>
              <a:solidFill>
                <a:schemeClr val="accent6">
                  <a:lumMod val="40000"/>
                  <a:lumOff val="60000"/>
                </a:schemeClr>
              </a:solidFill>
              <a:ln w="28575" cap="rnd">
                <a:noFill/>
                <a:round/>
              </a:ln>
              <a:effectLst/>
            </c:spPr>
            <c:extLst>
              <c:ext xmlns:c16="http://schemas.microsoft.com/office/drawing/2014/chart" uri="{C3380CC4-5D6E-409C-BE32-E72D297353CC}">
                <c16:uniqueId val="{00000003-B485-480D-911A-B6C2272F31F8}"/>
              </c:ext>
            </c:extLst>
          </c:dPt>
          <c:dPt>
            <c:idx val="5"/>
            <c:bubble3D val="0"/>
            <c:spPr>
              <a:solidFill>
                <a:schemeClr val="accent6">
                  <a:lumMod val="20000"/>
                  <a:lumOff val="80000"/>
                </a:schemeClr>
              </a:solidFill>
              <a:ln w="28575" cap="rnd">
                <a:noFill/>
                <a:round/>
              </a:ln>
              <a:effectLst/>
            </c:spPr>
            <c:extLst>
              <c:ext xmlns:c16="http://schemas.microsoft.com/office/drawing/2014/chart" uri="{C3380CC4-5D6E-409C-BE32-E72D297353CC}">
                <c16:uniqueId val="{00000005-B485-480D-911A-B6C2272F31F8}"/>
              </c:ext>
            </c:extLst>
          </c:dPt>
          <c:dLbls>
            <c:dLbl>
              <c:idx val="0"/>
              <c:layout>
                <c:manualLayout>
                  <c:x val="0.14628851338166102"/>
                  <c:y val="-0.101995572829958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485-480D-911A-B6C2272F31F8}"/>
                </c:ext>
              </c:extLst>
            </c:dLbl>
            <c:dLbl>
              <c:idx val="1"/>
              <c:layout>
                <c:manualLayout>
                  <c:x val="0.15202531782800077"/>
                  <c:y val="1.274944660374477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485-480D-911A-B6C2272F31F8}"/>
                </c:ext>
              </c:extLst>
            </c:dLbl>
            <c:dLbl>
              <c:idx val="2"/>
              <c:layout>
                <c:manualLayout>
                  <c:x val="0.10827294133308919"/>
                  <c:y val="0.1419722355293794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485-480D-911A-B6C2272F31F8}"/>
                </c:ext>
              </c:extLst>
            </c:dLbl>
            <c:dLbl>
              <c:idx val="3"/>
              <c:layout>
                <c:manualLayout>
                  <c:x val="-0.1548937200511705"/>
                  <c:y val="0.1317442815720301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485-480D-911A-B6C2272F31F8}"/>
                </c:ext>
              </c:extLst>
            </c:dLbl>
            <c:dLbl>
              <c:idx val="4"/>
              <c:layout>
                <c:manualLayout>
                  <c:x val="-0.18644614450603855"/>
                  <c:y val="-8.4996310691632382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485-480D-911A-B6C2272F31F8}"/>
                </c:ext>
              </c:extLst>
            </c:dLbl>
            <c:dLbl>
              <c:idx val="5"/>
              <c:layout>
                <c:manualLayout>
                  <c:x val="-0.14462334656698439"/>
                  <c:y val="-0.1516613463249005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485-480D-911A-B6C2272F31F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6 Ship Cities by Revenue'!$A$4:$A$10</c:f>
              <c:strCache>
                <c:ptCount val="6"/>
                <c:pt idx="0">
                  <c:v>New York</c:v>
                </c:pt>
                <c:pt idx="1">
                  <c:v>Portland</c:v>
                </c:pt>
                <c:pt idx="2">
                  <c:v>Miami</c:v>
                </c:pt>
                <c:pt idx="3">
                  <c:v>Memphis</c:v>
                </c:pt>
                <c:pt idx="4">
                  <c:v>Chicago</c:v>
                </c:pt>
                <c:pt idx="5">
                  <c:v>Milwaukee</c:v>
                </c:pt>
              </c:strCache>
            </c:strRef>
          </c:cat>
          <c:val>
            <c:numRef>
              <c:f>'Top 6 Ship Cities by Revenue'!$B$4:$B$10</c:f>
              <c:numCache>
                <c:formatCode>[$$-409]#,##0.00</c:formatCode>
                <c:ptCount val="6"/>
                <c:pt idx="0">
                  <c:v>67180.5</c:v>
                </c:pt>
                <c:pt idx="1">
                  <c:v>50208.35</c:v>
                </c:pt>
                <c:pt idx="2">
                  <c:v>50145.330000000009</c:v>
                </c:pt>
                <c:pt idx="3">
                  <c:v>43713</c:v>
                </c:pt>
                <c:pt idx="4">
                  <c:v>41095.01</c:v>
                </c:pt>
                <c:pt idx="5">
                  <c:v>37428</c:v>
                </c:pt>
              </c:numCache>
            </c:numRef>
          </c:val>
          <c:extLst>
            <c:ext xmlns:c16="http://schemas.microsoft.com/office/drawing/2014/chart" uri="{C3380CC4-5D6E-409C-BE32-E72D297353CC}">
              <c16:uniqueId val="{00000006-B485-480D-911A-B6C2272F31F8}"/>
            </c:ext>
          </c:extLst>
        </c:ser>
        <c:dLbls>
          <c:showLegendKey val="0"/>
          <c:showVal val="0"/>
          <c:showCatName val="0"/>
          <c:showSerName val="0"/>
          <c:showPercent val="0"/>
          <c:showBubbleSize val="0"/>
          <c:showLeaderLines val="1"/>
        </c:dLbls>
        <c:firstSliceAng val="0"/>
        <c:holeSize val="50"/>
      </c:doughnutChart>
    </c:plotArea>
    <c:plotVisOnly val="1"/>
    <c:dispBlanksAs val="gap"/>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Completion &amp; Recommendations Board.xlsx]Sales Trend!PivotTable1</c:name>
    <c:fmtId val="21"/>
  </c:pivotSource>
  <c:chart>
    <c:autoTitleDeleted val="1"/>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rgbClr val="4D7830"/>
          </a:solidFill>
          <a:ln>
            <a:noFill/>
          </a:ln>
          <a:effectLst/>
        </c:spPr>
      </c:pivotFmt>
      <c:pivotFmt>
        <c:idx val="3"/>
        <c:spPr>
          <a:solidFill>
            <a:srgbClr val="68A141"/>
          </a:solidFill>
          <a:ln>
            <a:noFill/>
          </a:ln>
          <a:effectLst/>
        </c:spPr>
      </c:pivotFmt>
      <c:pivotFmt>
        <c:idx val="4"/>
        <c:spPr>
          <a:solidFill>
            <a:srgbClr val="85BE5E"/>
          </a:solidFill>
          <a:ln>
            <a:noFill/>
          </a:ln>
          <a:effectLst/>
        </c:spPr>
      </c:pivotFmt>
      <c:pivotFmt>
        <c:idx val="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pivotFmt>
      <c:pivotFmt>
        <c:idx val="7"/>
        <c:spPr>
          <a:solidFill>
            <a:srgbClr val="4D7830"/>
          </a:solidFill>
          <a:ln>
            <a:noFill/>
          </a:ln>
          <a:effectLst/>
        </c:spPr>
      </c:pivotFmt>
      <c:pivotFmt>
        <c:idx val="8"/>
        <c:spPr>
          <a:solidFill>
            <a:srgbClr val="68A141"/>
          </a:solidFill>
          <a:ln>
            <a:noFill/>
          </a:ln>
          <a:effectLst/>
        </c:spPr>
      </c:pivotFmt>
      <c:pivotFmt>
        <c:idx val="9"/>
        <c:spPr>
          <a:solidFill>
            <a:srgbClr val="85BE5E"/>
          </a:solidFill>
          <a:ln>
            <a:noFill/>
          </a:ln>
          <a:effectLst/>
        </c:spPr>
      </c:pivotFmt>
      <c:pivotFmt>
        <c:idx val="10"/>
        <c:spPr>
          <a:solidFill>
            <a:schemeClr val="accent6">
              <a:lumMod val="75000"/>
            </a:schemeClr>
          </a:solidFill>
          <a:ln>
            <a:noFill/>
          </a:ln>
          <a:effectLst/>
        </c:spPr>
      </c:pivotFmt>
      <c:pivotFmt>
        <c:idx val="11"/>
        <c:spPr>
          <a:solidFill>
            <a:srgbClr val="68A141"/>
          </a:solidFill>
          <a:ln>
            <a:noFill/>
          </a:ln>
          <a:effectLst/>
        </c:spPr>
      </c:pivotFmt>
      <c:pivotFmt>
        <c:idx val="12"/>
        <c:spPr>
          <a:solidFill>
            <a:srgbClr val="85BE5E"/>
          </a:solidFill>
          <a:ln>
            <a:noFill/>
          </a:ln>
          <a:effectLst/>
        </c:spPr>
      </c:pivotFmt>
      <c:pivotFmt>
        <c:idx val="13"/>
        <c:spPr>
          <a:solidFill>
            <a:srgbClr val="80BC58"/>
          </a:solidFill>
          <a:ln>
            <a:noFill/>
          </a:ln>
          <a:effectLst/>
        </c:spPr>
      </c:pivotFmt>
      <c:pivotFmt>
        <c:idx val="14"/>
        <c:spPr>
          <a:solidFill>
            <a:schemeClr val="accent6">
              <a:lumMod val="50000"/>
            </a:schemeClr>
          </a:solidFill>
          <a:ln>
            <a:noFill/>
          </a:ln>
          <a:effectLst/>
        </c:spPr>
      </c:pivotFmt>
      <c:pivotFmt>
        <c:idx val="15"/>
        <c:spPr>
          <a:solidFill>
            <a:srgbClr val="89C163"/>
          </a:solidFill>
          <a:ln>
            <a:noFill/>
          </a:ln>
          <a:effectLst/>
        </c:spPr>
      </c:pivotFmt>
      <c:pivotFmt>
        <c:idx val="16"/>
        <c:spPr>
          <a:solidFill>
            <a:srgbClr val="9ECB7F"/>
          </a:solidFill>
          <a:ln>
            <a:noFill/>
          </a:ln>
          <a:effectLst/>
        </c:spPr>
      </c:pivotFmt>
      <c:pivotFmt>
        <c:idx val="17"/>
        <c:spPr>
          <a:solidFill>
            <a:srgbClr val="CBE3BB"/>
          </a:solidFill>
          <a:ln>
            <a:noFill/>
          </a:ln>
          <a:effectLst/>
        </c:spPr>
      </c:pivotFmt>
      <c:pivotFmt>
        <c:idx val="18"/>
        <c:spPr>
          <a:solidFill>
            <a:srgbClr val="43682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lumMod val="75000"/>
            </a:schemeClr>
          </a:solidFill>
          <a:ln>
            <a:noFill/>
          </a:ln>
          <a:effectLst/>
        </c:spPr>
      </c:pivotFmt>
      <c:pivotFmt>
        <c:idx val="20"/>
        <c:spPr>
          <a:solidFill>
            <a:srgbClr val="68A141"/>
          </a:solidFill>
          <a:ln>
            <a:noFill/>
          </a:ln>
          <a:effectLst/>
        </c:spPr>
      </c:pivotFmt>
      <c:pivotFmt>
        <c:idx val="21"/>
        <c:spPr>
          <a:solidFill>
            <a:srgbClr val="85BE5E"/>
          </a:solidFill>
          <a:ln>
            <a:noFill/>
          </a:ln>
          <a:effectLst/>
        </c:spPr>
      </c:pivotFmt>
      <c:pivotFmt>
        <c:idx val="22"/>
        <c:spPr>
          <a:solidFill>
            <a:srgbClr val="80BC58"/>
          </a:solidFill>
          <a:ln>
            <a:noFill/>
          </a:ln>
          <a:effectLst/>
        </c:spPr>
      </c:pivotFmt>
      <c:pivotFmt>
        <c:idx val="23"/>
        <c:spPr>
          <a:solidFill>
            <a:srgbClr val="89C163"/>
          </a:solidFill>
          <a:ln>
            <a:noFill/>
          </a:ln>
          <a:effectLst/>
        </c:spPr>
      </c:pivotFmt>
      <c:pivotFmt>
        <c:idx val="24"/>
        <c:spPr>
          <a:solidFill>
            <a:srgbClr val="9ECB7F"/>
          </a:solidFill>
          <a:ln>
            <a:noFill/>
          </a:ln>
          <a:effectLst/>
        </c:spPr>
      </c:pivotFmt>
      <c:pivotFmt>
        <c:idx val="25"/>
        <c:spPr>
          <a:solidFill>
            <a:srgbClr val="CBE3BB"/>
          </a:solidFill>
          <a:ln>
            <a:noFill/>
          </a:ln>
          <a:effectLst/>
        </c:spPr>
      </c:pivotFmt>
      <c:pivotFmt>
        <c:idx val="26"/>
        <c:spPr>
          <a:solidFill>
            <a:srgbClr val="43682A"/>
          </a:solidFill>
          <a:ln>
            <a:noFill/>
          </a:ln>
          <a:effectLst/>
        </c:spPr>
      </c:pivotFmt>
      <c:pivotFmt>
        <c:idx val="27"/>
        <c:spPr>
          <a:solidFill>
            <a:srgbClr val="4B752F"/>
          </a:solidFill>
          <a:ln>
            <a:noFill/>
          </a:ln>
          <a:effectLst/>
        </c:spPr>
      </c:pivotFmt>
      <c:pivotFmt>
        <c:idx val="28"/>
        <c:spPr>
          <a:solidFill>
            <a:srgbClr val="558335"/>
          </a:solidFill>
          <a:ln>
            <a:noFill/>
          </a:ln>
          <a:effectLst/>
        </c:spPr>
      </c:pivotFmt>
      <c:pivotFmt>
        <c:idx val="29"/>
        <c:spPr>
          <a:solidFill>
            <a:srgbClr val="60943C"/>
          </a:solidFill>
          <a:ln>
            <a:noFill/>
          </a:ln>
          <a:effectLst/>
        </c:spPr>
      </c:pivotFmt>
      <c:pivotFmt>
        <c:idx val="30"/>
        <c:spPr>
          <a:solidFill>
            <a:srgbClr val="6DA945"/>
          </a:solidFill>
          <a:ln>
            <a:noFill/>
          </a:ln>
          <a:effectLst/>
        </c:spPr>
      </c:pivotFmt>
      <c:pivotFmt>
        <c:idx val="31"/>
        <c:spPr>
          <a:solidFill>
            <a:srgbClr val="7AB850"/>
          </a:solidFill>
          <a:ln>
            <a:noFill/>
          </a:ln>
          <a:effectLst/>
        </c:spPr>
      </c:pivotFmt>
      <c:pivotFmt>
        <c:idx val="32"/>
        <c:spPr>
          <a:solidFill>
            <a:srgbClr val="85BE5E"/>
          </a:solidFill>
          <a:ln>
            <a:noFill/>
          </a:ln>
          <a:effectLst/>
        </c:spPr>
      </c:pivotFmt>
      <c:pivotFmt>
        <c:idx val="33"/>
        <c:spPr>
          <a:solidFill>
            <a:srgbClr val="8FC36B"/>
          </a:solidFill>
          <a:ln>
            <a:noFill/>
          </a:ln>
          <a:effectLst/>
        </c:spPr>
      </c:pivotFmt>
      <c:pivotFmt>
        <c:idx val="34"/>
        <c:spPr>
          <a:solidFill>
            <a:srgbClr val="B6DBA5"/>
          </a:solidFill>
          <a:ln>
            <a:noFill/>
          </a:ln>
          <a:effectLst/>
        </c:spPr>
      </c:pivotFmt>
      <c:pivotFmt>
        <c:idx val="35"/>
        <c:spPr>
          <a:solidFill>
            <a:srgbClr val="C7E1B5"/>
          </a:solidFill>
          <a:ln>
            <a:noFill/>
          </a:ln>
          <a:effectLst/>
        </c:spPr>
      </c:pivotFmt>
      <c:pivotFmt>
        <c:idx val="36"/>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4B752F"/>
          </a:solidFill>
          <a:ln>
            <a:noFill/>
          </a:ln>
          <a:effectLst/>
        </c:spPr>
      </c:pivotFmt>
      <c:pivotFmt>
        <c:idx val="38"/>
        <c:spPr>
          <a:solidFill>
            <a:srgbClr val="558335"/>
          </a:solidFill>
          <a:ln>
            <a:noFill/>
          </a:ln>
          <a:effectLst/>
        </c:spPr>
      </c:pivotFmt>
      <c:pivotFmt>
        <c:idx val="39"/>
        <c:spPr>
          <a:solidFill>
            <a:srgbClr val="60943C"/>
          </a:solidFill>
          <a:ln>
            <a:noFill/>
          </a:ln>
          <a:effectLst/>
        </c:spPr>
      </c:pivotFmt>
      <c:pivotFmt>
        <c:idx val="40"/>
        <c:spPr>
          <a:solidFill>
            <a:srgbClr val="6DA945"/>
          </a:solidFill>
          <a:ln>
            <a:noFill/>
          </a:ln>
          <a:effectLst/>
        </c:spPr>
      </c:pivotFmt>
      <c:pivotFmt>
        <c:idx val="41"/>
        <c:spPr>
          <a:solidFill>
            <a:srgbClr val="7AB850"/>
          </a:solidFill>
          <a:ln>
            <a:noFill/>
          </a:ln>
          <a:effectLst/>
        </c:spPr>
      </c:pivotFmt>
      <c:pivotFmt>
        <c:idx val="42"/>
        <c:spPr>
          <a:solidFill>
            <a:srgbClr val="85BE5E"/>
          </a:solidFill>
          <a:ln>
            <a:noFill/>
          </a:ln>
          <a:effectLst/>
        </c:spPr>
      </c:pivotFmt>
      <c:pivotFmt>
        <c:idx val="43"/>
        <c:spPr>
          <a:solidFill>
            <a:srgbClr val="8FC36B"/>
          </a:solidFill>
          <a:ln>
            <a:noFill/>
          </a:ln>
          <a:effectLst/>
        </c:spPr>
      </c:pivotFmt>
      <c:pivotFmt>
        <c:idx val="44"/>
        <c:spPr>
          <a:solidFill>
            <a:srgbClr val="B6DBA5"/>
          </a:solidFill>
          <a:ln>
            <a:noFill/>
          </a:ln>
          <a:effectLst/>
        </c:spPr>
      </c:pivotFmt>
      <c:pivotFmt>
        <c:idx val="45"/>
        <c:spPr>
          <a:solidFill>
            <a:srgbClr val="C7E1B5"/>
          </a:solidFill>
          <a:ln>
            <a:noFill/>
          </a:ln>
          <a:effectLst/>
        </c:spPr>
      </c:pivotFmt>
      <c:pivotFmt>
        <c:idx val="46"/>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47"/>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48"/>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49"/>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50"/>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51"/>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52"/>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53"/>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54"/>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55"/>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57"/>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58"/>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59"/>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60"/>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61"/>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62"/>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63"/>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64"/>
        <c:spPr>
          <a:solidFill>
            <a:schemeClr val="accent1"/>
          </a:solidFill>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65"/>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6"/>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67"/>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68"/>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69"/>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70"/>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71"/>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72"/>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73"/>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74"/>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75"/>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6"/>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77"/>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78"/>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79"/>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80"/>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81"/>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82"/>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83"/>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84"/>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pivotFmt>
      <c:pivotFmt>
        <c:idx val="85"/>
        <c:spPr>
          <a:ln w="28575" cap="rnd">
            <a:solidFill>
              <a:schemeClr val="accent6">
                <a:lumMod val="50000"/>
              </a:schemeClr>
            </a:solidFill>
            <a:round/>
          </a:ln>
          <a:effectLst/>
        </c:spPr>
        <c:marker>
          <c:symbol val="circle"/>
          <c:size val="5"/>
          <c:spPr>
            <a:solidFill>
              <a:schemeClr val="accent1"/>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6"/>
        <c:spPr>
          <a:ln w="28575" cap="rnd">
            <a:solidFill>
              <a:schemeClr val="accent6">
                <a:lumMod val="50000"/>
              </a:schemeClr>
            </a:solidFill>
            <a:round/>
          </a:ln>
          <a:effectLst/>
        </c:spPr>
      </c:pivotFmt>
      <c:pivotFmt>
        <c:idx val="87"/>
        <c:spPr>
          <a:ln w="28575" cap="rnd">
            <a:solidFill>
              <a:schemeClr val="accent6">
                <a:lumMod val="50000"/>
              </a:schemeClr>
            </a:solidFill>
            <a:round/>
          </a:ln>
          <a:effectLst/>
        </c:spPr>
      </c:pivotFmt>
      <c:pivotFmt>
        <c:idx val="88"/>
        <c:spPr>
          <a:ln w="28575" cap="rnd">
            <a:solidFill>
              <a:schemeClr val="accent6">
                <a:lumMod val="50000"/>
              </a:schemeClr>
            </a:solidFill>
            <a:round/>
          </a:ln>
          <a:effectLst/>
        </c:spPr>
      </c:pivotFmt>
      <c:pivotFmt>
        <c:idx val="89"/>
        <c:spPr>
          <a:ln w="28575" cap="rnd">
            <a:solidFill>
              <a:schemeClr val="accent6">
                <a:lumMod val="50000"/>
              </a:schemeClr>
            </a:solidFill>
            <a:round/>
          </a:ln>
          <a:effectLst/>
        </c:spPr>
      </c:pivotFmt>
      <c:pivotFmt>
        <c:idx val="90"/>
        <c:spPr>
          <a:ln w="28575" cap="rnd">
            <a:solidFill>
              <a:schemeClr val="accent6">
                <a:lumMod val="50000"/>
              </a:schemeClr>
            </a:solidFill>
            <a:round/>
          </a:ln>
          <a:effectLst/>
        </c:spPr>
      </c:pivotFmt>
      <c:pivotFmt>
        <c:idx val="91"/>
        <c:spPr>
          <a:ln w="28575" cap="rnd">
            <a:solidFill>
              <a:schemeClr val="accent6">
                <a:lumMod val="50000"/>
              </a:schemeClr>
            </a:solidFill>
            <a:round/>
          </a:ln>
          <a:effectLst/>
        </c:spPr>
      </c:pivotFmt>
      <c:pivotFmt>
        <c:idx val="92"/>
        <c:spPr>
          <a:ln w="28575" cap="rnd">
            <a:solidFill>
              <a:schemeClr val="accent6">
                <a:lumMod val="50000"/>
              </a:schemeClr>
            </a:solidFill>
            <a:round/>
          </a:ln>
          <a:effectLst/>
        </c:spPr>
      </c:pivotFmt>
      <c:pivotFmt>
        <c:idx val="93"/>
        <c:spPr>
          <a:ln w="28575" cap="rnd">
            <a:solidFill>
              <a:schemeClr val="accent6">
                <a:lumMod val="50000"/>
              </a:schemeClr>
            </a:solidFill>
            <a:round/>
          </a:ln>
          <a:effectLst/>
        </c:spPr>
      </c:pivotFmt>
      <c:pivotFmt>
        <c:idx val="94"/>
        <c:spPr>
          <a:ln w="28575" cap="rnd">
            <a:solidFill>
              <a:schemeClr val="accent6">
                <a:lumMod val="50000"/>
              </a:schemeClr>
            </a:solidFill>
            <a:round/>
          </a:ln>
          <a:effectLst/>
        </c:spPr>
      </c:pivotFmt>
      <c:pivotFmt>
        <c:idx val="95"/>
        <c:spPr>
          <a:solidFill>
            <a:schemeClr val="accent6">
              <a:lumMod val="60000"/>
              <a:lumOff val="40000"/>
            </a:schemeClr>
          </a:solidFill>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6"/>
        <c:dLbl>
          <c:idx val="0"/>
          <c:layout>
            <c:manualLayout>
              <c:x val="3.4497239405952107E-3"/>
              <c:y val="-0.279972953174369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7"/>
        <c:dLbl>
          <c:idx val="0"/>
          <c:layout>
            <c:manualLayout>
              <c:x val="0"/>
              <c:y val="-0.257024350455159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8"/>
        <c:dLbl>
          <c:idx val="0"/>
          <c:layout>
            <c:manualLayout>
              <c:x val="-1.724861970297621E-3"/>
              <c:y val="-0.201947703929053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9"/>
        <c:dLbl>
          <c:idx val="0"/>
          <c:layout>
            <c:manualLayout>
              <c:x val="-1.7248619702976053E-3"/>
              <c:y val="-0.206537424472895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0"/>
        <c:dLbl>
          <c:idx val="0"/>
          <c:layout>
            <c:manualLayout>
              <c:x val="-2.5872929554464078E-2"/>
              <c:y val="-0.252434629911317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1"/>
        <c:dLbl>
          <c:idx val="0"/>
          <c:layout>
            <c:manualLayout>
              <c:x val="0"/>
              <c:y val="-0.33504959970047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2"/>
        <c:dLbl>
          <c:idx val="0"/>
          <c:layout>
            <c:manualLayout>
              <c:x val="2.2423205613868867E-2"/>
              <c:y val="-0.252434629911317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3"/>
        <c:dLbl>
          <c:idx val="0"/>
          <c:layout>
            <c:manualLayout>
              <c:x val="2.5872929554464078E-2"/>
              <c:y val="-0.243255188823632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4"/>
        <c:dLbl>
          <c:idx val="0"/>
          <c:layout>
            <c:manualLayout>
              <c:x val="1.7248619702976053E-3"/>
              <c:y val="-0.339639320244317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5"/>
        <c:dLbl>
          <c:idx val="0"/>
          <c:layout>
            <c:manualLayout>
              <c:x val="-1.7248619702976053E-3"/>
              <c:y val="-0.330459879156633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6"/>
        <c:dLbl>
          <c:idx val="0"/>
          <c:layout>
            <c:manualLayout>
              <c:x val="-8.6243098514880261E-3"/>
              <c:y val="-0.312100996981264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7"/>
        <c:dLbl>
          <c:idx val="0"/>
          <c:layout>
            <c:manualLayout>
              <c:x val="-1.2648841661684194E-16"/>
              <c:y val="-0.380946805138896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6">
              <a:lumMod val="60000"/>
              <a:lumOff val="40000"/>
            </a:schemeClr>
          </a:solidFill>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9"/>
        <c:dLbl>
          <c:idx val="0"/>
          <c:layout>
            <c:manualLayout>
              <c:x val="0"/>
              <c:y val="-0.257024350455159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10"/>
        <c:dLbl>
          <c:idx val="0"/>
          <c:layout>
            <c:manualLayout>
              <c:x val="-1.724861970297621E-3"/>
              <c:y val="-0.201947703929053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11"/>
        <c:dLbl>
          <c:idx val="0"/>
          <c:layout>
            <c:manualLayout>
              <c:x val="3.4497239405952107E-3"/>
              <c:y val="-0.279972953174369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12"/>
        <c:dLbl>
          <c:idx val="0"/>
          <c:layout>
            <c:manualLayout>
              <c:x val="-1.7248619702976053E-3"/>
              <c:y val="-0.206537424472895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13"/>
        <c:dLbl>
          <c:idx val="0"/>
          <c:layout>
            <c:manualLayout>
              <c:x val="-2.5872929554464078E-2"/>
              <c:y val="-0.252434629911317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14"/>
        <c:dLbl>
          <c:idx val="0"/>
          <c:layout>
            <c:manualLayout>
              <c:x val="0"/>
              <c:y val="-0.33504959970047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15"/>
        <c:dLbl>
          <c:idx val="0"/>
          <c:layout>
            <c:manualLayout>
              <c:x val="2.2423205613868867E-2"/>
              <c:y val="-0.252434629911317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16"/>
        <c:dLbl>
          <c:idx val="0"/>
          <c:layout>
            <c:manualLayout>
              <c:x val="2.5872929554464078E-2"/>
              <c:y val="-0.243255188823632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17"/>
        <c:dLbl>
          <c:idx val="0"/>
          <c:layout>
            <c:manualLayout>
              <c:x val="1.7248619702976053E-3"/>
              <c:y val="-0.339639320244317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18"/>
        <c:dLbl>
          <c:idx val="0"/>
          <c:layout>
            <c:manualLayout>
              <c:x val="-1.7248619702976053E-3"/>
              <c:y val="-0.330459879156633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19"/>
        <c:dLbl>
          <c:idx val="0"/>
          <c:layout>
            <c:manualLayout>
              <c:x val="-8.6243098514880261E-3"/>
              <c:y val="-0.312100996981264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20"/>
        <c:dLbl>
          <c:idx val="0"/>
          <c:layout>
            <c:manualLayout>
              <c:x val="-1.2648841661684194E-16"/>
              <c:y val="-0.380946805138896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6">
              <a:lumMod val="60000"/>
              <a:lumOff val="40000"/>
            </a:schemeClr>
          </a:solidFill>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22"/>
        <c:dLbl>
          <c:idx val="0"/>
          <c:layout>
            <c:manualLayout>
              <c:x val="0"/>
              <c:y val="-0.257024350455159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23"/>
        <c:dLbl>
          <c:idx val="0"/>
          <c:layout>
            <c:manualLayout>
              <c:x val="-1.724861970297621E-3"/>
              <c:y val="-0.201947703929053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24"/>
        <c:dLbl>
          <c:idx val="0"/>
          <c:layout>
            <c:manualLayout>
              <c:x val="3.4497239405952107E-3"/>
              <c:y val="-0.279972953174369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25"/>
        <c:dLbl>
          <c:idx val="0"/>
          <c:layout>
            <c:manualLayout>
              <c:x val="-1.7248619702976053E-3"/>
              <c:y val="-0.206537424472895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26"/>
        <c:dLbl>
          <c:idx val="0"/>
          <c:layout>
            <c:manualLayout>
              <c:x val="-2.5872929554464078E-2"/>
              <c:y val="-0.252434629911317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27"/>
        <c:dLbl>
          <c:idx val="0"/>
          <c:layout>
            <c:manualLayout>
              <c:x val="0"/>
              <c:y val="-0.33504959970047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28"/>
        <c:dLbl>
          <c:idx val="0"/>
          <c:layout>
            <c:manualLayout>
              <c:x val="2.2423205613868867E-2"/>
              <c:y val="-0.252434629911317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29"/>
        <c:dLbl>
          <c:idx val="0"/>
          <c:layout>
            <c:manualLayout>
              <c:x val="2.5872929554464078E-2"/>
              <c:y val="-0.243255188823632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0"/>
        <c:dLbl>
          <c:idx val="0"/>
          <c:layout>
            <c:manualLayout>
              <c:x val="1.7248619702976053E-3"/>
              <c:y val="-0.339639320244317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1"/>
        <c:dLbl>
          <c:idx val="0"/>
          <c:layout>
            <c:manualLayout>
              <c:x val="-1.7248619702976053E-3"/>
              <c:y val="-0.330459879156633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2"/>
        <c:dLbl>
          <c:idx val="0"/>
          <c:layout>
            <c:manualLayout>
              <c:x val="-8.6243098514880261E-3"/>
              <c:y val="-0.312100996981264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3"/>
        <c:dLbl>
          <c:idx val="0"/>
          <c:layout>
            <c:manualLayout>
              <c:x val="-1.2648841661684194E-16"/>
              <c:y val="-0.380946805138896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'Sales Trend'!$B$3</c:f>
              <c:strCache>
                <c:ptCount val="1"/>
                <c:pt idx="0">
                  <c:v>Total</c:v>
                </c:pt>
              </c:strCache>
            </c:strRef>
          </c:tx>
          <c:spPr>
            <a:solidFill>
              <a:schemeClr val="accent6">
                <a:lumMod val="60000"/>
                <a:lumOff val="40000"/>
              </a:schemeClr>
            </a:solidFill>
            <a:ln w="28575" cap="rnd">
              <a:noFill/>
              <a:round/>
            </a:ln>
            <a:effectLst/>
          </c:spPr>
          <c:dLbls>
            <c:dLbl>
              <c:idx val="0"/>
              <c:layout>
                <c:manualLayout>
                  <c:x val="0"/>
                  <c:y val="-0.257024350455159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FDA-4251-BDD1-6517338A4C6C}"/>
                </c:ext>
              </c:extLst>
            </c:dLbl>
            <c:dLbl>
              <c:idx val="1"/>
              <c:layout>
                <c:manualLayout>
                  <c:x val="-1.724861970297621E-3"/>
                  <c:y val="-0.201947703929053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FDA-4251-BDD1-6517338A4C6C}"/>
                </c:ext>
              </c:extLst>
            </c:dLbl>
            <c:dLbl>
              <c:idx val="2"/>
              <c:layout>
                <c:manualLayout>
                  <c:x val="3.4497239405952107E-3"/>
                  <c:y val="-0.279972953174369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FDA-4251-BDD1-6517338A4C6C}"/>
                </c:ext>
              </c:extLst>
            </c:dLbl>
            <c:dLbl>
              <c:idx val="3"/>
              <c:layout>
                <c:manualLayout>
                  <c:x val="-1.7248619702976053E-3"/>
                  <c:y val="-0.206537424472895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FDA-4251-BDD1-6517338A4C6C}"/>
                </c:ext>
              </c:extLst>
            </c:dLbl>
            <c:dLbl>
              <c:idx val="4"/>
              <c:layout>
                <c:manualLayout>
                  <c:x val="-2.5872929554464078E-2"/>
                  <c:y val="-0.252434629911317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FDA-4251-BDD1-6517338A4C6C}"/>
                </c:ext>
              </c:extLst>
            </c:dLbl>
            <c:dLbl>
              <c:idx val="5"/>
              <c:layout>
                <c:manualLayout>
                  <c:x val="0"/>
                  <c:y val="-0.33504959970047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FDA-4251-BDD1-6517338A4C6C}"/>
                </c:ext>
              </c:extLst>
            </c:dLbl>
            <c:dLbl>
              <c:idx val="6"/>
              <c:layout>
                <c:manualLayout>
                  <c:x val="2.2423205613868867E-2"/>
                  <c:y val="-0.252434629911317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FDA-4251-BDD1-6517338A4C6C}"/>
                </c:ext>
              </c:extLst>
            </c:dLbl>
            <c:dLbl>
              <c:idx val="7"/>
              <c:layout>
                <c:manualLayout>
                  <c:x val="2.5872929554464078E-2"/>
                  <c:y val="-0.243255188823632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FDA-4251-BDD1-6517338A4C6C}"/>
                </c:ext>
              </c:extLst>
            </c:dLbl>
            <c:dLbl>
              <c:idx val="8"/>
              <c:layout>
                <c:manualLayout>
                  <c:x val="1.7248619702976053E-3"/>
                  <c:y val="-0.339639320244317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FDA-4251-BDD1-6517338A4C6C}"/>
                </c:ext>
              </c:extLst>
            </c:dLbl>
            <c:dLbl>
              <c:idx val="9"/>
              <c:layout>
                <c:manualLayout>
                  <c:x val="-1.7248619702976053E-3"/>
                  <c:y val="-0.330459879156633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FDA-4251-BDD1-6517338A4C6C}"/>
                </c:ext>
              </c:extLst>
            </c:dLbl>
            <c:dLbl>
              <c:idx val="10"/>
              <c:layout>
                <c:manualLayout>
                  <c:x val="-8.6243098514880261E-3"/>
                  <c:y val="-0.312100996981264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FDA-4251-BDD1-6517338A4C6C}"/>
                </c:ext>
              </c:extLst>
            </c:dLbl>
            <c:dLbl>
              <c:idx val="11"/>
              <c:layout>
                <c:manualLayout>
                  <c:x val="-1.2648841661684194E-16"/>
                  <c:y val="-0.380946805138896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FDA-4251-BDD1-6517338A4C6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noFill/>
                <a:prstDash val="sysDot"/>
              </a:ln>
              <a:effectLst/>
            </c:spPr>
            <c:trendlineType val="linear"/>
            <c:dispRSqr val="0"/>
            <c:dispEq val="0"/>
          </c:trendline>
          <c:cat>
            <c:strRef>
              <c:f>'Sales Trend'!$A$4:$A$16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'Sales Trend'!$B$4:$B$16</c:f>
              <c:numCache>
                <c:formatCode>[$$-409]#,##0.00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extLst>
            <c:ext xmlns:c16="http://schemas.microsoft.com/office/drawing/2014/chart" uri="{C3380CC4-5D6E-409C-BE32-E72D297353CC}">
              <c16:uniqueId val="{0000000D-3FDA-4251-BDD1-6517338A4C6C}"/>
            </c:ext>
          </c:extLst>
        </c:ser>
        <c:dLbls>
          <c:showLegendKey val="0"/>
          <c:showVal val="0"/>
          <c:showCatName val="0"/>
          <c:showSerName val="0"/>
          <c:showPercent val="0"/>
          <c:showBubbleSize val="0"/>
        </c:dLbls>
        <c:axId val="45178143"/>
        <c:axId val="1903841199"/>
      </c:areaChart>
      <c:valAx>
        <c:axId val="1903841199"/>
        <c:scaling>
          <c:orientation val="minMax"/>
        </c:scaling>
        <c:delete val="1"/>
        <c:axPos val="l"/>
        <c:majorGridlines>
          <c:spPr>
            <a:ln w="9525" cap="flat" cmpd="sng" algn="ctr">
              <a:solidFill>
                <a:schemeClr val="tx1">
                  <a:lumMod val="15000"/>
                  <a:lumOff val="85000"/>
                </a:schemeClr>
              </a:solidFill>
              <a:round/>
            </a:ln>
            <a:effectLst/>
          </c:spPr>
        </c:majorGridlines>
        <c:numFmt formatCode="[$$-409]#,##0.00" sourceLinked="1"/>
        <c:majorTickMark val="out"/>
        <c:minorTickMark val="none"/>
        <c:tickLblPos val="nextTo"/>
        <c:crossAx val="45178143"/>
        <c:crosses val="autoZero"/>
        <c:crossBetween val="midCat"/>
      </c:valAx>
      <c:catAx>
        <c:axId val="451781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03841199"/>
        <c:crosses val="autoZero"/>
        <c:auto val="1"/>
        <c:lblAlgn val="ctr"/>
        <c:lblOffset val="100"/>
        <c:noMultiLvlLbl val="0"/>
      </c:catAx>
    </c:plotArea>
    <c:plotVisOnly val="1"/>
    <c:dispBlanksAs val="gap"/>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Products' Performance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accent6">
                  <a:lumMod val="50000"/>
                </a:schemeClr>
              </a:solidFill>
              <a:latin typeface="Calibri" panose="020F0502020204030204"/>
            </a:rPr>
            <a:t>Products' Performance</a:t>
          </a:r>
        </a:p>
      </cx:txPr>
    </cx:title>
    <cx:plotArea>
      <cx:plotAreaRegion>
        <cx:series layoutId="treemap" uniqueId="{0D278334-AF81-40CF-9372-57091D9E16E2}">
          <cx:tx>
            <cx:txData>
              <cx:f>_xlchart.v1.1</cx:f>
              <cx:v>Sum of Revenue</cx:v>
            </cx:txData>
          </cx:tx>
          <cx:spPr>
            <a:solidFill>
              <a:srgbClr val="B6DBA5"/>
            </a:solidFill>
          </cx:spPr>
          <cx:dataPt idx="0">
            <cx:spPr>
              <a:solidFill>
                <a:srgbClr val="70AD47">
                  <a:lumMod val="50000"/>
                </a:srgbClr>
              </a:solidFill>
            </cx:spPr>
          </cx:dataPt>
          <cx:dataPt idx="1">
            <cx:spPr>
              <a:solidFill>
                <a:srgbClr val="70AD47">
                  <a:lumMod val="75000"/>
                </a:srgbClr>
              </a:solidFill>
            </cx:spPr>
          </cx:dataPt>
          <cx:dataPt idx="2">
            <cx:spPr>
              <a:solidFill>
                <a:srgbClr val="85BE5E"/>
              </a:solidFill>
            </cx:spPr>
          </cx:dataPt>
          <cx:dataPt idx="3">
            <cx:spPr>
              <a:solidFill>
                <a:srgbClr val="70AD47">
                  <a:lumMod val="60000"/>
                  <a:lumOff val="40000"/>
                </a:srgbClr>
              </a:solidFill>
            </cx:spPr>
          </cx:dataPt>
          <cx:dataPt idx="4">
            <cx:spPr>
              <a:solidFill>
                <a:srgbClr val="70AD47">
                  <a:lumMod val="40000"/>
                  <a:lumOff val="60000"/>
                </a:srgbClr>
              </a:solidFill>
            </cx:spPr>
          </cx:dataPt>
          <cx:dataPt idx="5">
            <cx:spPr>
              <a:solidFill>
                <a:srgbClr val="70AD47">
                  <a:lumMod val="20000"/>
                  <a:lumOff val="80000"/>
                </a:srgbClr>
              </a:solidFill>
            </cx:spPr>
          </cx:dataPt>
          <cx:dataLabels>
            <cx:visibility seriesName="0" categoryName="1" value="1"/>
            <cx:separator>, </cx:separator>
          </cx:dataLabels>
          <cx:dataId val="0"/>
          <cx:layoutPr>
            <cx:parentLabelLayout val="banner"/>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umDim>
    </cx:data>
  </cx:chartData>
  <cx:chart>
    <cx:title pos="t" align="ctr" overlay="0">
      <cx:tx>
        <cx:txData>
          <cx:v>States' Performance By Revenue Generated</cx:v>
        </cx:txData>
      </cx:tx>
      <cx:txPr>
        <a:bodyPr spcFirstLastPara="1" vertOverflow="ellipsis" horzOverflow="overflow" wrap="square" lIns="0" tIns="0" rIns="0" bIns="0" anchor="ctr" anchorCtr="1"/>
        <a:lstStyle/>
        <a:p>
          <a:pPr algn="ctr" rtl="0">
            <a:defRPr/>
          </a:pPr>
          <a:r>
            <a:rPr lang="en-US" sz="1400" b="1" i="0" u="none" strike="noStrike" baseline="0">
              <a:solidFill>
                <a:schemeClr val="accent6">
                  <a:lumMod val="50000"/>
                </a:schemeClr>
              </a:solidFill>
              <a:latin typeface="Calibri" panose="020F0502020204030204"/>
            </a:rPr>
            <a:t>States' Performance By Revenue Generated</a:t>
          </a:r>
        </a:p>
      </cx:txPr>
    </cx:title>
    <cx:plotArea>
      <cx:plotAreaRegion>
        <cx:series layoutId="regionMap" uniqueId="{C5A5A6F1-6CB8-4E57-8C34-1D2BE88AF11F}">
          <cx:tx>
            <cx:txData>
              <cx:f>_xlchart.v5.5</cx:f>
              <cx:v>Sum of Revenue</cx:v>
            </cx:txData>
          </cx:tx>
          <cx:dataLabels pos="ctr">
            <cx:visibility seriesName="0" categoryName="0" value="1"/>
          </cx:dataLabels>
          <cx:dataId val="0"/>
          <cx:layoutPr>
            <cx:regionLabelLayout val="showAll"/>
            <cx:geography cultureLanguage="en-US" cultureRegion="NG" attribution="Powered by Bing">
              <cx:geoCache provider="{E9337A44-BEBE-4D9F-B70C-5C5E7DAFC167}">
                <cx:binary>1Htpb9y4svZfCfL5ykNKXA/OHOCV1N1u71viJF8EJ7YlaqNEipKoX/9Wj5NM0vE4N4ODC0yAyaRb
LZGs9amnSv/+NP/rU/1wZ17NTd3af32af39dDEP3r99+s5+Kh+bOHjTqk9FWPw4Hn3Tzm358VJ8e
frs3d5Nq899ChMlvn4o7MzzMr//zb3ha/qBP9Ke7Qen20j0Yf/VgXT3YF649e+nV3X2j2lTZwahP
A/79dfL/Xr96aAc1+BvfPfz++rvrr1/9tv+UH1Z8VcOmBncP90b8IKSEMYkl+uMPfv2q1m3++XKA
sTxgmIccEyz/+PNl7bO7Bu5P7mr1qE2r7r58/9ye/tjR3f29ebAWjvPH/7+/97szPB3xk3btsJNa
DgL8/fWbVg0P96+uh7vhwb5+paxOnn6Q6N1B3lz/cfLfvpf7f/699wXIYu+bb1SzL7ifXfpBM9uT
l6Twa5oh6ACHBIuIkSfBy+81I+QBJoJFVNCv15+s4kkz27pWrVYgqr+2lef18uede1rZHe8fqJXk
/CUZ/JpWInEgpaAUkfB5f0H0gBIOWou+LPrZUXStzd29/vLtL7jJ1zv31LE71z9QHWdvX5LBL6pD
HkSUEUIj9OQE4nsnwZgdMEojwYX4Et6+dZKzh/Hu/m+Eri/37Wlkd7R/oEbW/8WwFYoDKinF7HO6
kPthKzwggkckFNGTA+35yRrcRP0dlXy9cU8nu8P9A3WyTf97XkLIQSQk4pBO/sJLCHiJjLhA9Muq
n5PI/V3xN0LW9um2PU3sjvQP1MTZ+y8yeS5m/1q8IuGBjGRIouhz+gDr/xZucXrA4Apl+HPSZ1/W
ftLH2cP06r021Zdvn9vR80n9zzv3tLI73j9QKzdnL8ng17QS0QNBQinR5ySBwu+1IthBRKJwh4O/
Jv1vs8jNQ9sCsn14eGlLz6vlm1v39LI74D9QL+dXLwnh1/RCIvAWwQDksq8Q91tvwSE6oFRgBIjr
y6pPfnJuHnLdfvnuf+8lX+7b08XuUP9AXby5eUkCv6aLCJBWGHHOQvrkA3s+gjE+YFyEYcj2Ytab
4a54aR/PO8bTXXt62B3oH6iH2/9iwU74AcE4olzwJ58Ay//RJxgRiODnEO/tnS2Arhj+jnd8e++e
ZnZH/CdqZvuSZf6ahwDKYpGUNGKfa5F95CsPeBQCNpbPI99bZT/p1qq/Eba+uXVfL3DAf4BeXt7i
twTGd7/8VbJLHlAErkMi/rX2+NZ3pDxAO8Ilkp/RF/liHU9ZZY+C+utt/UVI+57B+u4k/0f81l9z
X19JwvRuuFv9wS5+Q3+9fPWP4wLbuXfrC8TT50vb+99fY4wiyCVfWcvdQz5ffpL618LuSd7f3PNw
Z4ffXwcCHcAjEMVIMBJCZMSvX00PT5c4+GQItY3EIUZQ4UB902ozFMB84gOEMGg6gg2gEErS16+s
drtLITmgIWAOgIMMEh6T9Cuhe6FrD8jiqzw+f37VuuZCq3awv78GCqJ7+tVuq5RI4OhIRDDQEPBP
hOGw3ae7KwjC8GP8P/k0o0V02h2GocuHpK5k0yQkLOQJcZG0MaemPamYAw5YFqNIv5HVM6vDAb9d
naKQiFBgkI/glIXhbnffrN73+SLHZR42kwvHFfcNW2EV1qnnqjn8G0sBOYYQJ5B/2N5SJipHjBs6
bAg2alOHeIojW3SrSOD+b5wKRCkjxjEoPQLI8e2pFjxXnSdk2NTzrDZztPSpGYYqGWbuICJ+NbZn
BAhR+wcBRnAmApEjBLZ171TzOLiqpiBAqTIZjz68bI1jj/PI0rzNyoTrKIj7LKuSDhGdvLw42OAz
i0eE76wYS7p3zmEusizqhmETaMJiXM7FqsWkB8rjpSP+aCMUuhchcGSEhcCV7a1icxHZsc/cxkjC
DNhma4eYzj0fV2XXtM1PDgUIZe9QNMTgW2GEQzATsjv0NyZJ+zGMCjy4Te7ZEBeVeYC8+Shy3cS4
bo5ZVnbxywf8UYwUgKmEToeAPgZi6PsVs6IqJxFptykRpUmbyRqUJfXq5VV2YvrG0cHVYJVdHSk4
kkBJ7sT8zbmIy3Bb9ZXbRGr0cRQEJ3lgzz0Ow2RGDf3JmZ6T4rer7SmNEZT3Oa3dRowTjjOt4nxs
hrgrqy7WUg6xqaqPLx8whED6wwmBSmVAqDIJBrkXynxRMTFN4Ha4YOScaFK/zZHLtkwv4tDpvEpd
f8VHL5K+JvaeDUgcdTQ6dLnRm9HJceXmcIrNxLtP8xwFWw/NjzjMhv56MT6ueZEnuOqXnwQm/Iz+
I0Q4wowKHv5gccLmLNQDuJGaHKliEkwVj+eZjqsgiFCsLO6TTugpjUB6q7CeyQe08PnCYdGd8WGJ
krzL5Tlgh/wnvkCf3RrE552HU/hvzxlKWbNqofWwmYdiFWYFTZUp5qQXbFjZPrdvZhWVCZqYrFNd
L+3R3JbmxGbNWKXNPIzxiNq4IraMe9+iOMJdlmatQHEb5v44d6E5C9kSbJdq0mk/DkM6cdol/WDk
Wzep4O0wiiyRkeoTQwK+BuZKxWNkxMrp+WiojI2noHbJkFEZzzU9Lkj1xk3CnlXER7GPlmptIqfS
KRjOteTLYa/4EntSR/Gc1dkJKjy6DUw/bsq2CpKM+sfKR1eDGKpY8rw6HFgxnMOT2/XL1vqjg+z6
NFEIXg85mPM9Y51tTh2ddkq3xVlQuSJRAm2xmm/cknUr5xr8yy4JKwIXwSiifBdvvg8A0syjkEs1
bEyWbbElqxrnn2RLTkzUkqSS7N3LJ/wxbgvKIdpg6N5KgD57Yc3mcmxBN8Om9HUXhyOZtrmeopUI
jU9fXupHMxVUhMBNAhODIuhJfn+03NGxnEYNWVCM9FgHPd7qyfGfCPDZVQgDFkFEEQD1PQE2KAua
YQIBBswgE/dcBoeuz8XFy4fBP8YxOI3AWABaBFKP7q1TqWDBrJN2M89Ypxrbcs3mJk+ZbXVMMssB
UoDhIx7lR0bcmjDfaFKpn4UlIHv3win0biOGgcKiEcZkT399r8miRm43ZK75auplvc6mcliTaVAi
ichCtrid5cog/VDriV9VQzltcorG02ZZoiNa6ewnGgif3RPn0C8QkQTMupdWchIEQVZEdtPmrt0i
Q1cSuSle2qE/y2znkoK77n1NwZXrPvDnrlM+YQqFqRStTnlbP9R4Hs8qMafLMn1wZRAmvRq6a986
FXeDooc0L6aj1tdnARp+Bi6eP4AEiiQCSA/+v9P9N1k4w0Y2Xkwg1MJf5YZ3azeR/E0BUSzpel6m
mcUoaTgbIGOZ5sgXy51Q/MYaJreuy7JkFmZcFUjLS71wfSPI8rDQrD2KRCHXU5f7dKrKAHLFUK+N
6rufpAS8U/v3OGLX0v/zBHvWOQ01bFh7u/FBmR9li2yPBjq3aRmgdFAGgrxjPi5LtI20HxPbkeYn
VhA9awUSWqYUnBHzfXcXHmKJp85uyqAYutjVgn4EWHXBiW3jWqJ7XY/zLQ9x8cmaZHBjnpQ6LNIq
Ktp4zO06RFanhhEeTwpPTcxD1yUFLLiZaVkmpMzxg28xhlDJr3lUrSgqdcoCeduJ0hzikaKTgOL6
cNH6jo/omnlYKCfYJd0kLf2JzH+EboJBNUgIIASGoFr63mhoKHiVlRAQ+rK+bbMNH8s6DRZUxHqh
0U9w4jNhmwFWhMqTcHgw2qsobF2x1kDQ2XR5+yiVyCBrj2VM5kX+ZKXdk/YsCVYSMpSEMI72gX2f
5a7jGQVLMvlNhaP8tqyXrI4bD9UE9VVdx4gF4ihjuPiJCT2TfRkMSTAeQa8XCPq9Qw656sOsRHbj
uH+fDeJi5v0VItljzYePUPKynySoP7DnD2eloRQ4hIKb7cd0OQZ2VgpMFsrw9spFgHt8FqW+LcYk
GpcHlDU3WtVzmvsOwA0RKhltblIEaOXl9PKsMcFUAmSWiBO0n5aVG0ZajOC/k9BDijrOYlJkRRwo
nSe0KB9fXu6ZpMkQIEchMdTeUOR/b7tMllXeuBmU7M28yTucJYsTxU9qxGflC7wzAUvajVyIPQRQ
WpxrTDq7gRrZJGKci3RsS5mwTATbyUbgnSNxaeD7ejVleZMAG1Cv5jE4Xhb2sxj5Y1EuoBsHaBmB
Dwm676+Td3QpbAWbGQe0KnKer61ZTv3o8yRvcJB0tmk3BR/CWFcO/cSt8HMeDGgIhA24XZB9Wxvy
MQujFpmNx6T42HET0Hgy+XBuFaZNPDHNWKIdPCAOvAwAULO+pikquyqMm54XVTIFfjodiyjP4nAY
HE5oTu39y5bxzDaFZIxBjOGAc/CeZRSBUJ62rN+wOTNrR5ZxRWwvV4Dl1U9E8sxSEuInhykDoOGg
Z/e9EaoS2643vN8MS9Y8ksjzy6UtGhMHDP2NYwEGpQTtJntgwb1jdW23DJ0g/YaGylxKmEVZa8+z
49IMdy8L8JkgBisBLQIQkQOptWfz4ZLlpXawkopQnmZD2103eR+uILstMZobEhNd+J+Ej2dFCfU1
YTBEQ6jcO16eo3aQBe03PsRj0tB5ilXZhKlBof3JUtCc+DFDANKAhgWXMLQGEet7vYmKaJcvGEyE
GNSvmfeDSVRBpiWlTdbWCTM2TBlg8jrpo3EK1lA5unm1zDxqLhtBwblUBBzjNrO+fht2Y12kpq2E
S7u6Zioesr640xMNTqtIULvOizovY9tiVcQtHClKONNCpHKkE15PEYr8MQ0KuVHe8GWliSnKOK8K
fMNcuOC0JjMN1yVuZraKZFeE7+SEVfPASiBL8riDCqY4ngsTZalRlSne2Fpjv61bYNc2hcINWQWo
w0fNMs/BxrpqtGe0aZ04JYPz2SWzuG7X8DmY1s1kbDXHjsiqTdtqJPmp4C3lqaORLteO9vX1GEiW
HZk20IfYVG0W+9yEJpaFettYFpF4dkSXW55PeZcIp3W19pXy+arpfGtOyhHKSZUw2U31xtpJVuk8
Uj+nevQZOm4CmyHgHZouTLuG7sCVEiK84zYDvoRnw5wsgmhz3VEV8I0ebOkvpoyP160iZlj5oJf8
CulG5Cvnx9xtAcTO617MUq1Jm7MuJl2+LIm1pdy0BlLUqs529B8KQlnFvaXiTVn0dTLXjY4SS4oR
x2XX0cNGuEvgeddupN1t1oX1uxqY+quhZVOcNeV8GPiyXkW9PHe1X7e9Xc8Fb68yDiQqKfJVtbRq
E5JqSitZNevcjUfR6Kck7OxdWTESUxdmqSvnaN1E0T2Jgmk1tt7CHgzfMDuhlSSKbYhcdAyIeYnL
VubHlnTzRz70U0qcL+OWj3dLz+jhGM1LPM4+pqp+ixBbsYD1F1Q2ZoVRqy6qaFoShxQ+Fk1dnEYT
6AOqBRVblb2dl4huaIAvlSq6uPBzts0kqZK5rByACsuTGrJEai1fLqt63vYDGWK1eAp/VecVsEvz
RMxRNc9huqCqX82DqeOyyMak4lVzPEVFqkCzF5kgV01QzCs8iWK9LGZJfDC4NAt9uFkAul5led19
aIVFJ23BReqHnqUzGswjC/o2CYaxSwUQ1huuNd2aWi4xb7N5GyEVbq3nYgUkxVGI57WiHV5X1L9r
kOvftSo75JRcK+ff0TlrVxOSQNS57F3DgtyABzZiOzrersegz9KFBjeVFNmRzSKVslyLFSpJAHro
l5iUckkLqBuulAnGiz434sq6GfJiZE8Gn/G4nhcV+wCGavqpOxTRoA6VbZrDthHjI7GDi72aFmC4
qlENi0+c7tslgtI8RCbPVlrJ4abSoljiEIzntglRNKe8hzoCkikEiTJ30/sOZH/WT2Blpc/aWFR4
i1zuV4Ee9JrhRRzDP/RqBodYZTSk3p4IP+WTfe8Lw20f+zAjU5UuNjTvAxytUZmLPA5C2POGB6H+
NPOl6g6jqg5d2gjDx9hrzMVJELChjCsuTB7XfqTBEdCzyAJJ26tDY0BS8VC1dbqIZrwpgNW/COsy
vMmatlLbqWRmRaXqz/AUirVW47TEcw9kXKEs+shQBngS+N1uxRdUH3eQZD8NVuRstetcJeVEVXQy
z5Zdk7HKHiWQ+y4BFNBA8Z2NKF28mN9An6l5NJ1hbewbiz+0MzcplGj0XLZh917JdkptYf1mAMRy
Izwp348WnuODel7pIeyPFg31tJpbsoVpN3sLLBy0QUpbLOthdGAJRST7d0Uu+k99R6p1NQf9O96H
6rA02VBvo3mo1soje0t176E+1NOUsow2Q+oWC85RhwFNKkSqNGeMJiUArq3raZVyoJBXUJVKs66g
bmoOm07D7weVj2/7bMqXlaAKi1jmU6YSjUgvkwZag9uuLeqdDQbTUS7L4ho1RR1rbly4tiDO4G0r
CRyRd5UsjvNwga2yanw7hrObTvMsy8+V6EWqUbec6kGIE1IQeGrUqQ1Bil2PQ0iXGJBIf8S6ojgv
J9t9AOouXAFxRs9zA666anWzrBc3V+tJz6TZcM7z87ruRp50tKDn4EQ9OBVoF0j4/qhqJDnnRdF9
NGNuLsli8I1VIG9VVn6z+NZvRAFCDQzxxwGY5mVHTfeR7irMpGVLN6ZVX6oNSFYd0rmBxwZuvsCG
9EcdLuXJMtru4+A7824sQK4L5/0njXPTx4srQKx922RHObARGycHey8nS8/J0gdTPGqZn8+Kqg7w
btP4+6WMiJghA08RqeNowpk/wZCWu3SSZZ4Ehej7OG+LsoUI5TIb9xrhmw57eq6ozt50rMjPGHX6
A8tZlQ6uWIo4DJYMx6MAEEldFK7yQfRH3qAszQM3HpsGDk8kn9+IoIS4mGfqMOrg7g4F+bmTPVvi
QlBA4C0S0LGI+nprqqzJ4kECiZOqasqOimaAH2SjFHGeT/WQlkunXbyAnwON1dpb74G0Fny09zwn
NMkyX2+xGXZW7orOQc8lpNeqKca3RA+OJ5OGTdYUVVdiMN1dVBbsOpBLX8ddOxXnnjUtji1pzbu6
X+YLwax7i7q5ulI7dYcmEye0xNlVT0ZYqAr8WnKOwhhARnFOLEhNlIW/QHngH9Gi1SaYCW1jIO2z
q7ApybZHRXvCogmeqJfqCiD7/EYi6Mgs00iCo8UAJb4KmsI/8g5oviRzRaZj4FusiVsWTG3CAs1b
iORLEyQqYNkVKaDkijtne79txpEVcHawpCXoDYReRsDSIGYV53VVapw0eNEXQVQCiTv6GnSNrCjG
LYu0aBNph0ctAqiZRtSUSd9M/WOgS/yW5N2UjpPFD2wsnUvA9fpLiBbLow7LziQsbH2VmJK6h1C4
hYLOONh+14FYGGRyu0FThU0MbzvhmyWsgys5IIhmnI0Pcyf6yyFrgfjvw+5sGH33fi6z/hIPIj/P
WK82g3QCXsMS0RbimDQrL8C/2yAfbnulWnRpAmEhxuuqoVvtNQhPRPwUauJs3bnMQBBjIQfedIgc
NIQj8WGxYjjLmi7fjHU9HhLWgGogbZ5EhlQupjxXF4zYbt21xL4x3ZjFZikeh1zDV7brujQbu+gj
lTldk65eko54nYbR3CZ0jNgGg7xi6GiStIJ3x7p4iBp/hRszXwAImeKWlNnbsM5JUgf6epDkdOQQ
EmeEFNQyxqSTk+VZD/wPcsV4VDadgWUrdo6mBp8VvIG4ES3QXkcqOJ1Z0J23nmbXLAv1Vs7K5RB0
myXGLTQbe0zRlqrhaPS+ThX45inKJ3PS5rw9yovWxwD1AQJKaP8BhXonadFvK97OV5Ueo/uxJke9
QhhCmoC/ItuvWoa7ZB7I8TyX5BbwNoo9mvVHOe36THpYF8Asb/tMc+iWFQBIx1L7WzFP+RVqi2nN
5+6Q6bpP5RSoPFa9PhTTcgf8X/O+avjCIeeAkMKA5BDoocJJuPekSMqqstsqQFE8ZgE6rxrSra1z
0PjCrksBoU4XRFRoE5WlvXZ9wCDUyfzKWVjE0YxfOCTbGIhpH0NRSu6kkuwts0N9qBR/O5eo2QBd
WgAOBCgXN8rrWKupOFUCiBuNw20WLfhjgbJpPYoAbYYQL6lQLkqnEZzRdsUQTxVQhbn37BjABbkt
Cd20dNZrcCcIwLqE6jRnvdzIWsrHsXLh7dwRfCYbucDUQkNuumIukxkw7JpC7DpuMlu/xZTzSz+C
luho537NARfGZjD5Kp/n7mGBVlOYdPmgzvoSzEC1da7iYG47CGudL2LSlDaZu9Ik0ECI5TKEieMM
AD3Jy7vSz9VRPrWHQ9XXZUxJcKJ9OV8uKLwdVNCswRXXKlpKAGqUAiDj7qwhNHtTVxpgBhnXFYTA
Mu7EoK4EMktaNZE4tl5B9ELFqqB1FVeRoedNR7VOikliaFrUy9Z7PZ4yGkDaaURQgcOx9qjL5/K8
LqNCx3251OB3poWytA5KcCPooY2nMhvKd01I2IZiIOCBWtOQsZYOKA2ngvlCZlF/4oHMhqqOj6qK
nSmrIzkpdAUDaEem5PNhNg7JKGx1WoOWj207cYj6uobm6DTE7WSHE+B9fcxseYjnQL6T0DOFOufO
6NYlTUGXpO/YmJS8LUQ8jgN+N3titjrkH/HCHjKj+w+AWOsPtW00BC0bvOE1DdbR6PLVwF1z6Rkg
ltobDE1vOSxJPmdFB3BoPhzDZlRHQaQnko4cWX7IK4whxxCmz4Mpr/K49VyfA32jURyKMtfQBqgh
CGlMyw9NU7aXYS+aS6aAR46VhwBaFtNwX9sQfWxtWdz3GVq6JAzggT1MARxRU+prD28GTe8MIB7Q
m4IipylYDVkiYNG27gRkFDl37yFbAne21Dh0QPrDJZ2p8AbwMVSmVVOQo7ya7X1T6eHeOgskgvWu
eaxIC6yCXYbsA7Il/lgVBjK9Jn6+sP2cfQgrA0U4yVQgk27J7H1Au6CJw2WUfLVUtL2u+xkCgy3m
Sa95Pox6TeQEjIabCzCPInQAcHRb6+uCuYoCxtTZB4op3CO7uTYpL2VFU9IiMKM28kOVjhZ2uSop
jEulLUxpcShiZli0VKS1x2qhA9SNqB1xkUzdpPI1gFd48hKIWW/JBPRjWhDpg03gdxBggA5pFkMx
JU/KApE2ZaYB0FpnDLQULJDqknp22YfRjEUR507JOc5y2jyGzsGqro88TicSyQ9PwqRjkLs4gvak
ShaLYDKN42XWMdQTehNJmidRz2yVABcEoo8waa8pzI+1m1qVQPfAZIGCArOaq8MOAwt0HvZ0xuuB
LvTYm0Ff0wkmKkCF0G9NpqyH81WcAh9iOlSVxxamGMZN42Hw41SOw/g4MuBGYxfSrjhlAS5uKj+G
m9a17W2DJb+suOyzpOsEupmKzvrDGWj47Jw4OPRhOCLYI6By2LVqM1Ae83MbQP9P0zoBnYDvAvdf
+BR4GZDiGAzw+6UN7b2C6kXFsFl54u1oH1Rpy3ojnemhgSEbVW5QpcI5qRH4TzyBOpfDFvi/o0nZ
AMVgh4DoaEG6couYARLFQG+lhOCiqAFXJ1BwQxKG/JU0DmVV3AoHY1XhMi/1eTFGKOl3ELLmbTjE
NcwGvsElCld9rdER9KTN4dS46LLJxXwCs0zq7bIU05spJONTG+zz1OfFU7vkaXbxk+68UXnx+X30
rx//c6OhD9L88Zb0n1/uXmf/89Ppl/fgX/zV5kHvBjjt/o92u/n6LNjM593t5j6/+/DDEOpfjJk+
vVb/Fxf/dzOo0OIU0GL4OjP3wwzqqW6HuxbY4z9nUD/f83kGFSNyAAiGQa8NZouBSwSi9fMM6u4d
VETg9XoYDMcwGhkCx/p5BpXAwDFCcClkkNVg8AFo888zqLt39hiwv9DkAATHwIx/ZQaV/NH2/qY9
Bo1cxDDMGsBYBcyD/tC+6RZdhVC4FOe86yQGY2yCMp6KkCa0Z5U/5LqK2rWr8gI4LxV1pzng56QG
C7q3mQCKjedNCLkOFf28LZa+aWNtOfu0mFCumlYJ4MKB0jzRfWXqW7XAkKK2C7ovo3yWMXbV7ACq
Yu7TJhjHaANFhX7Dh4EDLdXLcTyaI2WmU9OxdlUM1QzERFj7uPKsOu1gjDfBLoOhRB+cIOc7FZtO
wKxY2S5h2nvzYYRBp1UYFvWWjDPyiS8FVBEUOQojSjlZA1dVhKtsammREFao03rU09bVjkPt7Mx2
1A1MHRrVzpdjH2zC0oWpDuXt1M7RpghqmFNocr3blV/K25naLolc1KXOzyeFxMoclgs2GGJrhTPg
MHRdzjDaC4BkAIAMxHSoa2OTJciqBcegeZAyWhy+UKGiR1Bn2QvbAfVzPGFOP4FE/HFlZZmZG2ie
LdvBEBuQY27yuVqV5v+zd2bLcePY1n4idnAEycufzExlarIt2S7bNwyPnEmAA0Dy6f+Pkvucsqrb
FXV/OqIrw1IqCYLAxt5rr7XSSaRvxCKvhkgWzdGFVHfXV35T+s05bFYA/+4kdnTJSY0PEuedq3Ip
erWkYy1B8W5AILoh3lJn5Mxfjqao56rQnGfD4uqL09ZOrG8a6vYShubiQJWuL3lkhaE8SDrbH7Xn
Og/jyMHaqNhavsVdKKsfMV2gH8DWIAD3cEiD1nkM28w5iakMyZ5oRYcfwLlnP1FtrG9JMupr0c2S
iaIoL9K1matL6ceddxya+o3j9MPxKWoT9Mwr+gs6scuyYlkudX9YZQ2q4DrOdVRxxNI3AVkpy/qq
phx0Srk8TGL2KXXIWw9lPBQdjJUpv46iKfRT32O2U7eKsrPd2Xo6Nt4aXNrFHk5bvI2fe1c2X91J
gfvF9SiCZFDAEVOURU2ST9XgJd0YO9ejNxlytryhfKIJdva7+VNR+SR+W+8Hry1mMCADkfmnfPDt
m7zy21O7BNaV9ji8Qy531whPXjlQmt90/eRcFaaOqlecaiGdwsjMSe3a9Y3r5IrKyR31IQLcuWhj
B/fllFVuskyNfyuiarvuss1OtspeD7DdPjPG6hTZrXOaG4CVgl7HYfbFLb3C8UOx1NmnYoDQAiCl
ryTYzRHuanc9O6F8RwFxH3Rh8GZf2a8yZ7QPoe11R6Gcu60K16Qo5ZRGngxOUSlpd/ietH/QZ7Ff
9UGdf8jBXm8G5ZvbXtfNeWzoM6ylyK+qStdXWTlmSabk+M01tHClGOJHeEdBIrzIvY3q8P3m2q86
r1JpaGXitt50cCtLZZ0pucwfgepNkVT1Ym7hRrofW9olNGnWrc8T09jeg3D9+eh0o/fDCqOiTSdm
41Rv1XSZp+Yr/dw4HcpsjA7WvKo4qbXwH6VnliJ1Q91/9aM1fxtUfm5T6g/Bl6kFYeniceQzpHVp
Isogz5OQvmfgGWOLHmBftWlUVdUx09Vy8ro8Oi+ByCh1Ox0ls1gqcqLcYaHPU3njxMX8diqGOm2Y
n7cUWzQWqv4hctfb2BRWGtRZfLbCQkZJ5KnwOqIxEyex30TfFtEVr+MmKs8667tvYWnHh8Ze3TqR
7d7WWHt/L5SdSyaqh6kdosvq6QVizho8OlYv4Vib1T3Hs5elZtreRXblHKhjcurhUJX3VaOJ7LPt
feqb3CRtMVuHxTh+RZdBBB+DyMQHSKbbQ08LKfXDwfxRF5CCAq/q79xG1mOiw+UrdaE+atebfuS1
sdI6UPTymgLGne96H9xua19tThm/0ku0vV67oD85TT69dodB3mSWsR9DZ9jqdFRDrU59P+bHsVf2
50jOw8Ff5v4BoLSf0tUUXlpUs5X4zpT/WLbcPne6Cz969AGsw8bSOm6EnLSYVi3Iagtz6Hoif2QG
KwkjLe5cteUpO9I7+bnjvstVLG8iExTXfTzI18op9GFStmZm42L9Tldyegx0rsCtYOuSuq+NSgpn
bNNsUVD0He1e4DKvMzR69b1tS+/oLH1Miu32d0slq9Ty1HC7db1504QWXbk6vlPaDcij17LILp6w
6rvCRjLhuKqitNPu22ps5F0oo/XRNs640FQv4gc/Xqazjqbl0i9Z6Sc93YpUF6X9atCy/qONe/VH
HnXD625usveyzsqbeVFLUphoewcCvO4ctwpqkF6PGX0kqEDdWBx87rYHeHHt6UL9rKmHw/md79v2
mpTQvw5WGYAPBn5/BGa0X6sxzL1jGGX9dWcsf0rb2tDCrda2TssB9DvqfY95nMwHfwmDJNCFuFqX
VgO1qGy7dkpHfHX5fCvtMxpx+VSYVFR2/Me6BePZ9jcO+qiz5yYZ87E8ibIWt2Ep5VvanDRYLLhE
dZJnUekfIrPczqofTnDigDWfMr7/S47/kzz6T4kuyRUUhf+eG/+/odz6X3Pj5z/5n9SYLNe3Aw8c
ngIRYcSfUmP/XygyBHRppCAxLKb/SY0xprL3v4rAUPffuIzhZ2qMcgu2U2TzcRBnYT39k8wYWvav
FAgbxRLjQuyFBobhvdQSQccZx6UW5pacodn3cGQmHMLAoaipb3qpIxcyk0IGMF/Vbtu09h8TIkLn
WHeyHd+6rT9tQ4I2gIqtGaqBNC4Ndadk9FiKTo5iSueqK5+Yi4vfncg8qP26Ll7PlWWMVaRd4ILG
XIa5aSk+k22au0nedc0KZqVpC49JHMnuNsiq5bq3Wm1fyMvWu9XPsreVp+R1Z4kP1tjrK9PrME/t
JT7EIFO3VTuWV2CCM8VpQCOvEOXWQe+YjZXErQHjgeoaH42n6Jc3wwbGIxqxPGy1Dj7b0t0r1WnU
d6VdZKTXxUQ6Mui53JLYy+3mqlt0c7XooYkOQdyXFwE7JrynOamrdFzt8kpZVs9nynW6moZaz4nV
0DYsWh+8IBvMqdogeSSh1fHBO1xNfawz/cqFbvtxMqvzYETRaXgN1XQoxlHnSS5X6vAxX7dkrNvh
UCEn+kB6vL7Pth70Y8iVXC5LHy11kg0BN+pn9ux+yJpK3RoYpVejS4PVd2p9FLlUNGKc4db0vSMP
oR+aI4uUEp/GUHARMMHfx0CXt+4E6fSqrHwF7jwOdpNolvrB8ubVfkP9dHQnq2uvvKnJUtEHO9Wg
mkKEJRXZaqBbHSbI2Ib+YM9+kADqtWfVc3wsuZ6jk2uMOZqp6qkxXJ2fVneymehcyoAMvTE/gO3t
z1vggJ4E7MYTsZzMuPPXz6AisXuKhza4Qq8hH51uKG5qMTUfersSSWZrx6SSHsa50UVuH9whfEWz
bjjMbpEdh6IPUb4U6BRS21kcTRbdqBNEkeVYhEP8agmUvFLZMKez8vPrIs6WMOm9tn4UjRdIII+5
+WZXVn/ZU9HL1IbtQQRh9ondMOikq5z4C1IVh27/OJH65ZOiz92U88UMbXhyGx0CFXfZ+Bj5+qsN
TQiEPdoOWTTQFGYHlJc+lF6brvmi4zQXkXPbCpoFdRFEHzGOcK/0WJBoBeNG8RVoKq3RbS3vMGbq
beA3w72K7O0L9RtcEpWv7+dStudsy9iClmXHIMrW5h213JVa1Hf3CnqySaa+okBzdZmlwVhHB4f+
2DuRK6B3K+4uXVzmf0yqaZckmrLmofalm46QAa701F5NfcQ6BPunxePX9htaHXTOp8Uj2QYKMkSW
zMluQLEqOgaTfAVKGZ9GYTffO6deLyrG+24pVLXzVeKky6avlc3p5tF7SAPOuXMFrp/2vvt5Mesf
QTOgaavzeIFE5VJJHZQX8BxNIumLzOK1Ga0s57J1IOZ1eKaQ/d+p+Hwqfv2zCeEv8M9OBvzvh+J/
lIrvemAyGT7m85M6WYh/cYZ5bAjOixj9B1S/Z9AIIt6/AsfFkSb2/g0M/cSMQk4/NEao1JH1/ulU
dHCmQ0LGfkfJCRbqhv/kWHyhANihKMe1Y/AiNxSYsLzUDTdONXSOqYPvtKWmOT660peEblvqcnsf
BLOsP/vWAKGvU+u4+ofJXQJ0a1af2V/ybvA70jl3qcNrqIzrDMfL6tTZxG0z3jVBK62V4moJdqrC
VC39wRKCdkyaw8J0vodLv84PTbGEzecoCmT21WuBoe9zgdrCS1oH0LVJfRkM7avCsSfTHfImGHbh
owna9haUSTHkvG2d9cZtva76YY16J6z86ZH+REv/rOz+lR7qi9jGyglRLvIyHp9rv6CHhk5bzoUo
ou+Z6btKnafWb/xz4+txCM/bSKvMpBtJRfkD3Lh0s9PvL/+Cks31wxCRi+t7SHUEJM4X5E0IFxFR
Q5TfKqf26jKdeoB84mnsWqo6DbRCh+kwFFPuQz73rU12r4H+19FNHX8TxrtGeteNddL3yhtoDwaR
4ne/H+TOVv1f3BHNJUIubCp3mZOPTO0lwXQpSsuFjWl9E9agUQnlW5iH6gRfbkJ52Q2TEJ/qwM6m
y++v++LZ7Nf1Y/QV2NWgCfBeXlfOax/2lhd9y1fWnIBqIBtgDz9zO2CCqpzLV12G/ysC5KLH1OY5
LD67i/6HpfFrUrnfdrhrjSOUF+Ct7KFfebV5oEvLXgrvmxU2ofLSAJwg+MxGsqZLT5umuS8tp3fu
vFqt82M92jboEs4tDZPy+4n4lU7MSAIEr6DLqHaR//+FKj+hzapWiKlfs3jrguGqV7LNYMFl7Riv
V2s0LDyV31/yrzcfIRL2EduCbWOm8ULXVoQF2dZqD998Ydjlp9URm1OfgsHMiCIRvPji0zAz6yoZ
EW6KT729aip1XUKuMn+zEBxqiF9XYAC1hV3CRkXV5kUvRpPHWxXEcrK+FOUQttYZoe2+IdqlLzhn
Z1Ohs0vLdlxdmcBP8BhVQMI7P7ZSVGvaWc7QPcYtPLvuoIJ+cB/onHbjl9/P2a9SHT9E7mVT5PpA
4MTwvwgsZ0PKY8MG+rLQcmcR2HNtM1n2YrzASpbB09ajdGu1b5rJ9PtLCXfnn04WzYqQfioyT8gt
PqHt13UbKXec1lH0XzoaycTwiui1QfZa7WkNbrwsIO6P+TzUn9sqgBGQDnTEneAM/crS8IULou0e
+VHVQUApt0bf+Hg19H8n83NerjHnyfwBfVFEw4X+yAvBwUIRJWNIoV/GzBVWe6ymUTbza7VNpexS
o1bF4Kyw1fyuX1XbrwCn22o9GimzyxgPDZw0VJT2etMWqpuypKMKzajVAttqHkQb5xsdOi9eCImu
Va1Od21v8V6+1GVmoLL9/vm/0KQSqYSDWCPe1Weol1isv848K7NTutPyE/3RoAowKIgClmKWzXE8
pM4WWoT2bH2OnmDo/G5+CicIfiJ+tZjJE4pmp/f3G9p/GcVdso3YptZ28IcgkLxYFvR3xzYrevlJ
DuwidfRIiv075H+w9b0RGFUlcaab7X1bLOsaJnAHjSpSAr4RD7naMus8tHQ53g/WPIr7qBR7ggCt
o23iq3oO9sfTj17MElp1GOgHCZtie78hjjd1YjfNfmiVzD4PqO9iMPLEo725vY/aZeHZeeBNvNBw
giB4kMEIi0XAFOWv6iUvSTDU0+XjCM4cCXi/VHxET/LAyEur23ODSQZt/RniLKX7KdaDox99r9+m
24HmxJA0TTsABFh51i7n3Odw/dhFXea/19RYLLIwyskztOp6UpTfr42XIZzZf1LwRLsRCK34F0vD
y9Yud2LZfNqcdgTyWqAR0DQxfdXDpJ2VIVD8/oovo5GL2MXGpGPPSjm7X16RCncsTOuZj94274vR
zP4e/twxrDm8hVaB+JRV3sYiNO48jfkd6qOQdfr7Yezp7C+x2wsFnDkOrsDdjWxeYjMbTBaFwKJ9
3/pdO3nUZXNgfe9VoYhGRY2M5IiAtC9faxjQRBxZBD18pWhyNRyGMDS0jCY3VzdNFonHxQOpWJPR
OEI/TJCrylQFsB1uWERIPSvkifA2fNSQ+2YvbNZhrwuyi0tW1dO+8zXo1iusRkKJwUc9eIu++v0d
v4xr6N4xRsFDDzcWUvy/aMJrkRWdAVN9p2cwz/gYDINLEqu3fd0iGfL9c+GYhWW71DG4Dc2op8zW
EnJf0t5cGTd7zBaxL2lXlVs7nGnReHuIVDA8nJNqtAQW2tB/susy0+45tbNGLbszdBTb6Pe39MI1
hFYzIB7HJlGNJ0jv8UWoVl7Xbn3Vue+iqQCtOk0y3wcwgZ7sW/dpH2O8SdPilBXLvsWJlXtIGZCU
1Z+twiGNd5Zg/xHt5bH+3MRV6J9LA1yn8L0wvbjP1MK7SpTrfMyat4J2jRUO3kkCcXkjnYJOcrt/
c2svskxuLXbQtzpsFTSu5Hu/Bu1pqZ2wmfv1nZfrPVJNg2Jpbc1W9l8nO6pdGsZTr7b3odvt52Nr
9fAzYa20DUqErRV0LU6xZ83mHVnqwHSYsPJYfShWiSYdTCWWmG8auUe3mbB5Ll1pCGsTGQkXpAVo
8y9qLIepaHOfqaCpXlhTijdMxZYoYrfiX8/zs4fC+m9Eci/2KJ5BeIJwfmGtwpcI/CXVdczmC3hm
1lvdhsBJp+f01i2iRdcplWWR/0Ti/2ty7b44jvZL+h6JPVgc/ydr+nXakYqTQsolfDvOiK4+T+s0
saA4+5kfv5J+H9Dqt3o68MBUKxPe6KwjZSHoMUtmWJrpdSjGKKtO2eRHBAM2pH4YMIvjBGgtNv60
dBxUPx8bvdeOqVyaqGOvsIv2xwEFbX8QUAYdXuK1ivUDSquekQR1zdkEDLfXqb9fcqjEf42J3Px+
CBAkQKvJgl5WNqSDo5Xby/q2KFYBdRF/Kk+mmbGz6l64mz+sR1UMgt5hDBheFckwqFJd283sLWCP
ZDvWzZC3ln+XtUXopQolQv7VLhv7bDIaxAdouX3zzUcqPjy0vWj5AozNacwrX8Mjh4uKzmp3kCF/
HOeTMUGk7wdVZLDGREu7+Rboz4kPHQQDJ62WaR7g4C2R2iDQdXrwF1iItWYz6G0wa5MsFs3W6hS7
zuwDK06rvyPYzmzmK0k31EHvs2b5dJmKkMwsDbfGbBtlLUtRXpZ6zWBbj7ISJ1h8uYds0Vq2t0hw
3fL97Dd5dvD8yXXSlfq0h2yZTyPoeEnrOcU+KT8j4p4OSBHMdpPFHQYFjnEK94R1U1TYR1n3rf9u
peNXW+/i3l6WtwtI3nRnjVNn7YL2cP5GB0oM77ZQ59iHSKDkYnwTQ+3aW92gGyeoAFHbJ3Hde26R
hsM2quiL01ZR961wZb+3Z8W0qu/xPBljp3UDBb46Q1ZXQXSgDggacZW1Vi3uYye06vpKC+mOTfG9
iDpvYpYXx4sG/w6JlGZJQ0SBJfwGOtIk7GPX+VKGlznOyqK5hSZcq/xY6XwyMDCCLC/LU+a3Zg4e
ss711EVUqPOiE2tFIKeSerM51psxKk2c5JYvFEh8NmzVejH5aBXllSlbThvsbYxPgNWynIMPvTWL
YLywOIxFn9kjbXHuZ0nWFSfT6kWLeNWguOVlev6hVZbQTRJ0Oj6X2/rRV1+2WcUuvHQxyNzdGbLw
TyD2BPWMPwvQctuAr+r9XLRReHA7uRdwqHxeshWLzrQKCviLr1ZolTJ8XWVWZZpTWHuWKy/1vGJk
80pUXkBjXcXxjkmEwxQU9fsQrY+13fh+g//SET07IfuOqK2K4MbysiFs6BSp0mlegxTDHzmaikCQ
o0pzPMZOyNqHtGqroSFk58VaqoMt62qAADrZVtB9cHO343rtDuO+m9FI4b1EHczMImsoOUFSRxT7
hzB+UpZEqXjP6X0EWXthUDidJ06QbfcZ85qp5qUfi8l67NpwD/nQT/IoTGHK9ywACI6uQNwwtLxP
Pt9qAUOT6VMV+qOQs2TMuFpTOBSZKHP3x+NIH3LYH06z7PPc+THqaggT1sCjsND3Fv53pShoFBYo
JZlWaiIH6RMeS0UwWzv7ZVbz+6nC9KVjvqxi66+KefOd5S6qwn3IEH0GuT0KVhZX8PiV+pJZy77A
xGDtTx62Fz9r4nafGq0d3soRGynDGDROqtzjz/sZBs9TXwDcCn4WLLIXj3XgZ7GX+iYGAIJ7VDjM
xc/Vk21jzEeGlbXfXDatT5OBXp/n9zPHjaGw7v/yxqC+Qz05WI8/p9p6fvu/J/n5fSAFbn0XurJl
AE5nFfpLXQpZDlclPGBuWkH25Fq56+Wl/UgBnkMKCJ4fVL/piaVG5T0P+QWl8poFiVPjISFexe3c
M0vQtRve4sLdY1TAHMiVktpe96Q3b7HFYI+Gua2+wMbaZ7CX7CDi2vM9FS66Tho9PeJc57ziDsGf
2c+P9nl5iKxumB/hl/zFMYBGzicuYi1Yp7kz7Jcp/ELwwxUeRli8g/jrzxOdx8Lbp/d5IW3zSpPl
yE3unwJ3aOTv8Hmic5GMU7EP/XlCrc1s/KNvvN4PEWQHXV1dNtya4LTlO6JlH005w8O/RTq2Ix8j
PcoveCW56osj8o7lMwZkrNz8oEl2X41g2fsHunp/8XUe8dJ09r4d2i3Yx9/NAvrHO8hQCBdOUHT4
3EJ5Tu6d63ENnekGIce+ViD/xlN49XPK40oPDAeqUc2HcAL0XLySZc05rx21CfsdmVsV6YNU1tSV
qT3mGRcPqoLvTTpMjQTbRBe7Izc8pmK+hH2+b+eZ85Wf1essquhUkywu6zWGoM3Snye/37nYDZSf
VifZmAMbOrEz8/5iUiMvJI1Bc9+qmf+uLTzxTwHcEKAiBZbf3Ot6ygAFzFBxdafIe/1eoAOmCsjW
bV/7Bv8BQOLFUy4RJhqKZo6OTcsR2x4XC4vE8QI5ddiWjzbsJeJN3qBdr88/4WS8j4oBCXzRUO9+
Xf2Rrzw4y6pgOq68pz2j+qhhwsbM1Nn23iuw15veKc8URpyRdO23vsT5yBR5ctlq7qhGexscxWY7
RDlauvv0OQvkzyEFr9qX+DN+iqICn4DEmd39fqeydHkZWOC8X5VAoVZSNhu4cuy7dRcnQBaraO88
6aDyOIjV2WtYHcwj6+oZZNkcmmjZae7UkLmXPFPom5PtGXrL6OyDGipaeeClGeR8gfqB2qlLJ/QQ
1KFtLfb9NPmmBITPa0R/08ETGbKL+3El0kDD88Q+eXPp7VABMoIaLL5qupw/H1YMs+RHQ3qWWdcm
G4ehvI+9agcp+5nj7g5vIk9Mb3xgrDU7LlllrcVJGBk0I2wmy0EsHwICiU9+juWmwmjGxDz8zUIv
mp1E1+7HRhtk+5xjTuCw+J5nspp6kGivtEtPX5sNxwco9hvsgEfYjhOowiZVLD4Rb1lflpEbM1D5
9n4PmYR0oE6UlztK1WAAtmMBcdsb+UnEa6GcL7iaieZeCCXX7OS7/ThZP3CDqpbsyInmNUEyNuDf
Vho1Tji8B5HEZuIttpZVnu8+gV6xPJiQ3EZ9i3WplfsRJjLQxNVQz7qNU8vdxvr95s+ujzaF02Gh
2Ic0Sk4ZhkE8OzOrvK1iN9X80EK6Fxo6U8vh5508P0slKwDiNAi8db+tp3CDWm+Pf/Ga79GE7H/f
vCjU93d0T+g93e79Z3gSW7xjxcmUl8wDnWiPVO57b6NsMslWzskWs/ttWh15rNio+66M2/03P5cs
OSWRKEZ9xa+e8fA9nFp5Oizr4IWJ4w529Hou8JDoE0Pbnwe9blnsXozq9l2eW9sOB470iXjxScum
i9ps1jesKh4wuOU+8rqEgv7p54WCIeZIUywV6/G5YuvKagtrXBTk7L+pnwNW/Qw0qsjZwWgLx7d9
jIMYfP/Q5i0chqRQYrYeZ+wEuOfJ0MXT16Wb72lc4S9cI9TNPqz5acNZfc05kmTBvG9y6e5txkNn
ln1Nhtnm1qgwoBO27bGoGnYjbfG9QQAOvAe9mo4/n+uPjlXdFK7X4Gfw+/LqRUEPlrMT8THDJbgJ
5y+wcjHRQwCvdh+LvheMOszzhd2wK0hQSvr7Dmo0wEuBEYfax/77y++F65+6ZfvlofrDS3/+CqWX
OCvOKr1lxhCo6jk0VmDAjII6gJ30+0u9ANDZTTZKBa4FZMV/xV7W/8knz0S1ghPvdP9eI3a9oJtT
MvNRnMf0rIjIotgf6lxCsHzEicXnkf0Mjr8fy68QAubKrJ/dAzHa7cJY5+6vY8m05wLfVvljTFdN
fCphuhCixzEKvSPChb+f579eEJtegINdrwG4+NJjB2GYjdWwjcR66Tgocrj20yVca5baz539+xt8
6enHHYLdPtPcMCL3XwKZSwOfuJsa8fAzYphi20H7VcDLDU6LP0b6VMlsG97MxlurQzt3ezz3BkKD
NW4+59HfjOjXlc6cU0rtlmFeGGPqRavu1zlfY9sy4eqph+Z5UxnyOvb4MteIoU9lpEseQeFDcMLa
EXMURqAstFW4PEhPzVuqFZX9KWi9PuAoJ7TgA6mk4u3sj8y5L1ePejI1z/0s+Rxmf38TLx8jDw4H
MKiFAZCs8xfjas5dNaGm0/d4ge2RaXtKhOQYdPOb1Ypm/29M0P7T9YLdSHj/H8ZaL+YsRAcLj9Ge
738ee0u+s3TsnsjaJwMK4H8ErWHm5kS7UTYbg6+MwJvwBc7lmQwkWpfV/fOxRJK8P42wbtgX3Yjf
yd+59v0af8BnY9pPPjsQPgrky5d4plm3pRy2oD6HnTXUQRq2beh9EgMb5p+Fuv1SPLrdjTnyqfT/
YjHZZm67zrnIz8+piMbMlFizuKrl5ffL5EVvjU+HoRHTjN+/eCMWGIL9utY7eyrgTsr4q43M7t/b
yhX1nioOHqS7szaRhhJmt/7gwoQfGjodSUMqOqaThzvKu8rYBMG/GdczReR/Az7+xC5TEEPceSIM
/MU3zbbpF4UlvPgBzUMxHt1g2VkSs+27c/9j3Doa7Sn0dzDfOGmzjSo2QUkwOZgGxS2E2Tztawki
dev6YCL26zaD+9WfV3KWoL/PlrJ2ljXNXFphH0elWsqzAausTh3bZt7cKbV7W4ztIRoCIMBbD0Nc
T7yOn/uM2H1ry3sFWc5Ryx3aMB1D5Zm1KB2wmgoKyZkCKCzbA8ppyRL5mTiFFn9WoNQ1+xKlcog4
xMRTeH0ugeqn2TRF63KkULLu6YnRLqK0cw/1t7nvdr3qI6mfmMN7b2z2JNN6zrkkTVuemy0jBxch
FMGYTSDGGeIOJyIZNtWMoP4ZilEc5wVGbU8J1lNmR8fPML+bivbkIlQaxIuapxbuEQNwLtnWVDv6
2qaLUuYIjdqROo8+Q1M17zzS8di7FyteCvJSCTyyAClGjUVauj7Xh7FZR08d0FOhcHoAGQrpfuD0
NEV9llpYpBu7TRSWc4H7OkZqAOE0V+gAISuufE9D/5Y+yN5pIzdFNHiPoRfNjbelBAXPD6xzaA6n
YlCOU+GxQTL8Y6UkHqPrQCzG/eQEyzpF98B5mXzTxThDuseqQ6FKhU5AW6aUr8agx48NzcqzPZjF
RauA1xeIiU5JGZ0gSld/zcxtjUsHNgK0yU1JlR8jQUmXssDQ07ebyeBD1NZrcch8CoEuacOuHT50
IELWnETPrcCfMVLRp8/FbdRynlQnPHgEmu6f+R+A/J6/rh2Earxenqrj5ilL7UJcUsn00U/NMtGD
LXDrHsa8DxmGW2OjaGpLx285XProUXax1ZzaEg/FpMDD5TFYy6A6YCKVXZW+9s6l7W0XjDH0GYSl
fwgHgSc/HhT3YTk1qG99PbzNWNRnPw9QqrH7ii8wuZsPuV32hyV2ME2NGg/jexDY1LhdcBNJ+1Nf
sx07I8WtMOXOHy4Knq5tDSfk//6x6sv51VY1WFRSLUzHaLW9hhUr2q8QMx9drENuMF3Pb1o9Tsdg
BBqHIJOfdT/HhyI20ZtQFgq+gSy/lSO2W00hc9wDuu4QZLG6jja3PeFtRXe6k5BdyY/XDm/dLjwZ
PvISUSd+wbhgvoKPkX1TMb5g9eI02LPHVYCBht0/Sr4SYksaoKMxwQ0gf2eWLfrcWB3qdm9u35rI
LY82hORr38bULulxzL/1gQ9PwzRi4FWF2RtAzRIe1eTF3xxaUNRZjnQetFsV5QmXO+uIPGZ6GLUP
EEIoOKAbnK+9cVjrJGhNlGZhnBXRh1K78XqBGTF/HV2/co79LHEjzHHWWeFbB9H3aAogGFuZNVy3
MTSJg+9M1ZtFezX1W9vfBOOE11oWFf1nuxrl7RKiuRuFs69QHJDo7ebaXC+k2Xd2WOsLqLx1XWJa
7B4iot83xxivS7Ytwg53gu/40UhlvkNiX1K3dLbPuOT1LkwHCa1x20ZWbtFgfwGTa8DvcDP1ci1m
vpYhsR1Z3q9OSCCm1Eu18Rrvmu9MaeT1sKjh5MrZvQl2/jAI9PvArF/5GoXs3nfYPnqcpwOQp803
OiCTCQ/B2ntHP5y6e1n4w8dVLuSKNm33fEzmGm4G1iVlDhvbmj3/Mx3zPvHcprvC3sRLXLud3ix8
McWbscCPIK2nKX/3/9k7j+24kbTbvsud41/wZnAnCaRPJilSpEhNsEhRgg0gYALu6e8G1XVbqv67
avW8h90qkmmAwGfO2adJ5+a5naQwN82kphBotsw3Oa+PTbDPLJAbb0qX0J788S4wuxT7/DJA8RBy
2bB8Ek8kTzdgPwbjU8By4yjN1g8VWKaTnVX2a+e702U1xA6sQ2zFH8W7GyutoVNWCWZFjbiK0iiC
11aj2Ip86kagIHnX3LmjW+w46AGoBtniHXqjTu/QD6E5GdP20awrRNZqMva5HNxXMI+PI/37I4bk
xd830gaM3Yjk+8wHsk9hYKgt5en8QNyBA+XDbtgkFwl4w3QARxSg2G6ojw08Tl3wGADefLMmaX0G
Ula/DQvYYMUFDiCjNm9sBA9gAFwMx1PTP1D3ahtnrIaLBiXy66LX1d4qgV6FFWPuK6kHNs+yiRNJ
zzOfORVQroPHwiiUXZXvC0e1j2jOLF7/YJ5w7Fq73LW6F+aFzV1Qpe3BmMvgQYh2OSddDjPQ48il
PRfZtbL1/tQqe7yrAEF+biGYfrOKgcPBbObhas+Cm4dZ261h9eo8td54zMYJgF6t/GofwyGKaNtR
fjKOCY6L1saXOE7bT4vpp48+I52XZvFB7CVpcuBm824WQ+vRVrnZrgxi58Lm3bDCXpBJ4QMhs7je
22q3JFp9V7AauEumWjYhihV914558yJ7ZSc0/ctyIWJGnRFQYdnSRP05sZZAcGaLaWt5hX8w2EWG
g1zsW39IcF6rVnvXYhNt3GV2oOUH4SwmanAwcIza/UvhWIPXb3UyU0vQCYGML6MmkzumP+Dl7bl6
Kvv2lZ/BF9BnxlMnqGBy5eXXKciRhQJBzE5BLc2vSovVGJbpqIMR9tRjZg5Ds0/N0rLDIDW8sx3X
rb8LdFEFJ5H6MmK/DHVyYA8fEfsgvE2+9MGwEVZcXWsNHcIZ/KbHZ+3qY99ecLmzgDKm1hiPld2I
W2uytU8eXgIZuhNWjG0ayPY+T7JB4H+u5/QssqLOIq2tHJSacWxoe2/ouuV+xtan0v1aeuhR0Ewk
iBd8ajWO6lPBrKAtQ8OjcgkdoeLhhikOaB5LGcnn0VvqGSpe6V6QEcb41Q1KxHPPgKB/cjK60pZz
pJW9A+FLT6BfxYehd72TY056lX9erDk24RxOjR6oE4FWjX70gYLO+6aEZxqlQ+eoh0BLCugCZlIG
7abFfVAWoYZf8SGzUPNszNQuP9WzoS37kQaYeBPIgPoFuzlkK7Nlv3DjlRynEcK9JaqZuJ1ys4eS
anjFqdfmqQPeM2tusABpEhUg3oj5kShW9Rj2dHHb93bu99Hs5m4J0kZ1NfeDz9o1VMZsCtw/qkwv
RcrWeCMqxs/h0k8NBDUxs5DyVF4c4Kc6mMpHZ7wpMsa3UT5l0wGUgOFHLhQEj1EdRvxjkbSSNaly
cEWbI1t5tzf7q+YEkxeKPLax/NpwicKZWeKTIbX2fcCaFVktPqZ9XceGtU2G1FRmSAmXanWIZgCJ
3LjxUvd+1uzaozBT/pyVISdpz39Q61o2Zd84hBrf3aaS6A8naQxyIsBaGV66leZUO86NoQ2uemTJ
LOJD3vj2azIMXyGHJI9JKr8mgXTyDW2CeBjRnGxjP273Og8PXM/KbVnLecu5hMFwba1M7Ya0hZnT
yEVuPOSjciOEIx7aqnSjtiWNQGFL4XzF/vKtT+Jl59Ww5RtwQzdsPn09NKZubKKFh419F3Sp9QAC
vm2BnjKD4nrggtmg0xvfjVoWn2RTdf62A4146eqqhrLV9fBrMUsRNVQJrMqamIKjqPMmMqum3BVN
7DxUhW5sgz6tz0UMbtgsJvtsSpapddKxVA9oiyLTjIfXSnlqv0ymCf3e4yEc6cHQdFtpuPUVXePY
H2U7xpsAxCxosSIhrsDt8MEGhojRtiLUVMfO5c1httaMhyUm0DxmH9+saQlD1HJTEpgxF+2VpzwP
/8wtQKLl1Be8hPiepw7UXC9wQ1XJ9CnPEuMrE8Fph5go2Nd6IHae9PI7DXpeOAg3fdYr8VjmKNQS
GredB1f/pR7Nvt6AIa5fLD1uT8q0Ykg/7ZT7YcbQ9gSRlzed6Ezes2kIacKt25y25DSAS/5WpJb3
tYgT45lUgPEysFGOHNnUR4tR9hNLAbNYz7RJbmD4NTcuKWTUrRyO60Vof7OBb+Eyr8T61J7M7q0G
VZZt4T2zoGXIXbvHyqmyOuzabOrZgS01Q0xvzI3QKjlHNq6W5c5NKTvzLYVPAba15DVsckBAfljw
e4FXwp0FtSuBMrjK9CJa+AFQlMbj+wTys/8i6drSsJCWpX/lwTsCXdb8cThofeFGvcy1Q9Y45uOq
Z9gZwGQVkCoYdo4z5W9qINiJE0mbdrWKUWnVsWNdWCm2ZzkjdlnNd2Z7mTol3wqzn7IQ6jCFbTaU
07cehm2756akT1OArez3gW0a9Ix8GLZVPlgnhudw3ccMP/phlbN+B7g0xDvhpf3Zhi5LL0s50kdl
3GjOVmsEWmR9GZynvivLF08OU1h0VoexX2v0qxo944Gtnx+gVqKG27j9mJb7kaLqxOlXjdupSaFk
N1NA6Ym6RKuvVjpCwVdAyuDYCt2R21YOOB9QynARhXYqoFQUwy4ZXFY8WLXB3vV4PNc2FjIXNC+T
mtqCKPFcdaoqbs3aGLuIriLG4c/FW4P2ag2VlPNe0828sm9dkAL+pjCazHotgUxoVThAscrjHYu8
YtJvirR26yCk255sMkWWVHTgVnngOnOUsleDrKFQmdtzVAG/FsV59qG+6mGnaMDkXTkwtSJUCvl5
oHatkk32nCQAzJNo5FZhvYNLyKpgiUHLdftdQq1WHRUAA/Gja7ppcLYpuixRbZ2GHeADnBJ2QnuJ
gKuvona2NT2/y5Us+B6AC3SZwp6n2E0MyO95+9+FFng6n2OXV3MEenxynp3WMdOHn0NkTa6LkL4k
ieIBLEk8yTMJvqukAB3Dup/hPly89wQ/6uTu0Xsv3G+N0QXZi5JQH+Ch+wzgNDrbOB9dHhEcx/2T
Shko+JeegnK66nmgz3aokk41xX5h68a3xSMvr/M3C6bUICKyxNRcnS3F21s2WY36o8Ou31kifrB6
R2agrxHQZtZJV6qZa/RRWU+NQ++QNLsPU6KJfLCOCtRRNyYiM0p3GXBizgE07N6391nviXmWTIch
PDQZXmasy6O9TarJzsqtJCKuBjzdVrV/WSj9/C0MFjdmOzfEAbxUEgwDe+vNi2Xv2UeKJ+mr8lFD
9dPDycEUt7EV984WFYx416uCKgtVPryMbe12AbkTLfqZabOYDUvRBVPjh/r/hClzuHNQ7R6YT2eX
Wo+tsDBddZMb8yy22EgRkQ0BC2qplQ95MI3esaGE8zZWJWdI7dVYVPu211FXTr4cga3rQ/EuITWu
XuIVGQZOj4yL3lrm+y7TxokCQSu3VKB0iMQWOs6ezJteRLHwpzfQtdMsN0YyNsa9X2SQ4casqr61
ONvbTZcPtAbVog10I21upCvXp+0OKnWK4T3RSCHSQipqswqXIk12+McAUu6EMnxEQ2YTrOBDG4C1
DUX5YHS191KC0WRg6cUmIGgGiplDh+rN3VWQfqMiU3dU/4wkAznHppWo/0K0Jg02XWWY6J0Ybl0T
Om+xsRvq8JuJReC0Ga3C23qFW560pKuR2CsH0weaPymQlJiz6iK/cgJWZVqf7vFT8MV4U6JtLDR/
h0aWoDIUA7O3BSEF10YcfFKaXvM+FwmGW053M192ZAexH2xzNB/fNURVDA9zmVw0juHuK83lmH7y
ctGuVZcF8pcKxj21tudkbxyR1ry3Bju/J/ssvkG+mbwnrcEnD+9zQkYXg44oliUDjZnp46M/Oepu
bMuUt4C9jq21J2pOU09goiic4N5gfOhFQQ4mxGBoQbQdmp0vo2Xjb3SKzj7gVAf/MbbOAwk79a43
K/3ZbTuDPDv0kWCTF5wD3TJv8GXNV7yeZhaZqiN8b1MCBNgE2RAMx8RtUc111YJMNYlHrMRjUK6S
DbrhUFbebO7YXLH/1YHzdVEyWANHL/g/pjA9LCWwfUnXUBQAxb+xlFSXxDQGP9KdRHo7BBry8zh5
PWrovuJdolLwvpKmAMJcUIDfNtpa8XagwqoNNfWcbVyoM8hkiiZLiR/wcxRhjEvuFsEEYAOGSrrb
YkD4F1m6yLZLM/EziYPMDzmLAI1qyR9jl1akGHYTbBlnfvE4LYbz1FetjMpmAAMPDk/x5xynoSHI
mAIJsChWGZtnPy0LD/lSjPG7NeIAnHVqvs1lVpwmTXZ3aAjzEG2a+YpbR1XsP7xgDjOnAzjqjXY2
R2qc825TtliytyrN/JLzt7XKc26Ys7Pr3dF5gkwqpyuTq8JiGFALMielMFbeeTJvBAKRa43yRd96
ozPTFAQmbgswlo7YCiOHRuhM7Rjy3KSqoz6PUqtt/PVzc29Ha2QMbZl1fPVLYT0DJTOSzaDKFws4
53MLan5DMDuzR5SeCLiSgUu+bF8SYDcJtdWkhRqVx02rsB11zF2AWSvt2MLjKdckC++2V3196h1I
Q3TkxYW5AOyyWPefmBhnHpdB4r5JEzP7ZOvd/dDO5rHoYLWH+eCPa7WmCyQ9FSMer+v8Q0dUlxst
gUbhJMBEQpA1h/IeF28WtQy3opZL3Sb0w1FbyhfjXM01tM58NJ7TeJ6eAaSCIeuUjqXTKbbCL+Mf
yJ31yHbs/tGn3N8bdmy81Sjjn+FHzA6wWD44rAjPeIH8mwnxwV4OPXedr14RTvd3UulzjKW+1g3u
g+UuSDQYFa0BKJ3nQVvRZnRW5HuIZvjpy9iY7RdAM0bkTzQqDQHNoPJTo37S/NJ+yFMwjyEBJ9pR
yspgRYcCtLCsb7Ni+t9uC8k8qH3jAVUI6NU+PhvvmY62FvK+tTv4Xbc92Rec8p3vr5qptsGXjXhh
mnPRsGtgEVrf2jMSn3k/mnhIzMiq9alPCRpIRb4cEZjP/WOcTaPzzansujjktS96O4xJW+m1yB8c
e2w5vApUNuza0G3kILdcPUIQaCyUjb4+Z2FbuK0+HWHNMcXcuOYEDtquRv+rW1U9h0oj4T2XnGNO
qjsRdR76iUib3SRBaEOU3IBMmjIetdeMR5ubBnk9GIp5SGX9XSfFz+siFq0ICLedHOcCcuiSJQUq
JpkA/zJDrsGGNUiSJ4vefBosv6eFyazJbdun2h+BXkUsiH36PqxM2ZRf87zuVB11o0uO01aXluqa
NwXIy5g3/JY1M3CsbUqyzQJ9ohkOMfZNwqSYWK/vxHYTPSj3aTINXvNFacliEqUR+wX/hkbfc6cz
7E4a5nM+d3HpwrQmJnPY/fV67vcNOVtDFCDwGlfNwUpvWY37vyokGJX5vY574buo5eptGn5qXCyn
almUd15qKyRpgz6RcJhmOSu6v3kBv6+b1xeAUADzLjRJtoQshX5/AZkz441KMu+9+PkCoKWuyhNR
wHWm7K7Zi/3clP6X5vA3jCOHwMVfLo5/4X+Gr5j0aVOy3xCgP3/qD8yRYf+PYeEI0lebtUOE4x8w
B80gUN7WkVxwE31Y6oz/jzmyzf/RgY8yMbJXUgvb/n9ijkBAWPxCz9d/QpD+IwLon3bglL0gAkxE
cEhsdCxLK9Pp16uZEGNmsiD7r9VoYbUeeRJCckGKTQTNOHxyNWc+5dNQFVtdL/qXvraHx8KGTbfp
gqr58sun97/Y443f762PV2MDLFgvcZ3FvMsn8uursSvojUGqhqvZVMY1IQwIqrFX09ATuI4yehht
9eKBZYH0Kfy+AZDb8ihAuA270Q+86j3oe+jsQZpS2Jal8YhABXT87DrxdwPd+PQ396L5J2nE+vnZ
OG8QDKGQ04FF/ekVZ4wmEDb2V5wRCVGx+DseB5unxq735posg3kyCJTw6IEXz6U0mgvd2guewwYj
IUDV6dR1BmEKEuBzn9V0QyLV2ZW1EBO3SZ2nd4ViskyD00UsRYKnLm3OeEGgocO7cG/IhR7E/q+/
h3/9GjhidI8vwuXawMb1+5vyZo0GRpbdFQN08FQnPgRwuzC5NGRFusM4gWaUsVE+//Wf/f1gW3Ut
HtIWz8JNDx/AtNaX9Yv2jGFXYssuqa6VvxhXlO7qygIf70CcPv31X1qPyF/0FR9/KcAoturG8Er5
f7rOCFaYl4bZ+pV1rf2K1akt93Hvz+amkOlWbxBhh5Y++wTnWM4o/u6iWS+K3/88F4rpgOiwXVgq
f/7zCG0yHiBsbLymcLDMK+e1KNfXgP2i29IA1LAa+er3Y9mMLOOK2vvOBAHnTDDbl8llBhBaY850
Hwi8eGRqbFpR6s/zd6mR9KRrrB1C0Ft2e3Asd1F/J5z51y8KURXHBnIgLH48C3//onRXOZXjxNoN
9F3xmlE4JxtDK/rK3lgzruTTmGbFG2J7dq1LgyiZh3oW0oZ4P3pvWepwJpuREiwfvmdIWd/JCku9
019/xWjV/vwp4wbkIiKaGrsyd+fqmPvlcnJbP9PRpVs38LlkHPgR+XnLfvVpBbt+IEiEalH/NAgS
baF9pB6Dq2rfma3clzbgpqJsxL2ESjNtvHJMvow5NH14Vf1Ggr96ZE/mRzFK21B9UKGYltAaxXlX
XccVG9WsAKkkMWBJ0fEjIjKHVBzYp5T3Zp7cJezHpg2g4eZKFt7n/oNO5a6gKiMj4S9qbbUQJjj6
+aVcoVbQyuxTuoKuFsqfIBz1lCqWiy47ah9UrHEFZBkjqKwln77Jjl2kQuZL5yh6bxd3jTpCOTE/
N/iEcaB5GvStJS3it+CDyZVVjfZVCfbokvHrER27PBpNUL5ngwTTypSkeMg+OF/DivxqV/jXzOdA
NW8Gt+wLpi01a7MzPnhhJWQ/FnYjJqZwWJFigiRQpqLBbRqzKI6QY/cHHjXmCICdbYvfe+XzJPT0
bLaBfHCYSO1JIdHIYHIFQcwuyN9On/JlNxR+stMoql8ZrY8/kEBBQ0OwBBmt+qCkTSswzVrRaXMy
QFFrV6Ba2VvEiPGfIl5deWuQ1gYWcx8cNi8mgMH7oLPZK6jN+mC2tdDbklXm+Gm0QLpl3Up3yz9I
b1a/Ut8my5suLgOEMkac2fRCwLJdl13vKUxpc3npRm1ahwdBy1FefzNnkfcWMRG9UlK/9kWPpojh
VLPskU/1MTqUDClCbhIjoEN1OOazBcJf8R2QHshejQFKym4zquKY52FfFmOzhYOQ6GFb9tDu00Z3
URYUszemoFvLoL+4XW9xRY0xscJjqHgW7lwtzePbgVvHTcLGB5e9MSwwDruqzNpgQ9HNyGU7sZ0g
ryMwAvqBGG05YrMY50kaQCTZjaVXim0XUxXsnCoRS+gvDidmZRZs9UXaaoDwujnp7piGodmuk8z/
QfYLVNpIr80e8Y2v/KvDBjA+VZbXe04eVlPXLPOh0zndWFYlqYfsvhuWZhe0XZXt5tIV80HvOiFD
x2QAEHqTM5d7orYzLeRrNb9oUpDyxji4ADdXCF0jy0PXUEP0BAXkQgTiaLVBX24LBN33i+otluuM
0oxzOqYdwUZeaqb9Pm4HWT3wMLZOdDZmsVOSV0C+WbmmiBnkMQP1neV4I3z0MwTHVbJFmWWoUwu1
q4yS2EoUkecDX2fmdWtkBkym5TtNZuCyP+nZLWE/JunGgN92oJIvQE4XRWNFWZ2Roqdioh5owGWA
P3HM7dBCVL4wiMgX7azHpb0zJOkNvNzAk1sDqEp9JMNyJD0xsFNwB/x3G4OEmYrLJ0FsO41E22/Y
V2hfW/r1GScM95F5NQhbRCznk/5kfZ7L0VRXVwaECVX0tTeOqngkJUge+YGAIbq1wyxqVC9sQqr0
1GCKmnbd6CzZGb96/9nOTeeVlEAGor7BxYtxBp3btnMXyJAMKHP0gBZG/ZDWcJthlnwpx5HKIk/y
4YG2bXyTbWqxGRkJ8/OhP7Gj9WN+j1PW2GWrdjCu7J4s+1PXO8Zno2fDsBldHLlhj8lwAiwscpL0
WOGxSveYWd6Sfhk8VXqzXpx5TmqDV5Jfd0deSu+HerOiLtOx4oXVaC6MM0+w4InmmqtbcEq2kW8E
5G30XRCbd3mLqube9MmDO052PqqbfurX4pPgxzuC710i8EbBn67rZWE5YIp+QRjirW9+fekj5xOv
i8HS1XYq3gW5dXxUaVEXSxgUA7eOLJMi+1ThJWVpSrjQa8K/caaafZXeNoY9M+uwJHzeY4pbXd2Q
CcncMNNVw5oQXb+1nYcGHR3/m6U274gDhCXJWif3lXhibRKcUHBn8KMZJ3NdsH1+HSt2AOwy8vne
6ie9OyeUuTmEU3TFDz5Pi31X6ca1CZLmBTqIC9fYTjPzVPtJoM7gX5hZzWT8stxEOL6XJh/rurqf
vxVl4dxNqmOs24ByKr6MkEC7A+tS8QO72XqGZA0xKvQBvrXNUKN1Owli54tGKjcxqzJhfGxzzM3t
mJJZ1ndndlK5Ezlma+KDKR3b27AlD55aMEPJtjQrbhNg+lZwtKvaALTMgTyffINLaovShWskd1iw
7Fi5DFseMmNzNlplumEclP3Ak9YadEpvAMttgIxQmynTT0vQt8Y7sra5AzJneAOqGZNfNQljFUON
qJWPkq9lDDUGNti6yeS5mWaPZcLQNRvf6w62YKhxWMZV5Mg+ulv2kgSj+qZyJ/ui9QzstymZesM5
wZechr7TifQzlUj3rqNfRenoZd2wgag9MiYeB7/hKTA3DyUL/uzZqBfLHzaIcYr5UfZoKfhlCIBg
dTInO2mxHN+AfGoDXtDOLY4Zau9PE/THZd+yQ8+22bKyWzOzz627qSgX5ypcYnoZIA26e2MbKQrE
meqmIxFA8q2NfkWqFYNGwdnRdSUoa2tqo6FEkLNfsPTzUu0p8aI5ZgkRxpK1+BdGp8bnPF2jd3jS
BU9c66K7qwLYljtlygA3HJk/0BTUC3bn0Tc2RTF4jw6b/DEa0TbbSK1KoAxNDKaJhztX9FaSDdXs
aByAsWZWX9QXr5WpdYcqpXSPsAfYN2Uk+iY3RauRIic61nsbqjHV35RlzOtv8RfuutQvUmSvun6c
G5v7fnaRL4N8Sb2bj6r0v5OUv5mkrB0dXcS/J2Nevw+v77+NUf7xI7/MURhQMFL+OSv5JxSTOQr9
1R/RKQxOdM9iRscog3txBekgd+/T//t/LId/chipEOlomr6D3P+PdJh/jCZ+RuAk3+v/bVRh/g7c
YJ5Dt8qfMQOLx/ZKI/q9vUh7BpVsMKwbb+UBz6PtHGd8nO3GWRh3z6lomggB9YkGtDE2nEbDVl8S
7iHXL/fK7BrIzboyn52UQFq0FRB6GzSrdmjKZnIitcKL2V8Nz/0KNO5XtHH6QTkOBkRwG7nCj6cP
DjIbDuNeWV39Uq2Y5KWlTmdmutKTiw+SMqjecZeteGWvzQWKzJW57K34ZZdYLeAUaT7BvUhqeP7a
bE13TK89d5eyb0gOgW0sKlpHxW+5Kjt2I3NRvDee1tyiphzITqX4v41j7AhIe2Leu2AHiOADBZl3
rOfWJoDDUFi4ecbyr1bnSPOk/GS+g51AbmSCqhhrk5gn7eTzAms0dQupVHUjhPXJ9GX9KbDz5H7J
i+G2WQG2uUccJzYBEPDxyrfOR8iayA6rJsztGnUF8pLprvUVAd2486ZeQlQ0H3spaT8JHo31um8O
seFkao/jJLG8vY/XPIH1kOmLHk3sFCt0MpU/XS1vIZczJChAO+IwrBWyrqRJ3TBnRFsxF2OjRPzt
FzhzdmfdD0VVbFqLDSY83ywepmvxs6QWH/W1rJNW7ORH3c1qfS3CiTWnIo+ZTu3IblgLdfTKa9ne
UDH3l46DO40Q1K3Fvd6Rn0qPlJZx1NjdsF443nJYphzltfZBLyuEC97q1P9sM4x/dB0tlOxxEZti
NKGIPCc/W5TpZ8PS/2xfnJ/NzH8PvKrP+vlvDjzkbhwI//68ozWv29f3+ld48M+f+ePA0znK2OQE
jPlX3u46JPojOkoHnQ9tz3VASwUmnOB/nn8Gg2PTWqe6DD2YOXPo/nH+gRUGRxsw6sW17Bl68J+c
fx+0zl9nWLA8fY/RCqRFwMPYqH4//ohJljpAFO3MXrXJgx1zbH9Wz+0QkGB7ynXhIQUn1dRP873X
wRt1LhYlH8YW0mwdj9CmeiYA57Ru+AvrptJ4HqAYRC2Q6GQu+WWbEbJW5P0U7wufQOHs4iTjwGZ7
4f+N1QE7Pn/rEWEH6eIQ4JUgjo/oRIJfFiTMvkcOr69RlA0uYscTZFaq4cIaSV1keUvm9YtZETod
IgpCdfkABg0Y59a3k9H75KeTSoPbLOsBsAfUHRvhY0MKaYlwApSqhbu2YUwar7Sgmjb6vwuXnxFp
f3PXGLZn8Jz997fN8f01/e2e+cdP/HHTGFz/TFUt22CAzZLsl5vG8P7HtCzDYR6FSpX74o+S4S/S
1gxuGe4lnUsc9iYN1H9yy7Cj+dNEcv0NrHugqDIzYu77p2UBGWANiuDYvZIJqAGUqKbmjKJjJrmc
jpng37VrJHDtxOLSLR+ARDvBG1zv72m9OA82lCLI/7X1maHy9KXwtOzMjT4hH4HtETObd31BwmoX
AM5Gi9TfE3FFC5Um49g86lUTaxuGEqUlzkXAzTUMZZ7DMktR6YxN6e+If66OUICt0MtVE4rZSKJK
lDbjOh9fUGaY+MYC9amQdESbXB/jS2lJeekUM53ZHZoTXq3xnfHAV1v0/ruNZoIev/b2uszk11YU
emg7wj1iaHi1EDfxfsldzDceT7TzMqfTQccYwrbY165VrsVESLO+TTGJt3HYBmYyIOqQyhDDzukQ
tG3MbMxvtTQ1v7BnudiK6DUjm2TYYUm7nzt0Fb1qSMvo9S8lSKfHCSfc7bSGt0kz+DJNKKUHYuFi
axCf7FxrDuxuzWuLu+KoWPyHeDSyixiQ/CB8z26wk70GfcO8WJIY7ZAofm5Yu+7LWhveusKLjyB6
rF1RGSWtJ2EMS07eHPANxqC48upDYGbflSKTjkTY6dkxfNRkSZbzrF9z6xpR+l9NUxVbxwPQNvn1
F5GJL/irsxvoo4yD03F4idHJbFE0IvEqMsb80iN0D4QFESFQYTCtWFkgHrxlstegh1Qe1yvysRk6
dwe0nSRUhE8UgqZqsk3qeT2vHjcRHELi93Tyo+eIvBNKR7cwknu7MIo7pAzLbTymepguBPillslQ
LdMnh79i1Vt45PYeLhyWQSIWsofR7coLMPf5AonOujEhDe7cNB7vmA+3u6rr0Mr6NlEqhm4B1i00
+YMYLfyZyWgbe1hV46VdSGyfnKq79B8pg5M7JkDRSjLeGOKCuuwRrc5KemdDBqT1Ij3UGbDM+sYl
vw6dbmXqVQgyCziZ36kna5rViMES8RRI9GZGGeAhvsK5ioSdsMMCi2m+qYUZnAchphwl1ZoUNDSE
BgWkBzF/Gy9e48oT+q3uMWlZu2wGNmI/arXUW6ypwcFbE4haB6T5gvPdQnrL5D9OCIJuNZY4iH5F
aDEn2Hm5HnzJBkrkofXOck03Yq6b7srE0d8G1yh3uMrcb6jXlxN0KBKR3DUciWgq4uaMfnxmsWPd
aUXsRToBSzsEQEFC1AP5SvVH1JK/pi75zIZlxKwl3c7KXO68NZppWfWBrjsBIJosIhaJvr0vdfSJ
fjmqJwdMKpFjFb66PC4IwgqS7KxJa8aPF/hEmQW8JXY5PsgitlGh8MZms6xBUQipczYrAMSzNUYK
qe3ErrYxdqmjk1QbwF5pezu+gUzX3oF+ieDStJ8zhmb32AkPbWUtt6PS0ZFPeEoUtzWib3M6ZrEY
Dz7UvrtcmBgGR4OYK4rn+QHZubwhF8f8bK55WJlOMpaG5GqjxpYcr4/MrApF5cOUN2AYa4wuk9Rv
BNla+hqylaDxucxr8BaHp37tkPSGtVOhfVyzuQa9CaLEGvXj0hj4/xz3Ku2mOrLCMo/ok91Nhnkx
JOWahDW+ZPSqbBnAxH7WaKuY15tW/7AEJIMJXUryHb35gDrI/kQEwTp0WOPDwGemKNecYg+RWEZZ
zEGum0sPrVRNj1Wp27tGVknornFkOom1APk5iAJoVVFMYfWCqCg9MIcGaM20f9va/axFOYPUFx6C
y8EOAu27kTdgwtc4tNm11Q9wdzXTx6y+7xrXCCWiTjik+muyCERBRllGJtOrvT90WhviOEtfzCUB
dSzK+66uFUkvbhVaLWlsBMj3d5Dj6924ZrXpa2pbhxa32fQqXrY2Msa9sGu2fgg+I3ZlQ6SQxnxn
7zVswfd8w2ozhAVnJqS1YkxB3TnaJdXsZlNLZ/wiP3Lk1kQ5FwEk2trafQFQxr1huTJCVVQejayY
bqpUaRxYZNKNTmZ/LdacOn9NrDPiqkJ3WhuvI+bTaOqXx3hNtzPXnDsHfbvA4Iw/JMuMKZL64h9p
IO/xOh+pHoCctOCPt6DU+IIrBJeRlw2fRrIlv2iTQ/CTEh2YDkL3clriaqM1yfikJ25zgr7rnRI/
BbS5KicPnJvEs/f6pWOpc78s6k4l2GKbUi/P8LCR03Ptfc7xH51i7I/cEhmxgkb1/9g7j+7GkS7b
/qFGL5iAm5IErSiJ8tIESyYT3rtA/PreyK9ev8qsWlnr6572oGqkJAjDQNx7z9nnylFRfPA97S6b
fR61CUfzyrLCaC2WHMFEOsMWonEedNYAocALr4hUznZIoYdDqKceQwcdjWpdiAM/qHg7LHmFUY96
3ZQ5tkEvLK4iu2X5nsLpPU70eqfR7jupsXM/wdfmH21Xa9d2114Qidv3ymOvPYvuOvNDIpMmyz20
PVYtD9tM0Nju+EjPcsBxXrzjvOwPcepG2yZLKnyZM4wrlbsOUM+oAwMUoh1MInHHrL+6VY2Nq4Q3
18h87WJEtfmqTeV0RZT6GJMtHY7PRpJoe0Ln7KuiTtIjCuYtGpVmzYT/JnPEk9QmsdK9Ig+S0gqh
84z5A0zvejf0XnNDODwszK62tnoTfvMywLMg3+Kd1/mENscdSZRVrq5iIaZTveRUjn5H7B7RIJh3
82ZDHaa+203+EBclRrQsde9JWkI6amT9mu8HPTS1ziOragCE8S3shLYqKhHfpHV1lU/afJb4XufQ
EI/5kqXZpJYIhNaOO7Qb/jZZMjeBPskdQ/L2Dcqas6Kz7gfVSOgq7phhmzvd22SwrmAzNLZUQfRX
oyLIifPUBmwS7Yzvxl2yPn2fuiSLctS1J3QzAt1GVWD9zKtoHXsk+MW6mz+mmlPes6nKTuWPLFF7
iRVNpiVhtKp6Ywcxtb7OycctHEJIPam3Z3TOEJkkEaU4RIqtHpvRlQvyNWgJxd1H4RJoOpKdetvY
NUnAIje26DfppKagHCYxvXUGa22FrKXeMfVRNzX2sjW5VcaxQsK5JUFSvg8/clSZA7JJwQ9vrzI6
3NiCaMpu7ErJzxJz3pszj2t9CWMtIj/c8EW+F0PRbFMcmCgLIJQwpdc9bHaZto8UKsk1MosiXRki
K881mIC1lQknmMYCFr0moq+wb8FogvLlleYQzE1yhLzLsvSGfe+6T/R8OxFpvtXDmjco7sijWjJm
eQnXiC48fR9amv6detle9UsY7dBP1YaqMgJ1SLY4Ww+G1wTX2q5CX0w0pDyFId6zpjTJBedWv9H1
ifamDMPA/ZF7G81ddmy7oVtHsdZtmn+F4y45uU2st9Tag4vwUemAAHghraY5Sq+NqTc+JaCLGyUl
C8Jo5msrzMxtWKq8NO49GQ5puAlHbPCfyVCM4OGKEormgysxwGANI0MKy6f0/OphIhZz7aJOgq46
r/ySnfIqbR1DWREGbbyH5bSMYXw6fHQ6I7pscJr61RjN8htygfhr8vmG7BHsF/5N9YaeKCS/bKwP
4RxKYvFGT2506LHHgWHGuan564p8CVTRCQT1ud1yRO2c+X6zGSIskYlr06eMall+taFunKtEegfE
SxgPJ/of1+7gPKgYgVLT2s6XwEIWMo5SpIba/hTYUCXv2qKxVqlTtEeNBuVFn+J441jVHAH8n4a9
yHtvWQ1g1TYVKc+CLQy9smIVRUm2xzuLNQXeyEkvO3Fs9ZYtgM3AzSOPaGM7c4F+miidk06qxaNM
RvHc4V2Sq45gMewJhoaMR8fvii8rvZvAjeHH6+dXULs3UepxWfXcl/dy8qPNiNc3BGqosBxjy1qn
fYfsGoccmjtcvMMqjGrvxuMtvESBoetIO4Mk7q6myyGLNH2IvBylHltPaqZuvJ5LFd0Xtuq23nKx
MXikO83vqb5ss4ivtXBE610R2hc4KBMOqOWb+zAs9J5xNH86KN9GMt6Wd32Eb5eRU/PUxq3xYtRe
81JW0VMIH/JKACBHUVLq2t4ya+w8BGdg5xr1kwvX7n5E5wa/BCyIe6ZPIy5l3Ly7ikDnVa0AJq20
WEdHMOnExyYqEguIFP18ls/5c6rX6SPGg3DnmT66khljyo5SqH/M2mH6GjVc57UpolNXRDXow6jc
pm3Kj1C2KL9bB8/BitKDvQ7Ea3MTxvb0gaddZ8ev2d2qrSStaHcZAZV+nty1kc9OrFH48cZ0MJF5
a0Zguso/TJlIDrFS6ZUdj8mhsHz3mkAUClga8fi5tY/cq9QjQTKLINtwODlrZtHQ7Wx+zlgqTJ58
UM6EJasbba7UJh/qcNcvCnvkQN7GUjxXrRKkgzd6dAwB363BMWjrJPGrfZmGoLMpy+jYl8tG1rDb
KwCFsElLFN6sYFHg491F9NMlaNFfqn7yihsjSzsryJlpWWeCa9m9jxUTrzUhVR2WVBBd6kvDBzDd
Gr6W7p24KvhACMrPfSlr+aAmGMmCzhwFb3876B2xSsEwuKaL+dVq5XTikgAb2FY/+uLWv5rk/1EQ
eBULLFDXKJZ2oeY2D4RlyH9Q8hHr+bOWzlsUtOhqXXZldHd+HcMwK5nS3DKma9Dc9gZAcAwZEf2k
LBBGodCK3szC2o2pebQye8s0YGvHRuC5WJAHRXxwH3CqO9KANjhc/kFH+atO7sd3c0zdWCSi6Hh/
0VEWBrkfemhO13XdXrs1e8Vwn4z/QOz7u4OQ77AIgoWv/2UOZdMhpegdp+vEhC7Jfw7Qm9Kt/iVa
/L/J5T+2JBFa/7YlmecYdJLuz518+vLLP/qjK+m5/4ldwETnSS4EJthFzf1HK983/hPVswPg0f9X
J5+G5f/rSyL01gmT8yC8oVPVl27in1r5jksDnmCgPwJy/41RJnLzn39DGBlMVLf8johGo2Po/yK8
TZyE9o3RxUfZGMy9pxrhMtE5zqlmzEedI1HALT7A+zprmnzVA82hNzZ6ttxEHQXkvsUDH669KneO
SrkiDPKxWti3ui4vjLkKsTNS2uWXDF74cwOq1F6PtYWFfsamgbzB7BBfTIUHMhYGlLkaCl2JVQhy
ANIzgy/CWVp1UIbqBemhFendsO7aYIQaG6+tqQqPXRfWI846rfkgmtX95L1MQjeGqgBzCj17hAs9
cR+ebdobrJfCvPLNnqBuv3DOE0zMVTEOd11ualu3M3gds5HTMb87RnJfp+l8kbHeX0M5L+6KlBTz
gDBCInpTbyG5lLYeUe2l9V1u1+OOj2/oiFTzPpoc/2jWLQKp2NvJxCRdPK6SCtWcjeSrizMu5mRm
xkbaYbMVvWs+5z4UqwS++71hSifwY/EWjTMG9WomPUFZ1u1gpu1hZHqCPdq8jR1MWXbpwMueEyos
TKy3lqvB7y2nO1tnT2vnOSznWrrxpxOa9U64lbWmg5WdjKIAQeDIBl8Yizr5TEl0Ztsprqe4hEnF
HmS40qegMSugcXVbfE9Hx0eDKeZtZyfemkZYd2c6/qfN/JemjkHOrRYDdUOkvopt9ewLDUAXHUq0
TfZxnEj8ctGl3acts1JL+vJkATu7TToMRHUGXcu04ne7cqYNL40Tral5AxGHrpMZCt7ktXYZK1nc
521GVnKGQt20MsSQXBEkPNkFLhmUDZkNa5R03WMmVbgSnSmvZzC9m1raZmDYfFNNTtFGH8PoQTEn
KlY59LNhnZYVlTZCMVJ069o4WXGjH2d9+Mr5+5uI2IgLCc4IlmYZ+ncuvp+LZ+LwB6ec0n6PlLpG
SNeTjsYbJdNltVPaUN7pYDzAYwz9FfpIcZphj9SthYiPx/5cSUu90ge0k0Dr+/go0tjY1ALxMcX+
KDZNlk07Nu6IXpvh5AACJ4LIOY8oi1zclyUqncpLESRK9l0lEFr2iPW4kbj/VkNIwouj+ieNN0Lc
qTsvmfVtCLNmRE3aNeXLPA3pbWy1N1qfPxlzSwRGLu7Ye+RB6dWfXe26hyKtnoAuM/Yyu7cCBuI2
Qyo0r4vEPOFTgwG13Kn5CyYM1hGjrxnQ6c9i8HFDzn64r6dRO0/MOYNwqKNNqotXFsPuxqwLudXo
iq/zLEI7gef6STgM7GSK8awIWx3ymMnPSju6bNlWRGW+jm7YBINbtDviE002vkeC3a76Ardg08Mv
K4EghZQQpFeBqxHFhl4ueqWpTrYZ1D08mml3h6Ywv9SeHR1GYMIrpoXWASysvBQyV7uyz0w00DVK
pkyifmrH49xa0wESQJjBxemmyyTw3zOv32vkTV3TtI4RSlK/iEm/Z2whcn/TGNTFtxDzrIIUaQRV
rfdRNQTQOI7yH1J2hVthohSIvSS8nS0vuYFv/E4mB90aaIwY7Yx3px5t+GlYAt+6llNeRq4b6HPm
KcpLSnCQNjSuohwaiMjZ38X57cyyu4rlMqOscBGs3XJ+UwMG/TFkfR4HnsFklvObP0sUXEWiN/dN
K+9LHVVfxJT0pipigc3GZ196G5FHfLBgEHRMSwSbvdxGHdeptDpAQwjpuoOuJVKg9O/61P1eV/Rv
I1Ma2yn2ckKOPSSeK82hrKrBswA6FAkjWgrnwabZD3FAA8ARq61n9vDq4kbyEy9pZ8rhKSbZzRD7
eSx/sCzigXeL1nxmWkpWSyzSAfJ+TFF+k7XgGVdpJb19NtAAuZKidS6SF/a91Yb8RLKJR49O1Wi/
dCQPHGNVIOPD9mR/9Dz9ydpAIksfVgtdgZi0du+aXANGFxp6e6xM3UPnir++99MS6FXTH0BhRDdg
8fN7wg2xYYPidXfo6HlwfTXFr7UnOpSootgbSRS/e+z6QXR6Ld7waO4FaSQtyntX1LTD1DSEh7Gm
0p2scYRUIZV2qVnav0M3YGuOYWs692PX3c4QUPUNBiKKZ2WUIL1Se8BAIKQaniEaNO9NqyevvJOj
EsX/cO4sVdyE8Mq/kzc6YD/PQ+uOrKnxWUPhd13o7sGlQPmGxMb5sonuSVZJbDUDSIUxDyKfQsfG
IVqw2q479g/zZsZCzXgx5CrSqIu9p2Gc7StaU/kXTJo0PBYDTAlS3ZPpEjbCeeI94gdQlKLtwIgT
RI7r1uHayMgdOACAkZ8ZVY1gMYrCJz8rx1vpUvSsijnWbpPU6eqVaRXtazqH2bWV1xG+aWKZ3LXp
F+rgQ7r4En2T3UFkuM/xApAEiF3swMAK7lMW82MFB9PcqMZqwjXCSSLezI6BQjCTaXiuoda8Qtib
vsEFbN48IcZtqaUUuFrkR/5KNrN2bI10vC1t1psVXELtU+gzeeBtCcXF0jygDO5ct3sXcPybH8kS
SKYKh0Nt9Na0SZO0oXXiFulzAwVJrLzK6u9SsWAHNGk1105f5wd+cwkltqnXM4RNKny+uR9Ybqu/
hn4fiqBMIHBvjFHDEJGL5A5Shr5jkOXCkxtK6C6eSHcszzR8bbQPtLZM92qe+uZoIHLHjSzQoo3Q
GHLMXhhZarUGISGCRsdr76QmgMkYRfPK6OqLMXT9pmMSfpVr41Cs3LBCYuam9QF7HdLjIi/b16xN
e5qF0YBrjSTF6iUjIbUMekHliTKrUd8cNlDnUGf6ZJnOh4hi/9GNy+Id4FK1teLFuc4SH+KXGLNK
W09+xorIYFY/JK7unn0l3LfRbvN9jd4tWpuRrchLs2brw52YE/fAsZ4AOsE78ApLClo+jD7LygSq
D+u/Q/M2gIxLrXgGrxE2I2TQ2HiHrWDCT7BhXImwv9h+zygslab+Oig2kEGkTwPPkt5BKi1d48tv
mCsFYeFEqNKqNHxJ/L58nAkT67ZWGcvT0A0zdSU8go1qkVsXrpUd0ii71ZHTvjSlex3N46aKi3EN
BgnR7MBwCUbsRfQ+9B4XcmtEhk1CG602b5ycvaEH4HzXIJWB3dWO4sN3lenQwa2jJxxroMSAKNFc
NjTLmNdGl+g7P4+i6643VTCZKjyYcAF2YMH7jaqtfDvo+nBlMAF0hrb4FqcmzmSSXNxvTkrrGY9G
GW8y5C+PEaqED0dU4XasdPKduJuqW2OEH86xKbNDxDarI3TUpqWTtFEqiDkT6VcNIqtEQsv/ai3O
WVqs6VwxNnrOQ5k/0CCLd3pik/JphMNVy0yHLmzmeKesJagh0tkjFlMEsLTQSAxvm2HvJT4Kn9KM
shcw70a7Ym7MFCBObOgNdW06AVNRdco0oz5OyD+uOMMcyHGSfIYq6YG99v2+qBsQRr5VHpqc6C8z
U8/1zEh7jaWtfccQ4d5aTcNwjPyew4/S7/+q5H+qkpfggN9Vyef3pPz2U4n8r3/xR4m8ZN6TeC8w
my7VsO3TKvmjRCbZXvdwasLbRM/7k3KHutrGAo8OTTe9BZb93xWysFDIEeeB6YH0QSQ//1bs/S8t
FkFQFS44PgfhDsq6X4Hrs4/iiOGq2rNOzIRvzoRV3fzpavyNnvivh4B/jD8cmRxfGWHfz3K6cBpy
LTJ9tR9DmGrKW9GRW3kOl/S/xVL/g6Ms3+JPlsg29CUkD47ilm+d9lbJb729/t8d4hdZtJtUWC9G
DjGoi6tf5mTTqI/fH2L5iD9JDwW5oT8aXYgOSSrgvfXzWTgSowcMsXY/CToGo4b6IUEkXBTNDmHV
P5mh/3JnfhzNNyyE5zaSsl/uDC4z2dsMrvZzRa1PjBOjlwL7Rx7V+eb3J/Z3h0K96fpLGwKh2tLr
/NPt0TvSK9lAc2LweB4kbkOwGKNx1nvqut8f6hcp2o9rSNfHRFIPZ56m1M+HYjahz7RN233ZlsMV
lNRlxkGueSiVRMYti13FNOfffTa4lJiOjIVfYC9RGz8flK6RYcL47fYzFd+Kjj1d8taj0aPxv9+f
32JB/vUZMU1G9QtKAKnsL5cyszSglLXW7tlOMhLOyfmjXPPSQ2bq+G7ztrmtZ0MyYVTxecil/Ifj
L0/FX45vISpd2n0sTb88NXMk8GlluJ08gicDp+QEnWZ6/P1JLifx60GwOOserTuWyF8zPyUuWjYU
Zrvv4cLs8H0ygYlcK7zOTR1V+GyiwqEODyrKx+3vD/13zw/bN9sEofJDavzzrfRtIQ12Be2eeOE5
qC27pyQBGbN2wcrTu4io2OeYl/bvD4sEbHlIfj5pxq64zs3Fvm8A0fj5yF2u1TD7m3Zva2X7Wblg
dAMAXmbgTqw6Nol1d5CowiXZNAQnrg9b2VncghQ69CzHaZfU8GnMWFlgF1SXbtrevVBLjzaYWonu
oIVnXNF+2GCHG+nShOF9Qg8nXrnFkD7MmYchPHXTU+eMLnVp/VZA/U09rwvyygAlTy8K8FlM+8I3
iE3Fgw3SkmTorBnIQk3a6uS0Q3qIIeucdE85rxqcfIN22Ryf9UZzTkTRzWuFczWIyZw99RFl8yqT
FNvsbIergfrnkX1OvonrmPGg23w6ZuEew6RgHqk146bDs7ATZncFtKF/lOUsLmS4GjttcPOgQnl5
EIVOkMVgiC3SHFx2sjbOnp6RBm0Bd2MRGu/w5fIhmddfudC9gkp5Jrx16vIz2E9ehSnLblQN8SVM
x+nT74v5MiqIPmsnBHLrjinHS9S3qXTCl7imibdBYKMeIXnbFlwg41vbSoJb7U7037VG0MiVMPGf
kEiihZNOLy7jqPNBywW2BSPf2Tb7VdHj/3Vm28FlEvaUn6HVkxmJGiK0S7de8/2ytW/37nrIU+2a
uLRvoHMp7ed++EqVfBTK/OZT775K00ZLM2gJBhvJIB6PNc6NmB9SOYlvqq+wQ8dIy/dpw4qR5jU3
wQ7ppmGrZ3Qu+R7kOGTHwre7p2R59JnQuqeCff65JmohsBA37IYORt2UM+mPSgucVFu3qAk8fVfh
EQd07+AA8RmKBx4FULpWuRcRcCnMvTIcDmAqZ900ab+jOQ4mysYpm1VquO/rkD9mvMuD4SX2hdzo
apmYZkdGDWIFqHIIRt8XN57P5UT5aISbAkzEQvtzrzGwp+khNR2sKDkzUardhNYtwT3GnRjC6DIv
aZSEdGbA8abEvjFzI4W7FBGDK9rwI2SKQIlsauG1Ofl0djKEpMNKGCW9mDAUN8BMzc0Sf7am/BdH
quTmqtFc484o1AJYr53bULO0XbeY9VzSAa4mYTNHbtSFlGosMJJWEyzAxjEPTdtDAB1kDv00icOP
XlJB+/VU9RThg7aDiO19F2mGxTxCzt9p3XRqMYZ9xPgcg2hoBAQ+ujCB1vU+MwV/uR4hFNCNoeQX
BCuuZDfKPIijWoeYaMz7glnNFZWVeNBlpshG9AyaM5pt7Dy3bHc2epYXD/DiWxna8UUvGn0/JibQ
YzHAuUiQilmrAiT0p0EOybFBnnJNs2Z6b5Htnssh8m8ksogHLPqIQDvmy6BaDfsEGXu+hfqltlHd
erfUaOX7zLD60s5YjCVxIdcS3d6VId353DW+fQJzW+6Mxob2OffOfU0ncdOrWe2bSfPGta2bHKAx
lsUrN6l6W6Vjc1/Ile4KlK69STyrwnY06d9F4vQg1/MKcGk7pl+2cuBHjixCiGMJosEthd3Mt7f1
XHe7Hqh4selqCIRsKEVAMk1zyidnSXMGI/qgzCLEkzHmfKYdwsRLfRftnVuqI982ejAxrR7nbG5O
dmrO69wOE7xbDjAItKapfwCtjcYrTZ0NdbJ/sNG0g+qTVUDDU9u1McBWTgBNxNqzoEJQIEB7n9v2
oMFp4DQabyY1PtQCgIg4YU3UFWu6R1wHiY5oZeLsui3ZBHxgfepZxsbskiNsRdyEHLxnFXijN6WQ
YLlkDZhwSlyYnFsz8uyTWYIJmaokx0VNvM17l1XGR++WizPOT6Dd+UP+NHdMDHxDz44//twsHfue
1irSJBkRr6Bsd7qZAHXc0Jbqg9HLqjngGVZc3d7bCCOi5fTjkAlaI7YOnRjXA42rbkXcrP4Blbd7
RvnfbUY75k9Fa2lBkjjzmdZgymQpMu9EKcNXKMfV05gUxa73h3Jn2wrrvTJ03tV6sZ7ASqx1OWRH
pxreiY/tD57reED4CZjceGGmL693zDRzO177MDYozWNbC1rgAmcnkyM0cUQhqxku6L7SfPg5Xm1Y
h9a0cCjq3lgc0abIDLyG0w8bkSq173HAtytYt2qPfMi5N2Snv/SAHi6J6Lh18PsTRO0EErh4+1GU
1AOHTbIpPBJB0q3wa8PudhvtgQ7yNNFL49Z7ljKuKkaChyG34i/f4K+zPHXui9axT6FR+bvIQUVj
NlDV+fVr3o5CtKW7rWVPk5/4u7JsnHu/cbTAFjDNvb4vdxE2iXW7vOw634CxmbrydnIQXlgGBJbK
7yzaE468tZgNvBtFw9Ck5gF3QpEdFU/0mlyHPiiEXn5LeYcfzE7vHrrMUU88SNEtYc4RKMHBZ2hA
k8gRnY8isC53Xms5Lz21aE/InonJAnTAvO7Qt+1MopBv+z5TF6Xp47exDLXHYmmrqr5PAR5qzh/3
KcM39X0GJAL30Zq2uqiNazvJtYcozFhk0FgdUVgPgWbL5BUUvkdix8g8Rh/sZ2uYxfPYauI5tev5
mjcVXtAm1kjOSbSNRgT03mXedybZob2jwQXbs8WMTfcHt+Ny1Xu7gBUKHvHGzPStXpYVL74uPSE3
NZhXxdUShoHYmwdxK+0KiVADILT0kY0Wc28FdVOg2Gx1xoyEwMzHAd7HTUh37GAQ+pKRTM2zrDxD
XXxNeOwrPHFSXiKv3a6ENQOxcG2IfmxWNq7OGxCHxYHOuQOcMhx3PXxce+UlvAwZMnP7VaPOIDHV
2Wg6ulKEpCKfA3fIEmgYd7GWfLTZDB40xqtqIte/cQFhoo2yB8bEXT0/MemzmQKrKQ3UMHdb18ho
ofoYW4bMTW+YUGrbwTKzoxgK+5SCn72FSKAFIR2xm8bteHXTIO13blNpkKyBN2UbOlUhDU6DbjDv
pvHg/whbJjigPk89er516ZbVw1DJcgv3mpCLpHS7EzCe/qaJ1LhuBxD3UZyr8zzRK2tCZ9papoGa
Dwmq9tDpZGOsUd2yYxYWzpGRZUOPOn6ayHzSleqWpCRvRDLXQI7c9UaZP+kDjxNZL2yr/cT40CMx
n0XRdBsxTfoH0enmsJJJZa000YXHuOOHmRi2iYlhUpc2c92jM4k58Pq5RaGPGhB11FjDoPWdUa76
sWKlKxlcXMik4jevWaRdQDN25INAX90ze4jHK8IO0nXIn96mFvk1q0o14b4zUvjTS5oTkGCsEih5
ljO6cWNprtGvxaBOEoDXQ1Lc089sA2amJTG2sbajtsfMZAFVfIMV4SGPLpt7a1xUVVminaJwvB3q
2V0hCIzXU6p98xp4SoYoX6whN1Y544krTiODyl6xctpR1249r52CKo/MXRgmgJTZl+BpttthnZNi
EbBDjI81ubpr8N23Zg0RH7Vr8Um63men7BtpdtbWlNMSCWY0By9mNO+q5GGq4E20nhbtWa3QNkN0
MHRkuVFIeedn3otWEikBxQF+WLIEQ2HfBiJrQezUvV4Dvl+LIHdrzrf8EQwF+YK5RF3CdEYOVcbR
OhujMnCSHCV6ZY3QvVUav0UD8Io/EqIGZIII/n9OiIIcfIpTp77FD12/kPIBsx/e0Wun1cNnPbrO
Pa1cEnZzr84OjI0UEm4/24k8HvZajExyg3RM3AoPuGuKc+C+RnMZjAXzlbWULTQfcpsD6eICC1uU
2zlyre3YZHTj9Dw5Rqkxgw/vkX60qjihYrP2KluyyjdThYuj3noDcUinrvxge2+8SsrxswF0CXSS
ieVlhCKogRgfpttQzfBe5thfQhu6bY+FfGMWmDiwsmox0IuWu7iRof0hYtFM6zFW841Y4qZKu6+2
QzK3r1BZIYNLIzavZ2g/r1kO3AzlYPkMSVYPV005WE/68oZ0jKLG1OXFe1mWwwk4sTiDv++fy96y
97JvpmNuR+MJDXn2SXgJ/GswtkteTx/ejm5dfBWdq6/xDBGu9P9DqIzMFFdEutFd0SiwmbOUglq3
E0Mwa714tErYSqRhGBkcoDEmlWb+BmvDezErtwyQViPsiHK1eOxSMMHFvGKPp3gVEg/AgBAxxMaZ
W1ayNE/3iB0Qlziuzu3lbXucqSqYelhqNZGJEnW12nRJ8aDlyYssexparPIreraArPyZotion1sr
tZhD5HQvUEE1A7B6v99VvlM8VFlRXfUqNw8tGdwl+3myriOLQT5weBQP3aQVe8olR/s29wyt4QPb
B2NwvKdeQzlO3elhIpbTytSS8DG3tP6KlyKD8rZN38mQrh7TJmte6gF5zK4GdmkAlG2SbDdWNhrO
jOEWxVRfXgQSw3LdoTt+y1oHgeFAhNFxNIdv0eRNTE0hs0nfK08WO9vPstYdtE0LQFfLriHC5EiY
LC3f9ZlL9im36opcpgk4WFP31zQCo+uUzdAqFXnaYSezm3MbOYwt29S84/f/1ZfkfAy80/wVwktk
pWGP2B+a7i04GeqOKI+fJJoaXlyuERiEu1wwPFQftMHeRNpNb2KW9wrqhNi6Dsoo4BBkZTWKlb3W
LBQEyzzbd6d+HcdNi24ox94UMupy4kHfqhFehM0Tv9e8Suzi2HHRsjhIpxHguoe48KlNUzP6sGf0
tFiXlgwSLdp6kXQfKHV4nzDqelt0wrCD/WchsVrohKbu+JQ/grNEIr7c3GtvgGLOH5EKseZlk0e2
AFFAZ5/Z+g6ZDFes8kj0ilIG4ZrPRbFC99kdY/GQjJj10iHhB9v6YO/A6cAZRK5kMzvtCXO7pQZ5
YkHObmStnGPTOAgBpt4J6rwM3ysfDFPeTh5tQiu9dmTI1HFBlK1MBMJ72TEvjcapvCtVx/za1Og3
L8kB3lxcwkRzbl2G1xuihcBqxaP13Ygwi1TpRMTGkCDlxah0U9o41HM7w8tbp8DFl3mxNrymeLvC
OOt2BcttgDAOgxMkpguIemefT/WwrkDb7ObRygmSiIhexngW+P5IEmI+PEQDKifp6s7Riqp510/t
W+yX7j7F5LImO10ymXe1PWrl8YqtnHucRMHQMGoy9r9V+X3o0zEBkVd/WE1av3YenllKgCbOPio9
TfWTUQ/hCWhXuqFbMvGwdebDYBLPuUZua/vXSY4wbl2R8ygxO2Lf2jYlbeS1F7f+dTm3+UNZ+IyP
ybLcxUkXbWpaWA+O2X2TEhOvrtiqtI3VHnU1fbo2VYOdm8ANbZsiqRlnFA9ZeoBGbgSUE3vNNNMj
v3/7xS2cpyJib0wIV7RnV5hvaHd8dmYybCp9Xvy7vF/nadoP0nl3KUFACF7ZrX5hDwXBw6VNpA2e
8QlzfTqJyrYCpyEPTc/K9gbG9X4EPP89diz71ibV89JJ/3sjhfYU8dN7NE23jTd2V2Gk9VsZbtBJ
kEGEJ24HrW8IzATrMTaQkYEyHYDfN0L/2gU1mTqB21qGUwCyGH39eVRgdWStuMgE98Rn5kcc0Y9Q
aNU+cqhufZdG/u8P93eTCWjuqFAF6H/j1yjuqG10Q/NmDtf19gOj8R0VgGQY6+q73x/p10zsH5MJ
xKimYBvOxEX/xSRPguIfTW3ApdNn96NJP4fDF0gXudK63DjTV9J3jqf095hh8L7H9Po/6N5bCynD
EdBvvb9MD1yrV5AV273lRuJiDxUtPViW/3CUv7uo3MKlhw3V0Pw1/VsgeBpEwQzmxzhkROS3RkUh
MSql9T/cv78bR0CZphCyaM1hvvn5cckkITBzPjFZwum/MafqzfGqt9/fuX86xi/THUb0wOFGnhF4
dWeF/1N4xeX3h/jbh4Pnj5xeHkUb3vHP50F2rTe1Zt/u/4u982iOG0nX9V+ZuHt0wCTcjTibsqii
NyJFbRBUS4I3CZvArz8P2N1zpSIveXTWs5iJmJ6WUAASmZ95v+etOcAuol43j3g/Ui0fxuRzjCPn
VpaDfhU11FoRGONCF6KSev9HvP70gDjY1FH5/nzyl5MGhLDr3tIqXwaRgeyvqzpnPRqZRDSTygNs
hN+2xF5svl0EkmympuGefnuS2MqbaksGRcmshXCmGzc23A/2k9dr0aKHbhs29Z1FqW6ePNjI6BiV
y2WQdFG/bmsmd6t6YMSPgub7j++NK3ETDGwIx7At4Z4sE2Yrk3kCrRywteGlo7VnqJnu6yZ9eP86
b7wmwxUMX/Cu2LleYBw/NVMZ8IW32QBNwg8J48RnzB8YninXiQw/QA2br5uN1i+XOmk2kqg6CIW4
VD+AGRYlrpZ4XEMKVv7AcOxQzp8wsCr2NkXQZiMFJT69keGTQ9y67WZEWCktoL3ZkksXTHoVVI/n
7Gh7aX3sLAUqZIznizAnGGQK3Vr1ESVjgqsO5CEYsKOL/9jliD3wvpx6J8cZwsVn0UnmD250waec
9N5oZVLc1/kADLA/J59fns+a5Zc9z7SNu0cfm7FLRvluGS1Knou5d499zsxTk4dPjVpwWtlE4qQA
fjjFNrFpzxiYUqzN/lPBdPa6g2NbVkCWR+9iDvEfLqpMbtsMf1rcwlzMlVIEwNEIFL0ZTPeopRo8
S1GJgAbXuOk6z4ThnKUb8nj3PMN+mBfsh2vFfr3xo3E9uxEWQtyhz9MysdJC1aR/BfhbfnBove6G
ApxZ6OXMn73Qmn79ehwJbnlyZBlQEH+Wqntm/vtKWNrOKipcrsbqgy3o9TckGHXiazU4o2j/nnyt
djyV0mKUPuhkvDzYS4YIDmNX/qVm+lP937chd6/XNZdBI8DqtliL/sllhMIQsFF+GdAuuanrBNfl
0ftTZp8Ity5Ivda9bX6JmvL8/S/Xevu6bEU8Ub5f52SZ+XUhi3q0y6CopvlzvFgDolnUbmjpokwn
OyQ+lcBTt102yE1eUg5DaN/QYWdi2qafZaejdrD0HoVxJ3DEogS6Atm7R91ArOanX9FKVqtRUfTK
3DnaMA3p7JPBnTeREd4h0wdSO9vwq7pUoIab62ib8nuwLKy/0900rlMPqXitRujEtsE/L2Z7Hbdd
unU113yQmIF88CreeuMOWCOg/PRHrYVr+HO8l+itXZTZUAZ69zwhkFlNo77PjG74YGW9PsQZN/p/
1zn1MxjqocgrfywDz8YBvYydBegcb99/wa+35uUiIORtiLOG452coLo060qiKA2IrBDN2hhO6eZj
leFWyADuB8qqNy/mmabHpBQSrtNYzmlqCtBwYKk0OcVKq+Bti3pHrZOuQZd88Pje2ggczjYDOJqJ
8GP5MT8dOvk0WQwsdGXQpM2N2brOGj7AY5U337sEhVLsfPAkjbfWhUv46GPNI0z3NBiZ2zrn+eZl
kKo8Rs9gGsgpIaDgbSU2laXFgahlt1a1b90meggwJKJ9F+GJdOFFXraDJTN9cml+04gMIyz13n/T
b/48shNDR4JHxnKyg4wqbDUUzUUwyvq75UcPsTncQYH+6Lm/eR3XYwDSQKL1SgnTMq0aow4tAnC0
9XHKu+dy0nAK7pv792/oteSGb3Ah3zHgx3+5J9+hhRmbHVJlDDq6o3FLMXcsb5rKPkJ6usoreV/k
/tn7l3xrAf90yVNqWDoLpulsvQhwFtxHffXdFzltHJzuqo9mSV8sNn4V19CWNhgqRFdJ2nP6+TMv
LBjHdgu2GXP60sV4tyW+sx5ySAiVgR+phvfKumBH3iZy6appxlKDbChv+UP7KJjHewzlIo036c2h
36CjHnfNXTQDJfPKPF8XYevtlDt6D57NrrlyypbSgNaqzZwVeTBX5g99hPXjVh74VP1LynQ/wrt6
i4Xv98QbRgYErGTbF5N5V9NeQEKMC9TvPnHLBGuKIJMUlDR++cp/+orDYpCoqibCnFRrscH1rQNB
nAoixsqrlQqtMXj/gq9XFbQfd/mEfVSsfCm/XlBWYhhAtQAI8zro4klVbGXUAPC3anj0HgiemHbK
vUj86IPF9frDgdtObQhWAm/8lZayQaOuxb1TBpSup8+DMxpfJD3ce/C56fffvklEWyQX1C+XsZeT
XR+tAzWkqedUHxo6nYNBY57ubrvR0rI54KfBQGGLaGbCIpxG3PsXf+M+KZMQxeg2ike0Y78+YZgo
PaXksgxaKDt7OZb3EYTqBeTffLB4Xl9JLDmH4SIYdv1XA+nUdduITyUPOB8ecUMZN6aneoJiy/og
6nxjYyBnY87eJS8Ed3hyT/WCZIrwEkQr1DMw6dBMsdKrcbSdHcXkb7/7AIVucWMmgS7KkNOdPEpy
XHNyyW3ZhRVo9VQSQE30adt8mQ14/2Jv3ZlFpYJM30akcpqNSvReRB7LdqCJ+9jSHuXsfUuVdR+N
zgclhTdObN1Cbutwa2SLp6F0YcUJzBjEVVadM3hTbv3KzhmUGSDJl8OR1sNHxaW3r+hTWfIXPfup
f5vG6BfTbFxRGsMx8+tnPO/vrQWdBZEhX8W9+UE8/daKpI5mvRQRuOJJUGITXDld6GaB1vecjUMg
RHaFneAHl1m+35OzAxYDklds6SgmnAqlB09XCYNOWTBopgYIrRSHWpHgvr80Xm+VeKaRExjszIQ9
p6chrnqKCV0jCxq8JFZUb9d52v9wS+cmlR0iGQ/npqn6YJc0Xye+XJWNA3Qu9B/n9FMLi7nzkbNm
gQ9ddjXmGIytyzqbL5SP8mYuEaa0k89kr1YJBpKBhdS0snV33ykZHXK0IbuRKsc82fLWx0diE9U1
uf6S5UObsc+QujqffHN0gggHww9+/ZsvxsMChQa/R6B4svEiM4pzupUMVDHWvU0nPz1qit7F+y/m
zVXGmISLK4yJpdbJGVYIyTESVXlQYuYDq24I9My499zuoyLEW8vMh33MEeTgDHGy69luji+zLNmI
VG0hTgvjg3L0j4zd3tqBmB9ivMCjxs6z+/W8mFPdVFGvZQgCWzA7LseUsvtuS3z5dUjF7xfFiOFt
bKp40RDqT5MUr0ucARFlRik4/LY8uyZxboomfHz/Hb318UCZwewPqi03dvLsVJuVgAn4ePLE9q6z
yaBtHtrfaKBWuyayvT/HvE5hnTrtB0fVW3secSWxM4fv6xom7RAd29UhC6LIvOpK7XlOo12dPmBV
c8cm88HV3lrwVDFJ+PAL8F6lfDn36Dp1mwV1BBKvcGz3ZjRTbfP+w8Qw4PWGx0N0TY4ji6mlk33V
703V27TRAvwq9AeQs9VOY4AIEzBryOm3u+On1MBDrq86wPVTmV3aYCv2MWOL23mqHcQiKcBaCQ4v
Hz00Vn2fflSsPrVUpJ1C3R+q8vJlWjbxz68LuYE0hoNdwWmjBK2/Tj4b3cJJs7yWeUvvsVc0G9w6
pjFZWslDNg7tIfSrLzEqLdydu2M9ghCkKeTDYdMg/sTcx/sP8o3niE6FEBTjO2z/Tg/E3OU3JIpw
eyxnfNWNbqcz5FqFOZq06fn9a72xEBf31iWuYACFqPvXx2Eak64LrISDOTS+6fQPNoWtP7cTGbTr
l+mWEaDugwjjjY/OoIzl6FwNIvvp8Ts0OVPbUcXtpfZnCBva2kSJR2+yWZyhJ/lJNqPcoLAagt+/
V8NgOoMGEwHi6U4pNB8JsddWwVIhlA6ULzBmN0wZ4XqURQ/AUKLfj9u44FLVN2HdsJWdPF0HBUEr
ZBVoeoQBkTGgNCqt7maUlAAKh7r4+3f4xpnD9YihLA42gsWTLxBIBFZEYFEDNURMZIlm3OiykhsL
lfv/5lK+7lse/Bw09CcHQu2KpCvAGASGX5XXdi4hi7mdc5b0hvHB9vXWGrX4oJaxwmWC6WSNDshc
S0DL5CpFf9+T9to27CwQOIxdyxuvL7vfTo7YwHwdg1rDpIJ9+gEaiv652c5lMIN7XenueNuAbqwp
639woTc2ZkPQO7AW32SmMpf3+VNiXc9Yh+ohKSCs48dIqb03y/sPloTF33EShv5yjZM1AcIsSwX0
5oAhHWPFZDDQZru1b83eCVdhjoNSwqz3yh5xn2+dNPpUjY2LABD9Re/BYx2NHoVzmaDeEApVq2UY
DG9PeYDBUHOchYhvTKb9meUewqeQ4uK+aBFckt1Oa6Tt4SG2PYavdIUrmNGgvwdHZNzOfoGAsjTa
bFcVLTCPQYY+CZSKrlJQsDsE5cmqzJLmKgbUszeadjrkDIFfDlZcXAzQQgOPOfmkwj+NJ5ztClo/
jEcj/g0QHOOWMs41hJXYZgAgG8+hUybrMQEe+v7jfWtt+sukLjER+ctpAzaHrNjiesNSqQEydbMB
5Ek82rV9RpL12CXT+MF399bhsIxnMDHokp2dnl81lPhJ8vSCRPoa4pi+qXczx+XGwmsmhKyIMPW3
b5GWxzJt7DOI8+o48p3JKzrTyoPMj8Q2biYHyjCvdMK9/DFtjDlAh/T1/Wu+6DVOVi3aG6wJXgxV
XyUYEQ7ndGbzIsDv0l8DpHTuRGwA2rQm+yyu8vyhNgtvkwokWy86ZS8G2VP0c7ft0BLttXFEMvvB
j3oj60GVQJi4FLTdV4dlpOy5DgeKne0comezIMKiSrN2mIu1QGIda8VKQT5l51s/amIY022G/FoY
H0Rai1XU6Te9zIUjx1gcT8RpbgFdJHKKLimYW04taimLuDmx8vkGgWVpn/G63EOXIklkzqJdRTlZ
p6EV9FHBHAzXozXquwkfy8+x4Es1u1n/zHdUwpBkSTE2ke1Q9gBB7+PvE4pMqtnDVjhpvEUwKDaN
VnZB7EgX5kzvbrzozKwy6w6fBnVFRZNJFKgQ82Ps4dOc6+6TvvCO338Tb90/JTNm0N2lQ38aaRKf
g5lePEzdPFN3MfO5AUzh5DEB7vDBB/7WpVBfojVgGp2K+sk5R5VKymKp2PuVFW9q6S0jParOjn6c
R4/v39bLeztd9Uu6aHHc0SE4jRdKzcn7sUjomw42DtkdDWMmPmZsAGDtDpvSzY0zo9LD605BUTRN
LboxO81fC3gw+7rU/4Nv+Nf/yHcFszSHj//fKIFXTvdXzfeoKn/mN/z9R/5tvOL8AVQLvCGHgoWY
icjvH7cibO5t56XqCz+BOJ+WyT+IQ+ePlz1vYR4s9E6Txfg34lAs1ivgCFGK0M8Rzu+5FTGZ/OsO
QvGG5Ic6KdVEy2atnaRBWdtzKkLCukYhYKX+mm9cyVUTZc6VH9ZC3AhHsqlVuV42u/Av59txccHN
wqEa1aWk7V+D1l76ZF2SddYtkKvF98v2Bg1fEwekyYpJCTJcGLjjdYfS/xu68ZFQg6kUSttA/xfj
hN6ooN1WsQkSH42ziLY4wabHIi2NH1ZUYmbht9L7qi3oV+UwDepmCxO/igD3UFi5BZQd7qMZdix2
SuDPIawvp4TT9ytpYrGymvO6sVezJTT6etpXb0HTFguktlxwtYh/k0OyIGzVArN1B7v/AmLc3Aq9
9mHPlk5827ywcNsFizugLfU3+DQXzdaqueOVx5HjbVuZ1xvkt3jWhdkuGpJo3VGb/ZqMQ/epHZw4
vbRNpSH9rt2rhEmeEXdkFSfrnNndNTOeMYhvH3kMnV+ChjvXZuBqw5uYPodTBU8fskwPeDKM7qg3
Eim1FRgoDpgY900nxC1mVOozwZ1h7x2h9Jfp2q3vsKuvdZxmjR2xOXp9JJL149QolAuRTOnqu6hL
tbZEoazZHsraIpxhKWcj46tWvgCYUgZFFqAvvLxNardts3Fyd3rq+kk619yJqa/NbCgUpDzIz4ne
43CrQ+3FQCT+AR2PiGEBRreJ6HdjZDkbW6JG7avYvZEzrphM0GXRxpy66iZbYNRTJcIVI6TGjbag
qsuhcI6hAJa5zBo438bahw7JR4NRz0K7jicQbahzmbYxkNlq9bnAL2u60Mted+sj0oXRqxmALlvP
2/IgRL3GQaSsr0Um4+qA4a8BKt9KJjhhwOccDKmLVpyPIZUh/GBKkgOIzLgriU0x8/Ru+hYZMQrc
wb0r6hL5r6spv37Im8FFZ1G1i9WhT2Td6HCD15ZSi+jdBPV0TBmi988drJy/FRJS1jrNXeZOcxTT
2vlgJxHWoJ6qLlvNS84hvcVnTliOzzCpQYJm7ci0Akjr6aAihmCR3mPXtdJyZzG9YHSNXpkOZX7V
GRN4/5FZtC7Qm8LdlVGSXFNOMOZ1LAckBVUTMsBahTB/cc+dkm5DF68f8beoh+F8npNebkxNWOsq
5m1uUEAMBpxujfQ81UqfQb1ST9p1wxive8F01niZtzbS68ztN3GEDIcVJ5jFSd3a2+Sam1xqVZUj
Xw/DPIbKpTvNBmef8bOZtBVzmFSEj0Jvb2fVpUyw9dqf2uyXfFOaUyGaBrxqX3aV1c471D1Ft4v6
qfqswkpnVmfqma1lEr/aC3ic5Z5/iHuQT4TSBexE052Qi2MxwRSmv0mem84+h9U/Htw0tA5WVTc/
UMt+spmQOLcSu53vhoxBrGDMGCw5NOGkNl6tgb5sWx1NVmreiHLkewyFD0gxfUmceuQ4TO6m+1lZ
3jFFFox/w4gn+7kyxurMtcheN1wp22NEAxTBiEIA1ryrirlmOMvmLKwbGkj6sLP6ON84fmqeVQ5e
ApaXYl6rgUyPNyJWxn09i2SjW7nJe8byIP3aSDd9TvVO+wQhdXhqdTU026YSgm9NKOYa0tnCu9nR
ukPD/PY6t3oGKpy4jZoz/gVBvZMOdg753IEttkJEXMDcbDVI6PDXgMwzGTvlAoBmjzjNbB2AdLbT
RBbOWfXAaECD4VHYQa3qVpVd9OIC9++eSeAyzO+NKbIesFl8FCxhJvJaNHDA83UzwMPEvXHsxNhE
mORsOhPzb8pNrr4t587c5pqN9rdSo7oFXyku88Lsh1XRuIVxge8Hk5bd7KR7T1bWZ9mpz2TODILg
qYfduZHgirsGldBhdD6kClfoxWJ6nowWVG0FjALXGBXdGGoIG8y2RT7NTLhDd1hc1wUDDuER9Obo
XQovM/4KJv+Dw/oAh2Vaxvvx1OX38V9PVZP9ElH99Yf+jqjAXiHHpb0L/3lhRi+S7X+IWP4fUE1M
sdQSPThBP0dUmNzSGaPb51DzRRxI7eifiEqHQu1T+F9IRjbMH/t3zOxepQmEdHwP5Mm6jVD+tJNg
DEi9dT2qDrDtiFSyMrKvrGasL19y859Czeu/8oF/MQJxjeqoa//r/5zEbsJbwkffoIy95H6vylMD
Fqiz9Izy4FojK3uYjMu0t/yHiSdwLikObN+/3lKl/CUrwVsTZphJUEqN6lXdtAE7y1auc73C4Ase
9RrT6lTNxmXHMPWh7ELH2lrKM+7R2Jof1K9eFVhsZh5IdKl5OHTRTlMiqemtqnBbOMxN130jh20d
LDcG75wDTd0yleTj465/dMtvPGIEvSjaIQi/UXLskC42o+cWh6Yw1DUTi923ATTlvPKTRl1HOtSz
95/xqwvSwKXSziICcY674vL//1QJTHVN1Wbb+EGshZwZeHoRR3T+tvAs7YsVDs7T+9d73QcBBkc1
lXkkmnkUdk7yWrgwuC+HCj5PpQjiKQa25tU8S53xnFGUbP99Ylx6OV1rd8qMWznY5UNZ1+64jp2M
WbDIbd3bbjIZcm6ImodVXcctLA5ffZ5M74NVAKvudBG6VKDMpWHG23zdTWdiyovSousD26Xucq+h
cgrP2ijX5S7CcXRTyMgYj0YVT3lESmIb93yD063m501ggoh2jknrWczT1zbIw5YIFXEBa6kNzeqs
YHj+UiXMcx4H3cTSvWwG47LANK9Yy4y59w2jghH+dU2y2MuYs7erbWVcao2rNdve1auzWpvUrQGT
4zpMfEy88IGr7K/eQIS1cZqZMWEvk2Z61li2unbYJRxgI0PmB6k+aI9pHvvhrWzIWIg6UgmxmDl4
DWcLc44NPBPhMUMoxvgpVRed8AdxA8ZoPGcMMk/WDvreFeav2Bu9bATNVPCdwv5U19rYqWs/k423
VqGsn/rUrJ/mRrcONFiJidQw1E804IZrvW0JWH05L4mWnvrb1GjsZ6/R1W3V5IYJET6sn6y4U7ea
1FBEdb23SebEfsYq1CwP5eSrJ6fqAIdTtqoQAIS2uu1Fw53C7ECnRslGrv0yCR/MNMNVvvdG+znv
eY7ePPDcGmHc9z4vbfak/wBqyH52NEfdEhn7W2mNWElOVdJ5a19pWNu0Q6hu/1qrcRphZhtbydhf
4ILWfsvTClYG0LX6yWSmvt2345DPa436c3xk6iApDpnUZNGtqEF6PbhWM36Mh9F/8Gr2002X9SDt
ikmwTobSEc/QG+oniDh8/LLwz33Y4A91XhBsijJhZais1tYiUtVZw6BdTmBdqeu+n+pxMzhL7srX
XT8p8NsFeJVslruhb5ZwKIYP0sdpwqhuvdzryOzdyosqSGLL8xfA9tZW75FGAQzY4H8WtzglQUx9
+Xe6MCwxJtVT9o05DjTu9SZ2u2EzRr6/62XLAgZA4zF3l401alBwRGdGO+j1eiCjwOMDfyP4YK7R
WKuOglu/6nKcYC47pkFrsBBFZqo7eNV6E8EKUkyh5iBhVlg88QfKPDH0w2h0LryCqNDK+NhSDdD2
k96n40ZSxQ1vayCzqHiYXkQCEjOpfW7O/vSEuh6rmgk8FxSBdk6ux0kzx8eWxx/v27Ic9q0ZlyNw
nozclKLCutKzhCx1sHnO7X1thfFWJRN5M4PTO9/K1xJm9mG0pNjVXmpd2qCwCQTHIGSIDGpYpe6d
osfyq4Yk4ZjahPMfZlgt00OfkQRJxiYmZ9Xh7nClOXF3O8YSC/cOaPSXTmS+YH21o7WO/ESdDa6G
bMirIqjyulnlK72aL72mj77Jlm3TKRL3WCYxNol66WPCOIvp3Chx3luxdttqRbs/2Zf13H3zk1iO
m1bDBW/D4vaP0Hjxo/TF0PorRizCB6tsqQUYpCl4QZM5NPK5NNz0kj6JLQI5WmzZSAxYdI0+sKSm
zG6/xQb/Y8W+rG455ljLJhO3SeBoIaf03CT7qe3qJ5ve9wNEQFzw3MgrcLkYBkUiFocP8MQNTB6N
+gnzLZXj7jk+q8qLHlLbYcOszOweZk5KA2Dmw/In28Jmr01wprKsg1cvo8i+H5YbjtHq3rGL7Zyk
5QbjJxHtDKvwbIZaZ91/RLFtfCkaTaN9EoveO8C4nq1xbdSt2sEGb4DxUC/9OkeD7dCHyo65X4fn
o1ZH1zBU4kPk+ffUT+RD3jXPU0FFgSVoPLSF32/SnucEZZd93q6N5OhXtfml10KyXXjX+kXtj+4d
1ERsu5IBU1ur1zCiHKWx5rvEFyCsGm/nl2Z5pRZxw24W5kMRg7erVIs2fCjwnhSTKRlzzYVNimKF
5SVWROJrblj8+zUnVvMJwqgZfvW9EVK4lHVY7WYPXtIKqm8vQF1k2jnuuD2PrsAyYO7s6POEJC5I
ROmB7LB0XCy7ZO8a5JDryQzbJ/juxCJ1Z5O1jom2zoyB1yp9v9kmeSvYLEQeNZc0u6fDZKUeHhCT
/9AUVVpsKBm03/Q89c+Z6Gd7g7/DopEQxW7bCAxBpLRlKfXU3jZRXBmX6PbYS6VjsqenPn/PYPJr
nC72z9uRV7POc599EBggv8n16Hgl9ZKFx1nJElRWRNEjr5NiE5kZ+30zMOAZYyu7HoCD0Deh0XHu
13jZph4aB0DuJpuW5UKkYmKfb8lmRHPvglsPqoYLW+EsnueJvsf6ZQt044Vo5ULZYOmPeh5fd2PJ
JF1fj9Rx+l7f41M2MzLVae23EvhMvTKshhVhztJ+dnPOR+Au7NMFKgQM+mSFo0Xe0XY4JhMpyv6v
n2WUILj3EqwH9ShN4/hyG3Z7mTdNMEw9FCKQZ/cF5pxbA4O56WiOJlruVT8VQl0YDnDItd741dNo
yjq+Mm3Sz21CCQns1DBzybJJJpd5tjpvOS2cDqPCVR4jp8lXo6cD3lpHWBgf+6zF6TGR9nSHean9
5MQGG+vUaOn5WDcKx8ycFJ8jw4juRxfXFfbN3DkXMwIX9kXXuMOdWT/Wfaz96BrJBHo/4n7BbybK
STTXf4C0wrLAcJ6TXDIJhBZTcjxFjSqzXeMKuACRSpYnKiveeG5PHOs98+ccmA1b1V24vNE0tXhN
fcGKy1teo2ZIsgbI3DokSbtFNr/NPTvUH2DwoAPnORFa3jlWovV3A0hbaH/JGEexd5tnaPk4qmp/
tmqORjkluwkWTWR8Sj2i5Wivxs5e0SlSmPfiKZHoWFOsw7xINt1IT3R0cMwrNJ8YBHdvHfZIE19a
BerIRIunLf+RGyVsulXpXF/w+uUtPJz4kA2x9llpfnKE6hWCB6fsJmiGBhED6BRjXW1Hu8bmPqSz
wdgqRirgn4mpDbGutm5gWiUbq4n6naFHxqaZjWLVKCUP1QAcNOpy47YUbDErwhAsBIYmAQZORNI5
RfZDS4S984YqDPy5wiK3k9hv8gWOVI7KH7DBf2j5dOUrMR5Y1wQGvdSv/K7Wr+wCzPoAzcxppyJA
kSW3xMbhnXL6aZdyiG5SGY9bJcSV0Dtxocy+vOFtcy6XKj9y8oG5LBa748W7xSsc3A/yi54ZMJB/
8XSlY8L3qdac/qmpTOuyGqiqrBktJoBUEhRNzpD/cG0Vxi2RHygsDZie7YT20bIGCtQrTKVTKmal
O4oQuEQ6f7elwwsBPRllO9u2RurzzLUtcmptqNdYKQKxn3qobexHOjsE5xW7YZdWZ700tYNjTbK+
aLOcRVrE7DZUcVmR87D0w+Gux+31hNtJsh4Iuzfvp1FLlvRLaszoCwkHrRQTQdMrAeE8mKnPiVcH
tf0S9A8KT7tmCXzfv86r7IduJ1PeCwmbzj+J26/pIaQnnGqrrg7ycoHA9QwK3kssGPIV3FkAqmJJ
XV62w/ev+yr157qIGlA4kpm+ln2SkudWWqk6gEXqPHdaAUC4BT25w1SP/asqyunWcWL2YjksUe77
V1+Gh06eLo1XsmI+cH7EqZxpalOqJ4aDUgzrFSiBXmPee8uuiyMOu32HmhF5Tt2QliyRN+QCNveX
n/Cfit0HFTsUSSY1rv9/B/T+e1l+b9vv338u2f39p/7xeTP+QErqUrMRS3Xtn3Kdr/+BMSHjjib8
DwtBMZ3WvxuglvOH49EA8EjyBRrBpQzyd7nOEn9A+KOlutDAUY1SsPgNjzfhvpJFIXd0DJ/ZFItm
KtWlX78oFxMjLWaG9YAJTGvUe6yUYIsvw8mY03eF7hkrfOjM8ZzBL8ydWjltjFZZezcK3UAWIlmF
dtgWWxOtyGUrhXOvMj2DFaYDIAOuiMtvQ+k9ctTngk1fbibmO579qDSA5un5uvftkYwFRQ0+tt/6
su4Og9VGezspweZQK2BSEuU89I8e0o2OnzHyOBIHX7U7O5bFOi89QoOUXggTjd5z2bTFATshfHkT
Z9e3JItg0oFhpUl0BTzPC8opye/N2BqwPwIyHCG2dKrPMYY/e3PQ5mM7IOMnSHOcr/SGatCgBTRc
yu5RdFE1E+6iaeedQ4zRb3ugE5syd2+G3vAv9NSSOFZH0Rf2WsJ+KxuC2e2HTQZbAPWv3uwbNyyD
MSHabazppqor99AQVu/AQYGz6QfjqnT9Y1RmG7tS2bXmhZw/2H2ujGn0QMuTMvWZtO8oXJTbUQp9
DatQYIan2kPfzloQarNxZNRAO+YtMKDMlLS7OFw2bapXF9KJ3XgrPY22L8Kge4MIdYtk0z2HFWfv
gUEWO5MpZf7Wdr6pB7O9cBMtXGW9ee+oQv05Zb2zbceUbNPN2ps5C/mLJiffOZTPQECq6VYkqfu1
DxWmKtMXvUjavVFbKQgEsHeE0OHD4OF0l6ah840+YzZdwC9NLyKbFjUcuAX3rLpii2n3sElizwta
p2l2RN3JZtINc0vhm9l/D/ZvQ+3hq9eU449onPzdrJfKW8sQ7CTfDY37aWzz8ymtP8W9gU+sQjOs
Me1Duj7b+oVWZcOZp3FMVbTjIYn6cb0F5oJTkRl6m3jOvCOMwfIKqGd1wfb7KVZa3UEfFBJhd5Xd
qEpiAQO9+cosGuIdmThgkXNBawX9TeEGvcbw3K5pM2JEvxdZtp57NR5pz+zS0qRTM6vG2sWi9tam
gdsUCEwTahl+VesSOCGEKUFPbQ2OsyAZ44wlYolcckfiIGXOxbWm2QyeULWM+xIymGM+V7l0w3MJ
ADc+q4380Uka97aobHxWPUM7tEkvQnOfd1ZKx3Vgntv/k5RcJtsonOYrqk/tddubXvGnj2H6fC4A
N5dwnz7ZtbKuG4RQDZr0zL0XYZtu/aYHvJaX/nGsXHPxgGrzieqBU9/WSitSYrRpiIJauFnzycxH
gWORDUMJf0V8CSsqA/gWtxoJR4phOxslz70Y6nkXOmnpcKpGof40Uxbo1nqtRZdycgv3EayHKXHO
hsl2Uyq/D7+locTNMJlRouOpFdN0FVu9r+5YuXa28vyiHwExCQDgaliCIx3Xrq+uFuLU5kGFqXC0
ykdtVXk9VL+/ylEhki5xAct4KQtQKc0MGA+rSp8W1mjckc+VcgQV3LmCKQmryyCwKvql7iTdcjNo
YAzpQKMX2ZZ2xiVn0lC0AEoni0CkUZDt5lTLdBzo4GeL5RDPaAuvIPnS4yyiJLVWA4aI1RWJpFkh
sutlbHVnWT7a+oZBEI26s3KjrR6XzpUiUdjZYuR/6vmQrhqbZ7x2GDG/RxFpnjWO1jarrGokHsOF
P+5TBMYX2DvBpUkQuAlsJjd2losOBofl7nvDjPelO3j7Km6y69LMzwG1GZiaGXZ1rmI7PgupgO+q
sRMQpEFRLX3QpMaUu+xpyQI7O3ouQGwNJyq+1ZT9K3KSLWp32Be6C0QcxylE9YiLDXw6bW3laGV5
SQpb3XpwIS872khPdhqClgcVcMZUgrXKZWNsMiWifdd0c4serM/1FSLb6U85ya+cUc3l0lcgJlsa
y0OieytTlzpDxka4o5TrfbKpmN0ImpscDmV+yKnd/zd759Uct5G14V8EF3K4HUweDjMp0TcoUgEZ
jdQAGr/+ezCydiXan1S+39oq2WubxADT6D7nvOlG9D79i6b040Dv8mnGZ+FWRQZm+W58YOuM0KWm
+sfcM9I1wxT/ZTCaSTAPM2uM15vp5BEofmbE6uONNpEuNqrszwQk8Og0CLGZhW57rbJXU6/PWYjh
HHyhbLBsBFfRfAvInTHSDHZdUdVPsydIknMHCdG3mndYnjkwT4wRy5IOJsGIC/cNShosWNvJ9E8p
iqcNLDpnXbdMykeu/zAFuNiaRpqsYjNKbkGzcaOckxwb6SDeudzAFgUM3ozGaCdsjbP9EWofPReZ
cPXr4OPRZHi48A8S7Y9DIN4mJ79z73aN9YGA03pjBgKnNpLptwxrcbEj7O8618fmmTTK5izbvr3F
oSS4osWuwjmpsqs8mZDWWslwnQtnDh0c0ffFPCAottMrZSdIw4XUr6PICPglnUslUM54u/tCD0Vp
6dfdBN8hTHnzbx3Mlnd4YbSvWK6HTefma9Lx+ru2c6ZyZZe+eyiDLoBDk8wnI8vF24ij3aqeSn2T
K6ETrxB/iKAzhZgh6hQPHjMrTVmb1Mxbf4WbGXaUkb6x27g+O2mqnyytY0bF6U9zrGHBhwTVZs5t
9E+aKXHsgQjTdSub0WKwGLp0A27oYQOWh8GsD22xis2ePnjRWGMg5xooZnnvfeYQvNTt0K9FBHZg
Tj41hZ1kjI6gtXK6tXmAl/ngqsR7IJoBsXfBbJnswMfOVXX6TYzyv/r+d/U9aDnF9f9f3z/1r8lP
pf23H/jOb9QDAqV0usNFebqk5vynvDcM+w+014gZEDEtBEd62e/8RhM0nhPjAt5/r+u9P3BPQoyL
QtxZZJL/Coa/wJY/tIw0x4iYdJzI2PFgj79vlMkUTROhfHUOqlmb89Afa6W2pQuyU5aA1flEgkE4
xHF96hy7+2wolZJEDGynmqrdtw2MHdxYpttMStDX1JjuE6Wc25I3nxJKFFMawQiDQS3xii7R8ETj
veapqWIGFgwA9k9JNAVlvZclvDk3HgcC3Eii0G4CEuDLo8AJBTU/LnjC/2rVnkrlnggQiDuH2JOw
Vw6RN2kZIJXfDA/1wEN+0CrqjA0+46a9iTOin088S9uCp0e5qXNZNr1ad3lNTN55XEtUf9+WdhnK
sUivo7JMdo1nzla4hI9gPmlCmoJRteemxLqYpfY2JmX66Gd224SQjTJqPDhXU9scZnhp20RE8hVC
QrqiyaDyTfMW0JGyP8QkHaI+gNzsmdWRHBqkVfEKaulkbsYRUcfJJHsFP6KMhIHrJM4H7TCNYlTr
PNdi9aAhuZz1tR7n6B8ju3ZMb2dCjJS7IdKJq9wzOiNhk30IZ6N8uncLMurONQRAuh8cNE2zHL7p
dv+3I/xmR0ATZ8EC/v93hBukYz/uCH/9wPdmX//jotfVTQzRjMCx6Or/4uf49h90+ujg0KW5AWIk
Np7vOwK0ZljIboClFhsSP/bfht//AwKujlMdfeiyafj/puH/mzGQBxkbtgPd+OLmx0ji534/GrUY
3qfjHBjR1dHazOb8Pinq6Ii0Z0Ai73QfIEITONHSphgY9Rx9LGBfAih1Tw7hzy8IILoPtJ8dQi3d
/A394/2cjU+3qPfhY7OZouKGpvQj/SNAaRUZY2AfssEWrySITLcNJe5V5UwL9pIWakfQ6bAYEWIK
/8O3+A90Ipw138/ZoC1BrUHLqeNyg1/Bz1ePErOoXZk2B8hvH8smstg4ZBqc86AVS2YqfTLJv9QO
lnK902QH6ZORtemf04xAFSk4EUv1rKxjTKO+yV2Jr3PRynwDQOBizugT5jpJzzlEY9lf0RUT9qzX
NhQJufCIysAIQTvLm8RU4NIeWFao+w1psSP451pKIoqhWSdas7LgV6wGyuwX0pnxugf/w5rfhzAD
HAfvsZD3Cf45W8Lgq2Gl9RaOTjGwWEKmUJKFVmrrH7S2xSyQXk5Oc1uE9tzQhSCPrq5b6MigAdoI
tIHb+15pJVE+2mxBgobvvJo9NvMVTkNJWCdVEpbmpD5W2YKbaiRiXDljFsH1UP0HOOkeujq9GHVK
q2QiLQdv171PzARp0IW7m4h1CjXijLsVEtkGDwQtQ4kKf3udxY3+UgjdXQsIke3aT6ZgM0qrTbcD
JCu1SnmVID7hd7iKmgaHjNlO+kcDSvWGvmyUh8AnBnXNeKW/n1Lpk+ZsjV20ShkCbGFwISypoj4H
S3Hc2tA2djxbpwoh4riK49QcVxhUkVvUztA+a+K7986A0oR2B3L06DgfcdP1N4njVrfYAk9bykwT
1jSO6Cu77TOIQTqZ1xglt9u2H+kpClPbzVh6f24wu9rmeroN+mFY86YGByh95f0MRQP2gZDZcc58
YhaIq3qFxVDv51KfN0FR93uVtgICsNnHFIqZSZJSM8CNCIem6nZ0WsaJTn86wgIHMCfYde+T/kZE
t+ckX2wOohtDGBNJhVi9f8F5CE4B8B++iozbaOCNGAcuNcyOtXK91s3WvHsPgO2wCGSeSgC2DEPL
8cFoy3SqV/S6iAwiK2piMq8iwsr8us8/V1kSpah22mxn6mL8nMOLNwDOibxNVnVVD/qSUtSmrwNM
5HofVINt3sCoj46znK1DoVvZ8HHh+QRXyjHF6wwAI8MokND1PaPR+k9VJLNi3QYQoUO3F3a66WVb
aRvI3OoMbwXn1073emMjGeilD8oSSpEa3oDkaREm6CtRtWW8biVMlj/tYMSvNceguVqB31eLmyEJ
NzMTGY6CvrpqkzGt141uideOMJkD6s2CpT4xOVCg1vcUIctmCEmehM60uslm6V2bUjRBqBFKDQd+
uTeVRMztotkYN43TRd0qGewOZaRLam6bDnx6jIdIaBLTvE/FiOF25ICSDku4T+DAMl4nIy/yptPl
pMG2mOQbUnGpnxFzO/p1QKa8hF1Ti9e2KwJaQg2r/stWHnDnSWgvao4epBBoVOsHaF7m/Fx0lrbE
TIzWjM51ikzsNtecBIZ6daRs9fro0/zylxwejc06YgBC9yOMeRw+VvFUpOTfaE71KlXPVEq1c3cS
7exeN8ySgd/EILTtKPs0W9laW+8a3yxuVEWg3soVJG+g08ymO4zQzRtbCF4sqsripkVGXYZV7ArS
htQwHCbh9eZKH/qkvCohmzF05BOwdsvaPlRQQ+mzm3bCT95yIrmuutb7UxuqkWTklD4qLBDfGGvh
uwqT9ET5CGQbb3wRhiauE1cF5dp3cfCKqOLJNKZmy8dOvHX0eMRzuQcS0zJnB0dkvMNG1SrWWm6T
GOMnfkNCtp+WAykRGIzaTCy2htTzM9PliJB7wlqvEuyVH81cTsRsJ9L55MCjwjnEMhLmJ/kmM4WG
wTyg7RUm/+JElklyJb25xYS+8YvDhO2Ws/GnFvK9VvQHPKxmb8UC0h5zzhnciKxAre2gASgEWvZM
WHBd568k8TzZShFApQiusxS73+BmLbmDcxw6sWNvp4gNvyut7sPlHP1f4fibwpGjy/6lWO7Da5eA
WvQ/C+b++rHvDaVB4jEWulhpkasFiZuu8a/ykWrtj28auosg7nvlSAO60EAXtiwhtJd68zuz2/kD
ozoDiw8SXXln+XT/AioCqPoBhIRsDQEYzwiqVoAp3L7eFUcoyxqpddK9K4einMMqneRdC5XRXWF3
2v3GM/znOvByMerURUceYAeNv/XPlVjsTHbhJb19l2iqfqlsYT4qQi6e87RnjoqbSf0Sw9J+DYas
3f+6DPzHSy9OxgvRGgv/dxBzquXG1AvDvgNi4tJBi/RkUCPzHU+6jG/9iUkw0i54LF00s5v++vLL
r/9v477cOWadJug21Qlf3PvLm1YaE3hVWHdFuRDofW0Aw9d7OdfHVCyXm0omRb++5jsbq78uylKB
VoxAwXvvfkI8WSTjOjDv4ByZjxXT1oNZupAzkXXC71z4VXbKSbGShkQNCQjff3ZrWG6FBiktbNjL
d7UXZ9O+09o42sxodV8hXXdNGDmDbpyGOoJNms4CpB6iGzPuCVsZ6zc4+c/sgG+3gX8srHEcK5bh
x8+rxh99S+KSYN5h1cBakQWeiQUxL1u/QzRUpPh/TQsp8NdP72d0/q+rBrweHkMgeOTvFoyr6V42
Oa1xl1GxP1YUHEwZquSrnk3N3YWd79g1KWteQGl44Wz8+vp/fzE9bE4wVwPdYN28f1c4nCrkp5Nx
940kvLwwilrpNh4a4zeOPAb72fvVaRHCs5hRcUHsGn9+wgQVkTijS+MOy0n4z5T/+XYgI7SACWt1
n9GO2q+D7i5vpw6zDSoTL8slIC8Dk/zN1/1PN45hCLslFZb1t1VrkmYaNHqk38m+4SWxvagQVyaY
9UB9S9Tarx/zP70kC4bPe8n/aNbfdc5GnempZg3mHeQuUooUIWrfmM5y4b2XbWYfrKGDCtekrHIy
bY3rcggm0lwyQxtXRjaLk+bCK40bhwYrx8PxCqPqYHNhyyfJAP+1UhlvmePj6I+wXpfF9tc38c6b
6rJYPSYTwP0cFczO3r0iWRFH0leBQYhMhmRg9qDtXdYNoGv90ralFiJJZN9TPMALiy9OZ6j1uNg1
+/rCp09zPON28zjDEjTgun6+cON//Tn/YRf0GKZC8bH5sI7+7mNqkLEG7EuMO2f2eCAXQjm0z/rF
0CHuQjb83cpmvPrzyl7MLDDFwg4LAQrci3dXLPvYzPRcdXcjbMuT05fOK0Lk5Q8LDqfUrem2tVzo
klEawfjRhywBcQF4fkhpjTCHqFT/2SIr8TbT2QF0jZcgxd7gipZenC6PCO0khxfQDITRwROni05J
g+F2IDFmkebJ3/kTcgfvb4s74Xu2WLk4iEAo+fmFnf088BpUvXdIT1UY1Gpu15mnZTdgxKrfVwNk
fxSqQ9avTQdKLLhZGSXbALFytiqWeXWoppo5bWYOG70k4m64SGoTt5OEDWLCQqwfDJAZOeYcwEJK
Rg1WXBmTLecJQad8UenioJh0a2ZmvBnZIuHlCFjUvBlVq+3X1Z1cdL5+V2ZX2JmIa0JPPLgUooWI
X5uF9tFQXk7vqopPet4Z64I6IFmZap6Jdp6G5LNyhHKPJLRV67Tn/D7qAX6kBOVl9TJBAnGdLnJk
e1EmO8ximhVUUq1+llUBRZ+0KO8huKRzNxni/1VrDg08ZidG7RsQodPSZ5r+W6MVKEgqstjy/Qzu
ZC6EYeJbTciY2oEoSvvKjCXsq3ogaRwWz4MaB0OGnj3E7Z02WqisM6evHKArE1oLPL26vvXismhD
kLuEbL6MEX2cSI7dnDXiKUmV7gqEVg0sa/zmCyvYeKRy8OnQErx2gU2ZUPnsNpSAbMTDIp/oUrJj
VsrrINRGVqWFfhcVYJD4z3pXDH1yyclsJAaa8PmbQhzmInJx1xLNFUJuROQkRy+K8jqd/IMdp8k1
Ip3+E+MmVwAtJvpOT2knAovMqNa0GXIEZAM2on4ZdX3+aHR+ejQHH90wdcAbsnYBRN90O8x1oi0z
ePEnOJ3zEUDYgVNdJ59ZKNOXWEbEwM1JXK2XVMk6TCICV8HinHVpeEPIwip1CwlGNU3+StFgrXzR
f7YbctUmRvT1I/L9ND8NOG/m9hGD96B89AZE0gELoFDCW5deiTRx1SPr9d0cbUwQmfzVgKfs1CHm
B5oBG0Rpirw6lK8BwYXJ4Fp83Bw/YnjRqvS3qPEofmb4jSLPedKVNoiTHmM+yG6v2a8Nwl4MAAjp
UqsSQ6In1A58YyrqORQwg0eQ4S1k8UCwV6SKVYnqntjKrV01/A6wdkauMEeAFwwiMFYpOp5Q11t/
PQYjy6uKO776fGDLTu34Tnr+3IezQqATORhsE9NNvYqChd2oRFx0kQeOptl97hAXHFwJMVmz2Yc8
uwTdaVF4MMxJOj8sMb6FRt04fDg6DvRcEL2e8dXx17kqxSmvcvOx0Z3lPyI/46rvITsAehL7xGQs
YKhiGD3/JJ5RK0JhoPAxdZ1/MHu5yLe+w8NpTU5q9DUW/0WbGNk17BW2mAsBPr6oijwx3f+lVdfY
US97JDWcfxU5HKJe1rT7SPjd5yZYHuXC7XjsOrnMP5ZPW0oJtwL9y3QrKDtNhnKpuqXh52/zwrXb
m6rMWywn0bbhWmFcDzaVoTJH43EwUI3SOKt7mdJuWESrPMJCmG6Re0GNv0hKlMmzN0rFTfFKcqU8
GbrP5L5O99nyd0NLEvYqzqg+9XxAOlbAhQet6z7XC0m+CeLmJctLqt8p7dT9pVCY8waq/IVcekGC
M+zqX9pFwgrOn33G14Z8QAi21gHSkX7NWE4LXREBjbdFLq5YRnx35vJpK4G6DUOBFkdrPpGe6RTh
glnUxjHy+iUiiSXFlMxErxfhvPPqdjMTqkG4BFzCpOWTD/zMgLMIJmSEs5PgG14KHLmUKvmc9Z+/
NT8XqqnK0P+vob7bTJC1vEE/wwQd5oyj/KukdGzmlyjydxw7fMDahDVHOnZFIi5i9Oit0BIuXl1e
IQxHs2k7ALZRBnHyYMcw3vn2iIgt6PiO6sinuOP/BmRxtJvKdtjbxNKqMFhMd4YyKAyAQw8u3/R1
1VnegdsRJ2vQ3PtUSUIltaTg0w4yXfKuOHH7ZXk6VWFc63HGyZQTct9ussGbbm0cwOW5HmOSEkoC
w6nSXLT8TI9m39qAB/NhmM8xpCFykj8NP3iehtR7JHCewOe+0VFoXAQjRVI4r0nJ7HU11SX3f9kE
8sKa7lWKHUdYwMG5wv4EM/mAN6x2l8uXI/q+bHnrix7tUUa85ylY1HCU+80eaIJvlfkZxhIc5DyH
kRL0IimEmk4mvIrd1xY7y1OuFyXkzHRGfRgjwLlq245PclmJ9pQZ3WlM2QIcA17FhtwqNh87buLu
NmAYOB58YpzBJhqbrckUEVlTZHw/p/084TNAO9ptZrdfNCS+pAYyIUw9IMJzXi2smB9NzacHCDLa
EPuiirYWorZl4v+4Yp8PYLCnQf3ixjXVe2OMCDSXO+QkokZeLPiAH1BoXRreGaHTy0ygxCNJtOZj
ytatr0Za2kdJGO6jgC1rbfqlSpsBHaCDL0Toy7GpZp0VVRcaPhd+wr3PTh1cVaavIRI1S4bAkk5m
eWptPUzBOhsNZqDt8nESl7vI08h+rWXP+0oSLgHOecVrBcwTrT1rtqCYEoLAQC5mO0oh34ff6NdJ
1zJFJ3wCj/cKfPo+SRd5+Ig9CkN8B22tQy6hcz+1IxPnCnLcIsvUF6XjsrPwXwfP1cIXKwppI9IU
mthA3x2LYzm4/HQhE7N5MHSTuJ0iynnQ83K44Oy37H0TtrY7EaMyY+IOyk9Lbvf0K/BoxOnyAL7t
RUvjPixS2MvG2sYeJ85l7UbxYlIx9XW7n7xUvWFvF91d1qdtymiXMQjYDVVj52dP+iwRX5ftHh3h
cExiBZHm24Iox9L/WntDPoTlonfC0T/YFAuhLgb8e7ysCpekpnmVmxESJzSkuNhV6PidZdqQd8tw
2iXHp1r1TsVOpOZcCz2Alm7XOovOKl1uSMMrrMbTzSHiyh75d4pCiJBfwzSuDZtbYMkZj07iinFt
FDFvlhc1nDBLxNFW1CwaRAXs9lZq3JB7hPlKMrOodc0AMOhHNu3LDmjnfU6GbeTxsPtIW45vqG3w
hz3kX+FyAFUrrD4UFjJDz6Yg4naIto3mI0erLqqwTPa8ZlajuG5cq+n+m7K2plV7DhZpWuzE3LdU
mKaTdmD3Gs5+7WRgKarVeLIwa572vRyq5MZYCL2HavH0+CZ3dDCLnjn5BatdN6K5fewdSRESa3nw
fCEaVpA4uV8vGG9taXoP0p/KG9hjn9Dao51DHrhn8A7DepEWjHmcfY0tCMeeCXvZcmmpw0FYvMAT
xyPcL04klY5z2DPyDKhQlPucZ1jWOynuzbigjPO002RmEfTOEB9ynOjBPKbyAG0sO1t2Zxghp2Z5
oLOf9pUBXzgs6ro6R8ISX4OpoF5wTewyobqwwtrOxGBqmrpePzbL5n/E/Y9BJJbr1FTSFnQwBaQ+
TZhMYZiyocUogLsf4szk62nLmj+bwOAhWQ5R60wAx5VvkX0Iu4p9qRmocUgeme6bxJ/u8xiNXTE1
hFktXJhLo5wjqzqN1pIIGyRNhT8TOiayoRGL5aagPoAEwyclPorfF0H0e4E2IvIv4iKKwdIfMfly
hhuwCp8jP2IFXRrDWI+r+lgUWc2W17OnCXfyohPzNII1E4GSB8fJw2L5dI33YoBUrO8+m7NCzmzl
IBYsJ2tbuSbnZwvgAeUmZreaFxOKATlOeNk3gyxncww4MDcXio9ZLPVmHQX+VdmCYayxPTIex8mu
SaYmGVn07HttwytEuhVFaqTlR4R2WzdeduZ5FpxA9HbJ3nSS9Is9uHp3cmrJG9cvrGonb4Ir4K+l
wmhQKGmczGVe+dgoeLPuHWjYpn7f0d+Aact2J/pObgvcN3x6ld551fPZeEQMxMjOCdiVmPPwSLwM
I4NVFJl0EqXLweIOyn1MmFiv5wZo7uJG0M7xsh1cSmbycb6iOST8NIDvt43z0vM3rurNLVdOHuEz
T09T4s5Xia3Sp1rG+RqML2B3ptuZtxyI0gMVL3UTH6Bau0XLhRkTbhsYM1mtNe3N2NE+ydpyPmeB
nL8UVJVfYUd1z6M54sBAXWUSlNvpV8bi8lQsfk8oPrB+khcbqKapsmYD6NccHWtKr1MPx4s4c9MP
Zd3HDxhnDlNI4gVEocVcCm9mdR1YdfREtF3+STSK3+RcfKhSbfGkmi/+VIUej0bo9XoLGTj4bprx
P4TnNwgPjpQ+nJH/nxp0JWTapa/V64/8oL9+6js/yIcE5DI2h17CQAYLm/8APAGEQZpOBlG+S5Su
v5jB/oXyWNYfjANx/HB9qAABZor/4QeZ/MKAeSw7mhkwkAn+FcpjLQOh/+IPeIsYEAYJenNgL2Hk
837Kmap2lCI12oNTRR7Gsplm3OtJM599mrmtaDK/R0Pu6W+d5kUIzoP2oMoqOmIJEh07xiahV3jG
FbyNapdfbFUHA8NV7OO0R78uu7WX1E66EZDwQyPJphuj0uSXrDXJSU/i4tk2m57mwE/DmNLzjJEZ
dnqV6Q3rJQo6NGK9HXd9qc170ZTuA4Tz6TdD7p9nj8sTsOF4orWFWU4F8B6ByYCHwa3r+jC1eN7g
B0OclZKMwPp+uS8+9w9L5Pbbs/3RxujnyeO36zF2ZNyJ4Itgw3czdVPDcjLO8/owaq3F4VGQcj6i
yY14Br++0s/4yOVKnKUG7FJgJgOC1bthIPgVAZ1ucRhRTED9ytRCeNB2vhWlD4NZ2DuVZNH9ry/6
D7cHJR0Cm8tiIsNi+fc/OfqY3VhWXXHAOQ3Xa02yJ2Ez4TlrCWqifgOf/dPVHJKIgGIJePhbiE68
uAtUZVYcDH108jM0j3k7uVTzN7IIHn99Z+9Th5eVAmuPi3g48C4WxD/fGhVykZQQeQ5NMhVWaCUI
YNZNUxJpRr2MJ2My3UhEMlcj2/h+LqDybNKOePlff46/3zMDcvzgGZUH/Pk+SKAwOEVLaWWHhiwr
kLVOYbUYR9Fj4NZC/83F/r6GHLjLEEpRH+ICbL6bk6OULyww2OxQG/N8J/y2W/cab3Cd1HlyUFgI
ZGuvCnL/N9f9p5skGRIE2nWxkH6fEkY1OqaxSwpJRfR7vUKj9wjhhVlXleLa8a8eKAIKfj/4M+gz
u6D+3uuYEeBoDEmAISqyrHUzMXte1XqrTrEaradfX+vdfnu5loOfG2CHp9OvvnsnMcZwtVZjDc1q
HuGo0F0ci9QafueV/TNK6Xy7DkZXgcsmw3I1f16r8FbwehJTijuJM2Tracy4KVtV5ioaLOchSemk
VlPbC0Z1bZ1FDPvj5Pzre323dpbPYNCHM4dGMQo1/t3agZiFEtLp+QxDt2hIIGQxKNTic2QpGOGx
76w711K/2c/fYV6XW4f/wI1T23KGvsdAhtgdxBx56SEh9ftDm7nlEda8uq6zKtm1Vo07Ra+JCThH
QcEKo5H+6zC61fTZcBEdfaqHoDzmURXtY10rjwBA/EEE4N2vn84/fU6HL2aR9gbwOd575+WOFY3A
XdqeMC33TSmABXh9RcBXVLhEQFVaVnsr5suet9HgDp31wVT0Y1UUHWQu7FPQBxEpgb51HWhu523d
IRHZWiSBN+x+/Vn/vmoXABjDQAgKuPy9/6h6UPWC6XaK2EZXeZjH/pSHVdf1m19f591bz4qBcsVX
RtjFEqz5/mxMNZOHggDnIEZBW84Ya0lDEM4Jdxfn4dfXer+dXy7mEXbI6Yh34d8ixJRPHgQzMbZz
HBrXsR8Na73AC7jgVdki94pDkn3VyYBj8KKVFX4bwul/82ANsgt4E3+owJaPgXSDmEDytLF3WSyz
fzwwi7bWAJ/MaO/JsVUHr8ASeoU9rFUfYlnPdxpC7jcHimWYprJsV6rG9ou/X/RLNCoObnCATwGm
W7dQZrCl65qsbmmGe8lwKi/nM/Lk6JikjXk/F1b0dZhk8UySxXwG0qXzC5rWffDQsh3B4pzTwHwB
l7FyNO8dmbsPblLrewaexlVS2Uqu9TpdYt1GXPfjyJKrAnrfTdkSSFxESn+bYQ+fOw3kEc+nKvoK
+uLUx6psynkxT43IDDfsbptBjksYpSzJGGhzbR2Fpcn4OIiMT3hEWk+jZdUNIZsDEHU3RfbXYuht
3Gr6yUo2HT4lZ1yVy6PNJG5ttEP6JvHDX4sudr7GxOqZoHaUjSHiLj8mASPAjwQ7PHs32jrFUOXh
luZ7UCTpx7wXvxlb/564RtYbbz+GHLkIuHxdt9qdb3bsnXonvZfZjpz1RCDE2Vt+tnMEH4NRrr1p
0rHDZyUttEcc89WZc6Z4bho13lweb+SO/casEv2utpokP4rZK5JDhEzSOpp6mZwhXJZkxM9JVm+A
ytmtpKFOCB/ZoXxj0v6sRM6KFJCMkbERbbVnAsuzU+BfmBLresJ4LbU/QOIsSBaK9erWyk3EqZnN
7xmTNDm7fR2vu8ZL31odKTC56q2Kd8EMIgEsxqGAm5z1hEQWf1jN5NmWlpm+Fahrtgbeuq+oH5lz
8NIULah4Od85uP32YZ9jDYnkZboB2BqSNalL6Z8FSYOHaTaKZ5KWbBIVl3VYjgJ5ARZpcCQSxlfr
eVqoQUYJxbka8OhdeWU/n5F3Lw4mtF5q1XfDfIdtub4oWalzZNLBqs+4gW6F4niOwo4FttG7pH4F
LtX3WESxep0cMKiNkknsZULH4DpCe3STnAemx7Y6x1qRHXOfvIpZy9cTDPgbqErNts88Yx+Ps9g0
wCmh0kR7F/dJetARnp/GeLTDFM+qNUpW/WxY1XzEf8bdw1GKHuPe2whb5q+NW+VnLMrx4okc7wb/
7F2eAlwzQZoWFNV68X1eu9oud7pQSMxz7KZ1bZpDJpRmCPDQbnFvLkOisYscUbVtPgfpcANTTB0z
I9ji+mXBsk3EEZgJL3BNAq2XYwA+xW3hG9SGSZ4XazX0cmV2GIv3jv3Sep11RlF40069vxog1a8H
5eONjKJ0izv5kxu55UZ1tXkiyQN9Ve6EdV+NO4SJesh4JlklM4OXoMYCDPn8fZeot6A2GZaDC2Ra
aa0BJCsI5oN50HT/Y+N2UQXztS7A7IkqjyQuZKVlH9FCwg83U7i4GInntvs4DNEJ2n/8sa/NGRcv
NR2TomQDtpcaqTTVtZta1hkZcHOHLKo7aoOTr+fZvcq9Rvk1SlC8UYJ82UTi7kuj5/VeGSJjFh8t
zFzGtBkmmbYwVpEWe1fSKfhAorAtfTXga/nkzLa1nXBNwhMRCvapN4zmhkLJTtajy36Re3rx1KKu
fZKmPj4o0L8KHUbtx8zbZ3UmPt7awJX3tkyNySgt0/YwFe50SBiic1Gq6HMb6/c+cO29Nyq1sWYp
N8v546wmUQ+EdtdNedv13hx6vGnFAVk7pYCZiyhsFbVI7k+chZXbIUHzUrYiXAJjO+JE8OLA2+O5
Nm8l6484SVVtg1m3d3IcMH5va7O86fT+2SvmZm2M6cKennEdiAv8nta9m9vZFk1+edKQCm+rLHdu
IZ13W9eT8Yc+i8cTPLt1n0bjMRul3jPtH4M/LUwoopVTmfh2DeyTB7iTydFqqNtBhsh+noeShZlR
O9AiFNpdoVoPb8n2YyV8Zwu5ZHiRWL197e0JNwy3MsxHs3S8D9M4B/NOdzB4U3JE7SEk9Vg1Nft6
noPrSWvchYmqQkuIxSep8QhbGIN9AFOzx7Retl9qQnc39ZipY9NbZ6+09XMQtSOgJXoVKAAVJUyF
8N0rgrsiarCwQtVg0fxnic2YojUetVRj+tAXwZEvNXiYHAlRPomKfsH+7U/TrHd3Xq8xNUCJAXOl
MWE+sASwMgAqj2JnN3oaPhl+P2xGP7Wf4BqJ27jvrFUZGdkBs1PzzBPEKqscEHVExm5wHBZ2UJ2R
jelhVAYmppuFs3eYdF4FcQx6Xs/OQ+Q0xhqqFtNFfa63BVDwq+y5JTaaJhy6MbVCoEAk3nnk+Ltk
QM+/qkYDjJpo9+dKn1B36L640eeIsj+whLuqO6CajcqJLWWQOhQ7UC/vxcldhjiiiU8TNAuxjiK7
OCgtUF962vGr3hrlXW9rMDOsmtjvUMsrzvRFXxEiFHGu6djrHRNYjwbAEMcCi37err4+j1lZ3Nau
09+A8k97q+mSIEwDf1+iTTqMfqWtiIX2T6KZonMmK39nx0P5lleN524wRGs+2LHTbF03y7/C+0kj
iAC1OGiwijZ1VrTPXlf/iWHTtEixgKoDZzaLhb47vCLAykY2gU47xDUJPRyuOnptJHJrGyHHCRMF
hs8i2/CNp5u8ND+NWlCvU1lH+Qo77W5TxbE6e4EUbyjeSQaeSJQE8kG5lljzTjkqWmOh3t8a+tC9
ZW3Ont2QDsQYO8D5FOmO7eGt+9TrsvK6T65Nr7jS7WpKvkJ+bsI+hcTDi90DjFi99hUPl+o8ObV5
nY6OfNLiaHiz29R/iWXQ/h97Z7ZlJ3Jt7SfCg6Dn3B3YXe7spJSUSumGkWqSHgIImuDp/4+tso9S
VS4N/9e+sD3KKu2GHQSx1przm/DEmtCodou5Brh1XF1Xfh3TEWlOhucA44PTRbKIN33USuR3Zll3
OyMgxp0ZLwaIfC7hMXhIerSl/R1hJXQ1GP9shIzF5lOp5eQ0hXnrzHm1q8qZZ0YLFwgKzziSCsfm
lIHSL7rlJJJZnfEJyXGniBFlO9Nr+i7Ak4QJzrXGKzfEkx8LukOsS8iJcQq/5n1eheYhLFt+Nx4K
R9uUJE0SxfBVUhtRYZAL0Bg1V4GRxecEtXK1dZTM28yXFqxgq19OnmknjxiH7GfDksaL5Y3zDb6g
9L3bAGDAbiyOi7OEH0ST49sY3f4zQS85x0k0QlBLP3AwTvawvE3Ijd2DZz+muEfIcmJ7haTGoqof
TVrukRkYDwBfCXLzmzXGUXhwmLITlaJ07JRmHS0cTnY+TM5INGBjA2pswlacFptw/qWswLrGBnUy
mgLV8qhMSa41rMPozd/BLoRHankn7norPJQ4yeOSABBrqN1Y5JNAmTYegjTEyhFYxg5E0BYcuYhr
7dbHcRXPq+SFs3YMjiRJ4hCudXV0VL686zyLAIMxSG+LZnoxpIlIDmdy5E2TdWaoZ+4HulnnHI8T
SRq0B6xl0tzP/XiUmTK/lEqEjM0cnjochM7O2Dr7Icy7A4qF4cZUC7wHsRxLD54NaNolpqj24A8u
97NnighHp3dye/xIZj0FlCZyV2HN4wHRJm8WvOXoggp5CNTwXfWMvKXRrkfh5W1Ud+HnHiviAXmN
d60kvYM1Na+KeXg72sZz7jmHNskI3RjDOwR659roPs31ej+WyVm13gfZJ7dsuTSMEA9eg6J+gabz
KMLwAcv2ET+pjJuieg7NfD6uJU1KX4Vf0IoO8Qq7cBcawv3QVjnSz9b6soSCg5WRssln1lXl9WqH
sfVQjPJ6yfw5GlPvK+JfJBE1Xe3IhRq0T4Fwflzt9etC1I6H9uDQ+VU+xzrU6UeTdHiSI/ugPDu9
RCmGXCVvc/so1v3U5U8LaJ7TqLIbt/tgBtP4vguQ9GRD/s630+zkz2EZ9900PhlWz5R0ntQJPXF/
w2jNOOGM2m5zECeunftP3uA0x7zuvGA3ZHN/lZMBej/OTB9jRl/Zcmxn7JAYzLHYroLZmJpcoz9k
9fKwWZi/mZ6vjbMhKxo6URkOgQk4y5rtaxXUWypyx5T3TWX12+tZXVk8a5rOM40LkairlFC28ODP
pewjupoOcj+zqMQBoAgZRyXnoZNvI/27w2PgQ1wx2gIjVUjT1BtmSs4yzON+tJJPQVomL0OCfAAG
zMCIgaQwChGSE9DDWEFLWZSy7Mddy/ZCn2mbaeh2TD6NKQVCYnTUGFvENioCYpx4xj0GXaJvDcel
Ss59Y69I9jHvCsPNpz0p35Qdo8+2NA/4/RuxVSciX6bvxWrN94WnxY0pSizTKaTerJyTT4CgaXKn
ji8exOCqvef2VCLpOplfEFd57q3Kpq3kDRVw0syVw8eumTg64KkwjxI26xVne14aeqSxz1oK9J2r
4Zr5AoGQOXvqMzoQa5f3HP8iJ5Nv3H7dCLggyGVaxJAN0KWWMBbywU7OdubSFBgo8gMsyNeXSc3l
/SbpGHuN9+4KfQozm7Kajmiy66fLvxIGtfVgepT9rU+cIN6L9WTZpXweakUNtvQWXQKm6PfzyrEH
Acs261kb711YcjGJ2XORBKvucGkUy2phjLK0QFNK+saASclVydFDH42Qj4i+FcjxiuDTq93hIxRo
vkBe8IrsI+vbgcbLG9i04gksJr96U5p85nnpr+AdEU6wcN5djQznZjkSwA7vQgFw53s5Nb1w6VL2
kfsj0aHqojtyVNuUFmPl97upTOYyyle6IjQv2QxGlIKJ2Ye71plcIEkJZgbWv7kaSO1SSUq1gcS7
LOgoBut12KNNiEQVKloyXaIy5Jlre4A0Dnm36pR554rZvW6LlQnZ6tK8Ssh3v6w7I2/Ww1TwC9gr
uY1VT3ZhhqCKMmlB9cijQSYvBswImiKUWW+rcbsm1ciUTfCP/FbLXYu+5uzRpIyhVK+3FmqZY7u1
4oaxWW99ncz3l/CNFkrtwXNYAcrZFJnA83nBqvDepQjV9mGG/kFWLf38bQa9YLp+qk3+StkgcPab
7U9bxdUS3sKCFbaP1ZYX2qPtw27azQY5isJ1ih0ymfBIzLV4yAyO1zC6QShfGk/CsJKXFWvC9VSw
muyVFy0Wo32mldjYOx7n0wdlLeImFHNynrKkfU4yEyYJrkiJfI9b2LFHZpOzSs4J1I7n0h/wRHaQ
eSINuA95V18lAGURbvCwtTzaX0malpyAk7k5opCzbqhb+o8q3C5vbVbleWy5TIj0rYe5VPCqthvW
GkrSqdZaouTNeetlHKZzpXRyBQaRBTkGxgB8OY1Tk44c9pMCwhi6YzbfL6M7THEmckoPJb82OL3i
kGHecZhwAZvkOR+VSrjZF2alyahDOhZNeFSggPYpcoFbmxb4rSRl4FOPjNJFx7GK6yq1YAPaHpwG
wifh4FL5uDsyw8Kjabs0PxiLBjt3WwWzpDXnSpeWwoXpUAaKmnAOR1YJ0osvCL3lM6NIo42ZxXJP
tz34r5bq9DCa7I/wgZtj6qUGiVJJ8uIn8P1ROm1rsDc1K8+FFoFjd1N92Xo9GSjAdn7gU/YF5LB9
DzzqZBRtYnka2nz5vEyAnKKBA3lPK1Wm+4xjBU9GWXQ3YpiaO3zN4/scJtI3OTnJS94u4XlyUWtH
RMfN904+dwft+hq9VcMKmMIu+VR4Lnbtobd7ZHgtDe4dIpVW/2g//1fo8BuhA+iNbUry74UOH/Ph
a9sM+avoxz/+1j+FDt4/Ln44ZoXultCz0U7+cLKG1j9Q7vwsgviX0MEBgxTYDIrBkzhb8Dsf4592
VougInvri1MDbf7I/4h8+nrKj40rROEA3NWxeTXxJ0CSJcysBNbg/VDVXuJtXI7pp1Vr5F2qR+P9
0wX6izH/X73hNvViUOyaCDy2kcpPc/CSby0tWV8CkYOdmOb8uG42PQ9s9iklh+Y3Y6/Xo5MfX5CA
TK4XPtKAudfr9wsLbx1C5mLXfpt5z8Wmob6ocgd3yn8ztPjVZMS15KfG+4jzksHFr/NS+AhZOpbC
uabp6D7nPp5cyHFosAj8Qz7GVvXolwVCxU2R/vdX9S++JSsJrzQELvzCl5naT1d17spJm0bvXA8W
/jv4NDy54RFsIMkUvejfv5n41f7IF2UFIuhhkIlv5ddJ4tJWQ+3TVb+eW1zLaN0ZjURzYaL6nZSP
LK7Bb5SdAd2i69ZkDA+IvTaOPqAE/BtW8ztT4p+/PkDoLWYrAHZCJNAvs6JCZAj608S5Di5ZRWHd
bdazkv/6/3svqGU4zFnCLJxfFlRa2IQKaO0QAkgkxugQI+AraoJx0w///YV+PV7c1i61IO4/MEUm
S+tXS2uO7Bid3ehcT0n2MljE3qDU/k/to5c3wcl++V92qV9uSBx8DlSJyrkGfQFKO+BsGAUe8TUC
kfHvbN2/DBd/fCXywYTFaJlL+KtzlsmzmFZD2NeFlaMitjdXoKDtRIpXPxA9RAvo2aGKuLM3Zy2Z
V/YVYzz7B9Tr6/I/6ff2Lzahv1jBSBvY9sztVt3UlK93hcQSVpLQ4L1eAmWdbdI9jYjE+eBG0gGL
TZrT9b4srd6j4TFuAUDbzUttkh/ZQX5ntf+r1es4NsPu7ZfG7P/6w5RV6C11Kbl5twgjcxPkzg0m
SCTbv8sV+6u32gQAWIV5tPwJKLDIAC+B39nXOX2nhzBMuWWJ6WWrDzx+ib9fvq+3encTc5DN5W9B
U7zdn5YvfRI4vJ00zsw/kUIbkE8+NTaOnnXGkTU1mt3h799RvN6Ct7cEKuYDxPe4dZw/idZkSSQL
zv7wbCZYJhw6pkzm+gFSHDO5h3wAfre/yJ6zAJNQnnJL1QvSed9o0C0DYu4A3vD4u+wgPzwtesU2
QukFUXqXb/6Tv//I7kVu9vOgmx1rixt0t6S3S5z865+fqqZwlm3+M1RmfTDXbD20uWccUjGUI7Dd
GjkGo82iZ+LRFlJ7e8GLvYVbhf+BrFc5REmd8EMmbqq+rXatvi1QPD3CpDb5vsV0MtshgcVuQgGG
UF+kyJEv6u7Kw0JmFvy1frMM+Zq/txsKy76araL7pDZ7bpA69hm1CGhgjbD9DeBOTFNkXIePagUM
GzOb7sSJ2p6XJj2pZxgdkgkXV0gh7Sgdc5uU1abjPWi/X3uMx950HQq5yJmI2YqY10JMR6FBgg2V
2yfMiWo9GmiLvfPFhDyotMZw2AvypC7Re9hlu0++5PR8rkWuH5jBY46zlIGphQiA/LPQSCQiRk9e
WUYzRphHsDCsPVV6zyWEUwzrheU+axHiBBRye0JPONRq/GBf5ZpY9Iz87qH3iL5wZ4YHfp469EiH
cHIpIFweqBeblWGj6Ma8gbk5wY9h0059qJDFPDKZzI8XEsDFI3+R4qvV4vqEkMAeBnpcj9YEgUGG
Dr/TBUcpln74VtapZUWeTdIfVbigXNMEi41S828BaraviFDiVerNX7AqrhtkbPTnl6dcw5P6IAfA
PJGus744pQCx8Bb5/qbIZ8SPBbPRq3/OtoPJBUZwcRmahYXMH9vwsq9MA3/UxQnW5R2rpoTT+ex7
jGlpWxWSJj39lyaezIQ4nItm3sDIQ5yag0DnCDGID2O7flnvL/E6Xptx/7Vmqmm2b5l6mYHDd0dz
Fu8JzkUsGj7gW/kH9Vk0Nmt5Qtv+OJhIMwF5UVJR0y5vpNiATUr5UCx0xXM5wjyMkUGCkb5FMwDM
R+R41aeWEB8P2zBskqYPt1aR6N+l9mqd1nWGGm6lnvO5mabmfbDm+rbqJqSKRErS+TcwMB1Ebvbn
vGrBbwJ54lWqhd5ts7YIPOiyYUNa8zmibIQ3R0KsvkOvY17XTtaSNlKGdJncAUcj/s5YN6t+X4am
u4fFJmFHmRsGlzUJpM4cmrd4Y8glKpKxxhnRq5fAWWFwW/54F3ru2DAcLuB5jiU7U7xu9rXZhEaI
RkvLJ6+ic3QA/u0xcvOhNKumucHT3acHBEt0XsNR5jtRtM1xasf2LiwmMYNTH7LP6WY19gkP2Wbx
3hHDJRFwAJK6YzDM3ieSmdRBk0X2GVhpSyOoTjVoG2f93FRduQdYuMaDmPgZA5gmcVnOzedCFr7a
YaJnIGz2jPU5jA6EhGPu3vWwFPYdZ8AIlHJ9AACsto0Ju2NrJg8j3qYruB3yquizgfJ21N+TtJ33
GYPGtzps66e8nBjG64Y+QpMzZWA2QdB8/+wrMqnJvTJ2CZnY8Tj14lAz7Sr6wMBohzPbQdDb0kzt
gU3vtuiSVsXYMchviXo0s2m7/fJyvuGkG9DNE5pOArlfkZMkvJFThUysxjTD/ScH/IdDtltbbeyt
uh0/yNLrCM1rhsPolhpLnPm18of2KaxyCxWAAIRnJPZurPgcIYnIb3kqraTPs73feE6HzCE1+UV9
cAs3dJubN7Bt5Bs4QixqRlS+er74Iw2r4JYYNg/rvpWKwEhv2fwylr1gFmS3Vd/S3mRDatdQvNfm
ypI1kTs99j7hD/sAbTHA5zxjKq/azsQsj+cYQYVrtJ8SgRjkYu25pGmpgRZ2HIwucXiV5bQAzKrt
1cRCXuIP4NAlgOsSZWgs1FE0uTnCeRMOFbqn3Ppj5nYnZ3EA4FxctpKWCR/NnzCIlpiSPlkMTTnP
kTFF6Fa7BeUJhCv1Z7eACvmi6XtsHmqV7NEIM1EsnPk7E12wem5puB/JUQ+v+iwcTlWrmas0S5qj
sxJF9mWY1HOBf2zvOnmaxolm+3iqVmM03iExgW0bWFlwN2ELir0qL/fZPHcnWsrrQQcbcDxMaz8K
fWf+MLl9/YAX88Wq1qfFcsR9qSwcOsTcV7EVAv53Rml9Y+iTflvzfH6Xjj6/HHd8se/I2wvxXCIC
i6YsZ3rfVYN/Jtl6aJGaVrKOByL3dFyOQzqfELOZ107X6ttuUPaDty45sfZ1OYrI41cgfpp+wqPR
TEuzB7Rd3S5979yvgEjuO+GMD3UedHHfiuGrMxnVvmVc9qUNvelaeXLFepRYOYGmgU3+cAYmYh5R
AzA/qtguQvRaRR04Z7gMXxJpzO9mlZYAg0bzts9T93M5e2Ua9+SQ8qxsBB5vbad3Ie6g235xbebx
c8hkbUqHZyuf5XXtw2NocpdJsWcaSeSooe6Pgi3vYHCYJTFcWBbQSQec8SEDevTeK6U8TY29vpN5
ltyYeqSDmJktDdl0/jRWqhv3hJA6+XnJl8WN6Z4xVqR/GZR33oKT7xhm43CiyjVuCpLNPjCpsUAN
liNjPMvwzRIDWDDfzTzhX9DYDrejlNNx4UF43RRDXe1kiFI9agXlRcbmhk8DtvA2MsdVnk7+9Da1
phmkf5EwQ6ar2n8qF2VHG/bwBmwg26ht6pApuYSxtyP9YkwgqbfWrfL16kagYkSwDyrfYUMU8/eW
EWxyCLeJSyoxsjlOZ+3tyltPSOjyh6EW3YdR6OExqLSznxZw1WuxJbgRhxw5Jv6+aFkLf2fL2c+J
g1mzb4hFeA6prR2ZGGAkdw6X6s20Uqc0FV692IWqfm+Z/vKBxqhx6+YKakRuo5MKDLv3I5BX7qEb
fMJnWisPB6Qf8/qSVNnyUQa2+krSkv+NGYuXH0zpjUOMyxcRVNEyL4ATiEGR7PUu3/UZ2JYTwv4X
N1vSN0MBPyFa80Gd7XlhoNW2TbeDfw/F1YG1Q+5D098bFQZ4y/QSpobplvey6mVhTtL6WeSOjgqu
y5FwUcPxpyfwhMR3+ula3GOA880okU1134TVpjxhYAwhzeZXq2ggOadaztUyklmJTuIPPO5/e6G/
64W6poVE99/3Qh+/93XbqJ8tX/aPv/NHJ5TIdse3iSaGLcR89ILo+6MT6tv/cGzH34K92R4QU9v/
1wm9RLZTodM0oBVCofRzJxTwGg9nymbkKBsk8D8A+71utrgA6uFUYxyxbd6EyvWXPkggpnHNUWCd
AoyXJMdlQQR7145+uiZ/0Xn4pUB1Nksb3xESvk0rGOX462IvGZE02yS6nMYCPzeQiTCIgiVpPzeK
aTGaKsCvIIj7Xcv5/jftpO33eiWp3t6cfgcmOS6bz8V+/eZYnpCvEJ9IaRDiKvb7gTjiheKpJo/m
oRBAZpHbypCzc27vhlXn3xeDk+Xe6z17B22KMgAD91FNQRXbBCYTP0kUB6pjdsyiQhmqdC/3A0qR
WyKnkofaq+bd31/Av/wStPhC4XJ0ZiH9cgXN3pGUuGt46lYIpYuDSLY2aucqRz74obOhYieixPBt
EHwY4ymDxANPmyApBMmoiEJazWwYb9ohIOdigjsDD5rhI+lZV0s4wWaZAKDU+bidglcGWkjcf9co
ft2FcS+LAE4dBHJ6p4DOf2n4DAzvRo1W4ZSzl+96k5SPBVwKI6ji5e+v1i8tmB/vhEeB93Qxu/3a
bnMnMUD1550mcBInreiLKi/ozr2yu7emm/6uNfzLTXR5P1o+zCxY4lb4K0HREkQ110bF+6V5/5Yd
hXyaEVrE33+rv7h+G7mNSjLAyfInwGHYs10QVRSceovxQcBVk3aYn8rhdznzlz7gz70Z7hiXGQgb
07Yv/GlTKFJhhTNr8GSh2b5a/cHaZyFrRmt+OF3DdOEEiyijbVX5oCcAkbIii8VB4/FAGtV6Xbtu
97bXHtWrR8WPDDPnFD4Jez2lG26+JRv2mLM2P0wpjNrYRp9KqBES7p6DJG+ySMfai8DKT4PlDR9n
b81Pf3817Qvt7tW3pNuC4RWmA5bbbSL0el/YcMcAXdCMzYWNpor66wqA0HBldH15aEum+gCxXpaq
N7Z4JOje2i9OpJ2Ph0lIdUDD0t/JMp8pThlfo/M2PwriH+/cUDuf/bmuP7odYc1itt4JOmukusyV
iHsvqd5bZolwG1z0Tk3Z8gHiFUlyaa6PJbnQxZR+ZjsrT55y3ft0tNzTlNOB4+kCjkYmHJ/IUzrh
+CbW1s3rPYkY4jjYbfCeGUtxVRhwbhrRZSoi8vQrY3mP6L4yvXLkOt3LSszgz1bfgfBH+2JKPHcv
J8uJPQe7C3SotoqVSNtT2bfloxrIIOsaNKMwj+7dUOpvqJMGknEzJtalso9u4hRkInuZFa+l9HaG
vzpv3cw238txqD/6aVa+SJG1S1SaISmCYZ8BT5hbtGdtky1PPk2FnV9bjI3CsLoqdLHcrF3o3VPt
BzsV5E0Y2XWOSEk13RdUWuABumEPp4wmXFJ+N0ojuDWaytgBKgNd7/dnEkn41J7oiMALr5bJaO7a
RCao2ZpZkeHbG5HhN0dTFjfb9dy1TKZj0haNCInYEIna/sRwkJKYevoKakBNq0vqD0ZFUcSfmusd
jFE4M3rKrL3J8yUGtGUfwUAHV+Pq2M994g1vCq5Tc4WyE2Uhavv3pXNoMsmKmKoyAlxjP7dd3x7K
DA2fLZegjlqr6T/QIB7jtlxmfhqg1nRp0tOsR3T+9lsrwRbC3jZdKYpBEGibeL/PrG9QLIDZeEK+
1X11myduFkPwJ9AsrUZgAyXM6xqMOs6Qs7SopPE9wKILl/RdU+DAS73P2aLNU6aU+ZCIVe+L3kMl
Wj5bddPsoKoUsVF49D7RWR3svhc3/jLOZ/LNwqid1iW+gNnGojMiRZ+MnEYjY4saiTCvG0o64lOv
DSSLx3JY6PEQbfgJfqjmwyzJIbNKcuVLBNxoDLqJxTXN/o7HUHnI08DDtTLn+Q5VnXXsh8G4BgPW
3mDaM2OKMv2MCNCEIj74IP0xwFC80z64X2m0sE0NorvWWjjUOkt1EnZunvyW28UzyIMqcTtZCIb2
4N/wM/hZF60qSxAOFc3XfnLSpyIR4zfPH/STPfXzGfruRCJyqKIplc5NbxpQzQlvi8lwnq5Gwf1l
6FJGY6UxGaBt8wdx1eShv0ntOwwVtZkiDTXW5YMzmc2BWU0GJyyVe6dqnRjqVEJyJMG+wuuam3yj
qDVUO5Hb8o9FM5Zojz1oEaEkwZgZmT4aHqGF3WDiUSsm/TKpfm7vTJ1WED04FKz0pAApWSSTYefa
5SlPDmA+WzbaKOFYztaeb9yffQCHewxn5Q64n75elTl8XMPZuUeaad7p3OzInk6UR4qPbKfvBF/M
uxDF+YkGaf8185f0AE3If7wg8xvXRzJvcr6g/5zd0yzjdDJx5EP5ZkZeCuF4l9CC6aJRECKCTKt8
qFKneyIuu6SXts67/EJ+c6VGey7oyzsdtJI0HB8hhVRXHe3Gbxe1V1WQyFz0fMlOcvzyKjxFa+jw
ubQt72w6bmd/YCaCddcXsWfjE6E7SG5aP/HNaRHdh2Y979zRtvYdzeq9Q0rc/epLSmQABvwdK6yG
jwCL3HjsobfM5Riax2kiNzshUJLoPtunDavKwt3bYebeCzYGsIrUojSuVsYMHopzf0zOnFWw0CRe
GHGO7M8TvTjaQZl+4Qw8Peb4rPY0h7pzoSsC2jjbWDQS6u6YNIZ7rfrWeNC8QXaJro9wtNJGdnXm
fp4TF30xeRzqwfRhyAB2Hx960+p2vZ+JJ5jB10MpiqM/de2RKcc6R5wX7Wt3MY9ol8ZY9KN9N9md
c5CUjnBaLC+eqgJCPRLefduQFJoYVjwrBZy2JOqbCD/sVE04Ab9Lp2MvJ50dufwwSXon6LKbfqi7
idXskuO9NISGoEEyd71tka8dJjV9BThXAwPzwHKyu2W2UO/9mHX+t2D9TcGKYZ1z9b+vV/+3ggz5
mlBy+Rt/VKsc7MgisjgPbT5xB5XDP3U7wkeBw/mTKoqqkVSx8F/FKiUuLFv+dQi0OAM5T/yrWHX5
IxfVC6ZWykuTU+t/Uqxu8Uk/lXLbxxGW2AgPAmcwUqHt4P+T4CPwJ12j/3S+Z5hdihdQ9Ilt7ubZ
Mjq1Uwp7wSOQ41wdBm1XtB0H7bpfl6SSzY1o2UStgzQQhEZlhwAOEWmYbIH1QUVI4YferI1CxxRa
3uoRRbGkkxFP9tRtyUjVqFd7B19tsO6pMSV9oNSkgfghUxs1sAK8BhbaYQJn8QwZ0TUcyTHG7x4t
eeGGaN/mhYcexsZikCAYh4zb+ndj4K2A+r8DrcMkldID+gX/IfjsT4SPdvAE2+PqfpfDPEFKqlM/
46jRO7Zd3oYpRicjXgR+kJfO63P93qHPwEezsrHn+zRiTpcPP62tNz/e+2e6yaWme/WRfJ+SFYhz
QHcjAN/w+gfzmbLV7dCn30RlQuTAapGW59UZGWccMwPDH/ptPwcDylYigxEm8AL5Nip4ypTP7TJo
HhL+SJf5jLpzMLP9mqTruFurhZ9irxjFro8ZR2pj2XtgNL27dS0Rd+3r0BlIzzRTmozhb5oZr6s9
+jVcZBdCBLN9EaJj2/oNPy3CJCvpWNPY/27OcGLfuU1utA91lbTrm7+/etxRP/+evJHNNg+7wN0I
73+2pFe4HlYmH9/o3VjC3ktQf47Jo5s7fLH9wrknqMSl5ag9tzJULEXqTw9l7ja/K6hfl57bVyao
gmQ0gTudCv7XFoqwU22GS+F9m4ag9+54LhdK0bQ3ALOfoTWurvebi+wFv76ngBNBUCZXIMQGTzX6
+jK76Sz7euzbL1mQI8mKikCr9c3gLX1A7olmvDodw4HR750BwabVu6FBvo3H29OaFRCWTqq/jsFa
Fy/eAJlmu6fhLM6UoQ61849VxbmeS+YuHC6fBlJuEoa9tV/y5SZGX5I2eK889pYGAY9KOEQn27oz
hizjDS29VMHbJJNq+bTqbV+MumVN4HJC17FZubDAva44WE7nap66JAkx0/Wcov7uzaQcCqK8kmF9
E6xJ6D41MPbWx35FEsCcSOKUxGNAou4TAiVgFfvRW6r1ceW8Mb2f+s6bHoaC/2eOSFmduCQZhMOl
5fxGIgeB5fY2iYkLWxoskCTgNai3CKTK0gOcbK9xI5K8Lf5Nj7hF/pWcU27tkTq7ZOqtmv2aO1R3
2NlUPPROkVISYCydsELO4dbltuft3YxUS+8OKF7efUIs7U6nhKF4fls5YP+Os+C0f511hh7P4zIu
oYyXIOm5dAT0YkQPJiwomLATtW0EXcBIsz/JoFODFbdOI8vy9McXcAuV8VWRpYdbMJWZGFxQFymx
vh6WdEuprGofPscep7bH/0BS03VBUlzJ1P+P1+hkh4TDpjjKs5gl1+Im5YTocg1GO9e89SJRdpwJ
jOI7pT+uKsHdM1fODSS0hdM8q6w8N+S6GRXO0HB7R9vweRRpTnZcFql9Jls7kZLcQdBUqLgV7ZIz
FJ5o3KD1Q6Pc1vcPhb2lf0QSoy22vakJmUKSOg/Pl2bIQmH6wjxbJP5BpQrx6NnAzk/Scb1MXMN2
QS1QEaWLMDB5F1SoM4sdWfN0h7BxNBPAPExr2wOpEIvNn2l6DtuXKELw4LednUxNum+NfvvdfWvK
+XT9Ciq33rcIxPgkPadB/ikNmJlMGEcmcv92rW4dboWxsMlL4pdXWA+i3moVH0nz7fk/57HYPosT
ZkQxx57vcwtq1G2sFHv1POc0ecS/5ZTLOSKlGJ6DScNkQEDnPpFOzj/Eoa19PlbhkAZXYYWlfHwZ
l3nkcq4BaGiyOnmuOadCLUzVDqnpbUt0Oy9M72XQ8N/MnypuYL/ASnHH8xAA4h7LIve57vW6bR4Z
NOrnAqLYdkvTFOZFe9MhdRmSKw9DpsZS2NN7Py8trgKTGTno07SYQ1HfTugweMGuH1AixSsPmG1V
23mOC0yW4Src0xJU7gJp33xPQZCH0w5alb/tTFlFxO+BSeGBujmVNi4RnTrmjrWN7CSdsBO8cbVe
WP7BENBs3If1jAhgBzmi9eAWuNNWyZtYM80Ye7Kd37cCWOwQcQDZfmEG+doUB4t7mYzRfECbioyh
7+C1xEtF7Txfl8ng8xkRH/LbdE4AhPO5GeCwVdAxCp227+hVJQ4dk6ENlwB7ee7M1Z6NmO1mzyCt
wJaayrENQ8o3LyDWD4S6yk6JXYxuitOxZJv1vq4Ee8OfZbPVfOewQG1HLHWfLVmW3mxOUeETrhoO
2+LJi21L8dWsO3kodbKty81zzhpK7Jxowut2SyCSh84ioZ2wBNdmqxw6OO9ofUt+jyZaALaO3R1i
Dostt2i6kV+pEYjJqWF0PfNa5IVsuyDSBTrekZnLRE0HU8mZf5NzWcefKRIo2ZdKc6qXtwBet8dc
hhyC7UliXuT6qcxgd5i4itwLWMwHFtTU9TYEbX79TrvXuE1Z6UE1rHzwbDFG3toR1LvywHbJ42jS
0m/tXc2AlTsvcKqei6DU2LEcF8bmLZTboNfsDzrIDOd+MZkvMMDUILVPsiOEJduTjkC+wlpbPOEi
05hL/ZV2HkesPw5X7PrbxZnbzm7puvTsquE+zYrZNq7GYoXyBJXPhm+FMybZO1g/undJt/Dl8zar
2O231CM+sV/MBleJNACfG7sgp5bFE+TE7ULN/7Gs6c1tfwbH3mbhrvmynQa8lgadjAcj4KElCFjn
GsN3Cfs5wkOTgg3wjTTnznUQ1PgimjOo93cWVIuCOX2JkAolm9DeZ3jhVf/OrJfqfWhZIVmXfY9M
6+wRJQgitp1G+VXWPGOuezx3zm3CJ7Vjavy8+5yz52JhIqiw+uYU1do/1K1X988zbW18UXilAe2S
qwZ323Zn2USMdEJyADrGdgBJ59klWw67arK0EXCdWtyA20ZHkQRqEnHHb9SzyS9BtxY8hafeWWLI
yROXZlp7uCVMfQl+DCMEzVp9Ci0xOu88jEQOiYnQk0nyCytLJ20k4fqLhHWapOpKZTzJqtjHt7Wu
uzCvVrOHQLQCogWNkIyRp8pbchaEPEyhn9o7twYX8j4trKzlwecp/zzAj8KH7yhLxDS/QnqFGHaH
cIcozy+wK+OVjlO3Sk++Zatd15rzep2EpPscxSwy65DIRaA9UmjMcrqstmu8kWVbOx/IOe2Lltap
r2W3DyHQLO8XKDzq1kCNZTzAqRjWR/X/2DuP5riRNA3/lY29owNAwh72Up7eiKREXRCUKMEmTMLj
1++TpDpGLPWQMfe5aEZqsoBK+5nXIPVarFzleep+8QHjV6ui83w8AIPJxR2AFhRS8Rsck4t8H6Ud
2rVL5QQSGEReCTjKPl6CTfDNkllQPif4Gg7TJvcgZf4IM5c+0rqHUeQDCIJbSRkjKhtX8wpNF1vR
CO8s75JWoJHn+8GrbSj0P5KgBF9orasgx9t+Y7ndvHhbMIfC0BYWfJnsuqqkx740EZzxrFvkzCvq
b2OV6gu1lkLW7v04u3XtbOCjqwiZfBPP5hxvSd8lGovMkQ2jqKOy/lFizYiglKDFxbUScpCwuZtA
h4+KC5ztkDiePuHoQuoIMzXmyIp2VH/GuNBfrB6Ds6WJDUJSN2kGrh43kRm3DBjA2EZbwPf5TIBY
lY7+0IrV7+5n4NfJLzHZLsJ938jU++JiBsurWDWisahZGh0JVN03Lsek27b2cIc6J6O0d2yXKHg0
id2MdTiPNWdZhp4Qh15kjNHIHS6Rod0OVukt4hA6dkFIVNokD8aJ7KXJFyUuQTt/7bpS6QNRFjZ3
9AhjnNAEu5yOAapLX9+cwCAn3lTFmrwPAGPxq+XT4GhVoXWF+Q4fZmZVxF5CV0nx/m2Y6XMyd1AP
AZOk6bHVpozq1lJPoQp1vBpGA6eN3fXK+wbUqayQkIaffx5X2cC12NW1jqXK2tchSxJ2eoww7PM6
6yeqNZgebejQDD3gaUCZ8NUpA06MbWgiNy4vOMNhoG8xHCWH9fAA55b6dYPB82Ac8wq1pW7thdBS
S2p7kcFAgnnJwmo/p5Kko8CajMA14F7hDfrWQJnn8PdILA1baNXXYiEixUOMT6wQCJTOJrfKOcB+
wCj0UkyB95OzyClyv9Cd5mVep5EL07IePMTYuzvYzMjH7wQgJuaoB15mqcsS5/ExuV7grETh45CD
5MwPdCRiOZ7AW/KGu8WHwYBiwVLrjFqpfkiTk9osdVBhdpBWwejbc8qlGHgNi0VShLCmdTqCf+w2
DjrYBM52pKP5oaI/5h7MOm6H4Jois12l5x4YFt5nXvAjbbdCUO6nF5UTZN6h6aa3SCMbncWjw8UP
RPhAE6hZhUF42Fh6gYkIi2Z739g+DZBN/Hq7JsMQc2n21UigukYFiSjQE0rHm/R9WY9RkWVE1iYj
kP2MFr/kL/y7/mmiErVcjwUURohZCe9lr5PE16EhJs6xDuZFrd/2dXvkncu8FP1YMalA7EUnz8Uk
aNkNwUj3FwigD3RpLRvWQoHuBTFBtnOUo9duUdoIusjRioduExdtYPWnfIAUBLVjNTO3vYFMDhjA
RfEVzHpIl4estXRoHeLSMdwCGErV06CAl8sVQHkkmdD5GB1x7oxWlyPjhWdu9hPFap0Egg0kYwPL
qCekdULCSxJP5rmb3WU+E6NN/gROf55AiNmiyZ+GxJoYlOg18mljcyDWaOFv823TKcwJDH5lxPC8
QwKDKY5pcCGD0gj+FpOzqC3OPMb0XQx9s1ybxgBTHFuZhHRkSFTcGgd4NqK/85Cf6w3aVBbjbySh
TrrxsNJRmJosneT7odKBfAyScbiLkKth1jpJlQpYYWAsoI7V4JbEKKFbLQ+Muj5xF6sh5z1pwLON
rc4fWE6ey+OpVyD5wsfWnMneofbdqcMs2p9Y+gfA9AmpSh4QR71uPSTIdGhVGDLEHHluYH81dGuH
Vi+Mcqx5TaCus16SKBeO5ZXpTFPZMCCLzrjd0OgYSMy79RYnW47rCw/qjXb6GrN4H9GP6m9Qel/a
E/CqVnEIWpucgovNcIgPQLoOHJ30QCs+JnQ6xVmVNaWORO3S5hQHn/2SNSJESx/jBBEDi0OKgL/3
1m0/cjpvw3jQWeBrYgHvXL90tSBjGK/ZZTMMgC5YyHidIchY6CRJJqt/TMqSKU2tXr96jxtdLLdT
0kddR9e1dHB9qCmO8IPLzIqCPaEPrI5pNJL1lLdpiqCIkbYL5c5ElPmTqCadoaMqo0+OcGp1oIsH
t16V71fM/qFmBOwDyiNVasRbdSn899JcgLrAiLrW+G2KOp1nDiDxE3djOHNTgO/pFd/3g0ceVwMp
U2Ec5+Ie5yDkSuD09pFzXZaB2XndN9cbdUn6dWkUgWFwdb3/7f58lA/kAXyJroJr/c23j7KxC6Of
J6pv4En1+VR5jsB5auKw5ux6/1kvldnfKrc+YrvCBx0B10+ANjgutbemhcRnkYtvk5C4kJ31ibRZ
iW7nIJy3TuDMchcuXsWh0WPH01JEGYoGhBRtL/JuqhC6XBuS8uqz5/Vk/lXQRQ9Hpwil70IRP/e9
ZuRv77/+H0MlhA1WJrRQ1rYs+xjWNqkIT7/Rd5+61Jp4Dy4onRZyuZJC/WePMuE2wSxzGa2XauXR
mjOo9fgAQ8X3oqedP5Or13rqOWkirvr3n/UW2KTrsLRYHGaG0jxQuuPFZqdIANapaz9PVtymzg9S
KRSGTiJE97LTGBYIJ08xe3q3vf/g4/F8IWJ6BK4m0s+0h46WHoifVuEh0X6fTGBlC6pHRTDcRrah
d/T7j7KONzEbGJIexFZYmbSZzKMBzarKomNsy+e2cFzpH1LoP/eF3dFNWXcgdOL6agoXVDnOq1SV
nrl1h4RyQIbIAOcbgozRhDkHXvXhTZaBcAJbMCAVdZ7jwhfMB45Ghxjk/Zf+Y2KAYrohyHRmx/yT
UG4heQ0PyCy/YwSpeAt8g4k0BmsmcvmVVkRywFXjo8H6c2LAA3o2UZ1lQzg8brBEWj++Vq7xbXEN
C5JK6LuU86gf1IlCYEsUZD8HCvq5/4Rnqb46G6V0LELOSCCDcOfIFYbnydJ9i0srC3cCL5H5zMWc
5sND5XhmCVQAxNMKohMEy/94FZFxpHZJrvEUJoHo50M0Y3j4YC2+vk28KB4/PJ2PWygIkVhADSGn
s0ftPxivqmlFELMrnmon0eu2m7iXrvuUIOg2tnGcmjdRSGpM3D3z9x+F7ZvqisBAuq8N6X9Lvj2e
KLqmQG05IWiTIsZ/fHiPZTcNYxiLr5TvqLLgnUJBNyghSSYfrInjUUYV2eTbahVh4HvieEnk5FCB
sDLra19Wfn7R1YWuYqUZRY0DgCWdYL2/+DVQ7verwsb2mA4NTV6MBViJ+qv/1hDrsmDh3p3VV1XS
J0q2SkQ6IiB+mJnXSDUFJkZJil9MuPZzN4l/KXX8+7H9Y3A9znuIpPCIUZtwhf32DSioJIVV++XX
BvRKXG7pZS05WmZlEmb71wh/UInOInFR16HOr/6RgVIBmbj0upIQanwdHJlBrqC06xozF16FLAWJ
9VLAmBGE3CPWg5sALb5gXKVW3nHU+qOr48oBC9eh2iSRyR2J0xk9dPQ0Uc2cv1sj0sqICedUs7do
qaR2d5LSWg4WBKpQkCRiG6AVzZiAYY9IxwUeInPm1SlpANgxHQ3Xtap5Lf+1l9WSBXPLwNbW+QW+
HC/JkW3pvDLKEMPVGsXxyPgHcaYo4tvDBE/nLClzOhjvz/8fCw5gMvYV4FJD+GJ/LO2eJDwxMEV7
rJCi5WiN605XC8Kl08Hyr+7O+4/U982bJUdUEr6cfGBVA/8Pmw4f/9qmDcbHMPZ0Ob5PQy+/QIrE
zo1Ls0U4EDJOEfbUGyaYLkwEtGH9Nu+/xvE3h7kM2dvCy5WvTeP96KoqQWmNzGXymFd0Ck5TqTp5
b+ejrc7ttvtA0+N4kQvyGG327Xioo4D+P1rknmVixFq37dehwWPrwc18vSwgqOok5P3vZR9taT4d
pDaGHchKEEKJ4zs4HiezKMrBvi9x3Ao2EZX+Lt6hApFSFErRfWUv0PCW/I9PbZN1ObnYmFHXcBEi
B8xIPntGdUD37+tRFNw71uLonDaNuRKB2rErYD8nugI8GbpiFnQgyJKTIfB0RyWXNBLvBjQT+HJG
7hK2xTHUY46VAX9hChAW3u7NiWFwjhaIuYFo/MCw4Gi8GYOQagdobe518Wcc4sIrD6XXT/e9zHQQ
G1V09ZDiGiuKTO+Ptzhaz3pOObwwRtAeP5yjRziJsappP1hOdBc41cuzepcuQz40OivuOeo5gl57
7wUgHUahnFC5Qu/19W9q6HUxzRhNBtclTOHqpmxSc9LZEvPf8cTIs95Yzlu2KiC+tJb5uJ9FT21h
m2MhQH1l4VAbdr965DRWdb8VYWybvbME5sJ/GyqpJ3xxkcX7YrzEnKDQ9IMheul2iOEmeiYziwAf
+XPY0cx7p1Ldg/nVbWZHsnYz2oPce1FEQRDitiVHqoXvD2nwdvp838eexTaBsUNxgbBtHu3Nhm8w
BGYdfS8G4X/JFMzpnQ2S4ODlQe3QDku6HWTx8GwO0iLa1E5UHqSdFw+A+AGrl0GPZFgLijM0MAdY
ga9r7iNKPS3s0RaF5iQYbGLT7EbSlf6uqaAQ6hVekmvant7V4EbVWWKm7QU3UrJot1jwuAb6gZ8X
orPhFAVi1J5rJE8dXJrd/MFYUC9GAXNKxnUbqmuHWwlPYLwr0XFTw6ar52ZLpFk8JETGOMbZNNSy
uqPyXeUj3e7OKr6Si7hn8/RiJLg0pgWyWPl3NvfzU51UlovOu5dQ7Yvbdm9DxrkbfdE/IKeNUGlg
Gk65MShxP4JyxHrVqNUnz2lbwqKoP2RTn+3oqM1oZdJandbTGELd7B2JOlpZbbsxhEYcJFn2uUe1
hgZThP50N6rqbsl6qseOZUBfNQxnjf3FjdPhD2DPXfsVjrBzn/Ruv04mT56h6pZunXROP9KceHNn
sCBI0jjMXEIFLS71wgf4LUypqJT6jRuXz8zXdI0TdZlvAYxCdvGU6d1/sPz+4WE+QDl9zRPDHUck
EYLclK/C8hnNJAlGaDLvrJJWxErKHOU80VMqiSt5Qzfdzz+Ix/5Y+S9fE6wO3U0O8ePUHQk6eE6O
ks9NWVLjQXsE/QApLIBv73/Jl0/61zX8MqTIyIDRwS9HS7kc7bHJBiw6kIE+W8CEB2IerotVRW0g
3WC47d+W6MRp/RGjXpmFi3KyGOoUzkHqepsJb1sE99LOu1KeCk9Lo/HvuW8hulOC7x6kJHixu1Ki
FtdZzg2SPeVPnI6C85JOxs1gz/bnMKOks7KQ+6zXcR5fCTQ4ErD90qPQmdO2hgREDVqF83NWobac
Nb1CpNM1n8ypwySR+fsgFjqS+mFIdBhAGMS4oPVjH4cEluG3kxPMy7PT68FPUpHsRZUVh2mZnkor
LB6FEU6b3o7pDzYoHaGpPLvl5v2ZcfXIv5kZX4M1NXQKpiDX+NGFYuWRpNOW+M9xT4+NyrPKV1Pg
+uGmpaHYbQZHTgcMFqZ+lRq1pDFayQOCfeEFFvJDtyr82LharNg5iGWmxqyi8KtMaT2tVW5cpHPp
n89i3pdCijvaBcVVZTBpK48e8rxeuokOZVa10dqvQ/+WsHGodiM6y7OXpZfCx1ISyQT3kMZVfSXd
rujwPmr7b3OR9PdI6uQ3yF5yQXiTNe6E3Y39SkDQvhuLMIH10eAPDW8GLeKhi+mW+ehX0zPkTvzk
uEZwniaz8xmaCzwT+nPu9MGyf5vsM8WMrUMhDoE1sln/WDuqp3vCvPsRlr+Oe2k0InuoUzHj0tiU
5qU1kkt88ETrLfD15ZHEBqQ4li2A4B2bjQGTL5Tk6vyB6ASWCbB+0UXtZ+OMmn62o2fXcdK7sXqu
0el6SOOpO0/T0LwxhlDs3l9aL/Y+b5cWoSbH5ws51bOOwYBqRJ81iMvyRzzRiyNvr6KvlVqSYdPI
2V01pp1TDJQV9AvsTJN5kyWee0iAw24oKYYh3uUGRh+q8vwvaQfYnS4J3abSaDE+8dL2ADUGk44+
QTTB9WNnhVKEPa5ahEmQQq9N2a+UFVTrAL/Wem8wLLss74yL0MO3C9VI3zh/kduZ0e+AO4Ij7S4e
ub3XlZXm5xJEBBElOvvxqmiKEvQVzgDbAXzAgzuQmhKLtJ86qEIniSyEWikfZBkrkc7q2qNAfg3p
rgSdQJ1qovlPC7aDARSvW2BCF2MdtvDi0toDVxvYlXWidUnU3sSG9DMg/vRLDwXpp5OiAwa5PkNG
/v3Z+fP88R3yBBDXlKE0efjoSBY2oAHIQzlKnNQHkN4Js28AomYa7EwZOZX/vLR9dIKu8Ld5yHB+
mb2hlh+9xj8sWDQNCZsFyNU/3fEAFbayRaLmBzYYyDC/TIi39ElxnuIGg97TEN41qux3yLFE2zqM
psckUEPNOkFY44Mx+YcNqznUUICRqDb/QOwush+HCqfpH7Fvep8az2pv7cJAOZ0eyBn3Yn/Zo9R7
WjulPIErbF10iPHTjSq66Tr1kwBAcjkO56nRi58g5xt3FeD2/emDt3ybA+g9Du1SYLBng5kmqdT/
/bf4ZJDRLMPG6X/QIGrieyILt11TdJ9XfWsOl7Y35LRf28ULcBh0q5/4r/hoq0R2Pe6FX7UPbljE
5ybq2ve2crB76rkFdipTBcMdZ/7aaUBGvE70f3kWd3P94//+9+lZQsJEsUGl37vfSf7gkcVv87t5
6p7+50fZpd18+ST5RXgW357kEdFC/8rfAqkOxq0Uix3KE2hYUj75m2hhBAGKAZzzutmDPs6LWuDf
TrDIApg+tzRdLsejM0ve/ksgVZh/2bYuirg4srm6hv6fMC3ehpBArqmX0mSgc2JTikdB9O1azKza
dlrhGAeUkp2M4iFSvz2Y+g925tv6yetjtAwcWS/trD/Ks4vVqnlYBuPQLo4FfkLOG9GbwZUcAaN+
cCS9PQRenkWVBj6zdnb1kGF8+5WYiwwpMxFpK6DwCmnw4QLgvTh1FrKB2pMfXtogdt8EYfqRlLvZ
1ARi6A7igvr2kfRC3cbyVXTAWDeCmYUJ+nmlABWsuAErxF04nR9ohAh7Z/bxAJILwbt571UjpgSk
Kv3aHQYHQ4EJMn6tzb3BqsKpnkNlfiunVJ03ACj3TQSxclyguXHWYnUWTeUpwnHypkBkcY9uXXdv
dV55Gg4KCGIk08to7tJLJ6bQuRExPohzY+LMHrfzFuy1vLENZwFoBfggIY94gFV2YfZzuh39olz3
dYHKOjLwFyggesE6yUR/Y7e9/Im9QXVFqzu7tzG2grkYFTsXMxUtUjaAzijHg1lFdCAWEBzBgOiN
Ati6tZKpBh4m2jPf6qpLoIojWXAunswiNg6YHzabRRnjoaHZFa/I2CNvHRh29b0NYOZ6i0ZqVkvS
r8xmxIFJBc6ONrZ6THPkevDzSvC6AlAzY9jVPoaU6ecW87o62/mkaOV6jFjna/RXTJIUIctvsGHq
Rwg9wecszO3bMDbDZD2abficBW2draxQ+eUKGyoYREaWYrtOnQFKLQHrtzwpAhfLFae4MoshqNee
E1fnfj/2ZzM3P0Z7S7HOo1RtbLtg7WUAiFcOFKGrVKCYPqVY/UzZfJtAgN62IF4epV8Bv5zMDokG
D/GdCQTjs5Iy2Sdl8n1WWb2JUb48w/y2r0HuABLbtgwOJOviooEh9RnyiHEjynQ5x+OHSkY7WTnX
/2AamxyEpInjnvHJ8VL3JEIK4DCMJdCcmVAJicT+GXZH9y23UFzcLvHilVsDNYlThqCl0u19b7oC
kMMIuEjLr09+8WwKtMe1yGhkdHC+8/g+bBHMb1AS3xs1bh94Ak7rdhpLxHcccx1G6DX5dXeWoeSL
BXIXz4COg+wJbVgw34b/FcyP2CSoo28nmsW30VjY517SXrvTOFrAWH2Hpc3umYDmXIgc5QBUH39M
0gdnrYzuIrfL5VundeuZWfdbPeX5VRpCuc+XrrvFkxRodhfcNk2Ybnt3+YKnjLi0F7jd9ry0lxDa
ly26T+Mn7HX6dWyFw26Wzk05wm5Ha40qUB6APFp1aHzN30sP2Di+qj0lD48aZQZPPIB0vVrabNjk
sczdLcr0mA3NRYO/RgDCezqhDAQ2eJ3EDRKRkWGglZi3o0OQOtl9O8YMRNVs8CZtsztHZUGMyKGV
TTCl7/wZHEuID3CsCaEqXxsRHKCV25iIYXZBWe7HYSHWngwnDnb+nNvuCRJRrblB03IOdi2wmcZZ
4c3h7eJ8XOLbIXf5SVGnQ3zpNQqfikqqcryOPQNKwKrGAy05C9Fewi+2jUb30a6BzWcrs4wMeu1q
Cu2HrB8NRJYmzshnn5IWHaAu6YzTfK7jXn2ivosL5B4tyvzRcOv8UzhI4JKmzp0q6SN5AMr9wY9m
jLciYUczQl64I7rTgJz8uAxkhC6gob3bCXE62hFq8shlHWxpEPRO+ZzOG6nF4cDExpDoG/3PfuRF
n0DGjt89u4QDjVdCjUMbrF4Mjngu/mPkcH3hnNStWZ6m1Le2newXzLSaiEidlk911jgOmm8+gLqd
hXgs+jBpuXVrBLHK1sSUzZgTyQyQLk+K/9d0RvlpQdgxwxzN6OvNMIzyZhJO/cOhdnPOi6TxLtfK
c/UcymXTe/hKbxWA/5PALMKrwk29J5hgvJ8oBmsH8FzegPemapSTAeEiRJcIvJHRyZ92oIoHYRK1
FjkK4BvIT9WnWCbUIVrCCJS0KjBt7Nti8xLb/DcK/CAK1PBGLvV/T7e9rFSX/M/6SWEOVL6JBn/9
6t8qUe5fFIvotoB68G3b0w2AXypRgfOXZnU6ALr1inB07+DvcND7Cx9uxPI5CkkHbI/f+jscFH/x
o5buyIXEH+hO/SfhIMLbx6EMBS1UrOi0aS4etL63oQwKpI0EBJIdpi5AupQydOJvljaGhW4PKoQZ
MtRc6IHpJ95JZENrOSlRIYc/QrZZru3RA+MtFhSftxBx4+ZgFBXXxgoROYmbViJaInE3OMfsg+1X
ddZl5bIRO0e7scxalreo0eqFNkZZYczAVqKtyEXDJg/OUbSrHss2qB9rrji1HTjR6tVYYksHmN15
KtVgXcpQGlw5JVz+VV/ZQb23Ac+obZsb+ldEhGhjnqXztd10qM/S6LRXY629UuB4TLfx5IYPEjTR
rcpQCo5QBYlWop58dRXbuBKfomZaBafYl6OuS3J+V5RSqw4nYICtUitO1xhZXs/klz1KiCFf41UH
17Zj1IgtYd2ZIBGffBstu4pq2kEMibh/EY0uRaUOrTCBo3sSCcpYN/FXNViYB+QF+OimSWukR8OM
qn4dLu1zplJGoHQq5J5btKdF1OjrWSh+zJksenOVixRwzO9hV8ULuC8aycBgp2tTxPZdFiV4jvbC
o3XhhRPf2sl5ZpCL+rHITL57WLjLsOpHU1x6TirPSpp6lyI3svMA/0LEbtLpIovS4QQCSo4Ihs/v
+IYez1cxTzlJZHdZ1/zL64QWoOnVJk6j8MHu9QzTUSc0N5e2/YIQ3jydj3WELPmU26idmG2RpzeG
tPkK1ay9evHN5M+gRa127RY94zJmBu8IBwcL2XF2DHftG35MMNJJqIp1LhPzswKFL3YESkZFKWj5
iag+82bCyXsAi3/bLa2LJlbiIceqVY4Xu81u/AFV89WLimhtSfuudFiA+pJj1UoWej45iB5y0/FJ
JOj86ScR75boRdQRIV0nKEuj6NoNrAZbtcxsKDpfbMPZFSfkKr1zUQDwb8CPtyw+w4YgFg02W88f
6+6Z5tcYb+EuoS4M0hdFYVQ1ISTUlO1WQUjQBpW6xiG2JIZFCRPFQLkdWKLeytLmAFUNJujgZ4hA
GtmA+ioCGbx3uvSIHsscQXZhxpRPiXFYMYigtM/T5PDIErxoDDmWdTKHqIz1eoroHIoT6fYo2Vst
H9Y1JmB8uiNb3yFzmYch3NaOVT9qb/mHlyWcGj7jm6O+XunNnulFGnnDdDuKniEZKY9fTzFbQS42
ctNJRitMq289gANh4DqIXOggFwELpvfN6qwotdjUy5aACQfOIwUggLEwWirEQeIktdLmEW1IdWhc
6EJEZp515+A792Bk5mCs6jZDsJG6C26GCrVYCEwzctR2kO5BkI4YPaSSrwMZDlodkFvKnDM/hcQU
C8wQbPIWcH28jRSJ7ABYbf8qSwv/DIXxpArPaRuHCBthoL3q0plPqGoL9e/CCFQA6rdNxHXWIIeF
j1Y7c57GS6gdyP2D5ypzZxZZiP3bhFTQmBhK3+R8XzGpeNwt7dwTAbIpkDhSkhdaBCeWtKsxuZ0R
+72IM2Aq6YwOmkBs8hbyoXOC7JKBDjzg+nTlwDI4yXNtyNRxZMCvte462GmMoETeu560oZKNI+Jj
jkT1gWATBDOQ/jtfsOa9vBijHY0/tXxqKVA4h6nniBQLX5hYmxVlhFpivbAN6y4yl6UGqwj8eitK
WWCYESGul8GV3veOVikfRmYJFJ/z1KY2RzMmnKypKHBY4LO3MK2q1SJQI6rD66m0rLumRxk8AwdP
+KYk5V1pVqwXq0VRvCpZpXQm2RHSa6zLtCIqlKCPIWjKOo62Q6hXjm/BJyAfU3y8jQrYc5xX6T5N
XFY3ZYU7GlPIC6eulWFQ0EOpsHwT20O95gHH8EsoGfOWdqPXf0+l77JPh/ABSJjP9zT1sTeMVtPd
DJD0ph19Yc431YLOLhKh12M4o0NcN1r6VixM5OuRlrXkzpvaH7mMkF5S/Qk5KCJLDWUBta0tw6JN
zO4qihw5rH5keAFb7F52nBwC50Hjzqz11Lgq2b2crFWVWN5+TILmwUpFWT6MOJjmn91R46ULR59S
lrancZLOfQJKHW4zaEQ3VtJrKBHN02RCjrgGikQRlFqmtrflBA6LxbocF5eDrCB+6BGuxY5lBduz
tJIrevEQaNEqQGvHintCiFVclRWKPCg4n0m6hphA+khuMCRpWNwsWfEjM9PCD1CgNrCplTlMow5Q
4qlTaleFHMj8ZcWeVJuEI6YClWG7GeqMynuuSvlQxZY6pajcm1gPBqPmsQp1BybxBLsoRheTteIu
neP6jDsmuLZoCUfs3UHsVCOQ/bWs7pIiW3XW4rCyHoI4uU9pHpPKldHXBq0k6g/NeQv2YK06f236
GXuApoclKVR03XwCj7g+wzRPyejaTLTtZ9h9hpS6q0F67AxKe9ewVFaZ9EHROq75efaK2uCegIMW
nVhWJTlVM3Y4ZcDNIsze3tRmLTeYmhHzU51245XXONm6rmx5sKwGZejUqYO1QUKDa5s9hPjPL9SV
pvEUoemctBCpSPT8S3S3qLpTTDnAX0/hAbY9LTLbTzC6Fs5yFUyaQZiBbPDTqTmkk1GjDDpa9441
VBeG6ZVX6ZIHp74dsXotBJi8JKggi+N+gzzUZK+y3O/P1DSYF/hTmqDmDHd6KlBduJ99ee9kflNg
jdc6N02e6IJCOwZrZ1EhJQ4x/GxnFSL6QILbjiE+nyyybeNiB6n5lrvZyMKDOTTDZp46BLWCekrW
gPqQVBNtdhGoJJsvGC/vOSP33S09PghzkZrbOB3vwxB70Tz11d6Pxq/oq63dNPO/xTQtbxMXorVV
oBEjcj+j5+yqm9ZkWL2w9LbuJKfvWW/fYSEQrayxbS+CNFluJMIPaH33codIurOPwsE/r8MUw8+m
vWvgsGcrABc++BfZVFiWRxxRuSQ+GZN6GxM3nKIrYJ3aLU6dbli1kIh757xCEHHNoJVbyFHup8lD
Gg29rGBrhMipZ5xYNL1lfu00mGkTdRqonlxxCcyEfEO5w+PSOymUmG/iCg/fUpQH22jVPtA3hJhr
dKnR0jq4ORPW0nx7bKOp2WS1Ci+WzEVLDWdJBFDNW5xQg/NqLrp70M3G+SzrAj/OwOf3RgeSXTfQ
kEWJ3l5OEXpq9lnaVV8ywnfcGno5pKxvO79D9inApFSAzPMgrnPz+pucKl3vu/Muq3J5MsJIfTJy
SY2iySls+IVcDwqtf8Nn2eDmMJpY0nT93ozyBNfbvFlz+MebBQrrPoqT7mQo3ec6iZ2t3SH5b9Um
DEPwzCcz4MenSJl1s4mqdvpCRLwlulZEgqlZbubczLdd43h3mvx8ycmvEI+gUbgyUts/mO0k9hIz
uk2L0TGThnjiedIbvrWqRZ+FPQdJoBi7zjVvhzEvrC2sWoU+oo9Oa3abRhYNdng5TnGA6TPEzxz+
8S7JUOfCGaLeUEMpgS4kEcKXVSyiPRJr+CDPKvUOMFXHBwMdyoBrD479Ku0t2qZ1RwaSNFvfU9UF
qnfpJhXd+FB7AVKd3pysQmTcdgsK1ds+Mflr5qc7zy7Me5hTAUtcyMoxTlNEdQabg1Sm4XcYNfF5
3MjLZOjaz9RV+jOpggsvL9s1l1f0Sfa2+SUcWw8ZTHKX7jRvmjn93Hp1b6IY5oXdqdFYi90fOLXA
kIeib0bKcIgQ0rL1RHQVdeFINDtUpCFQ3IPHqMHN4RBlGURTjm8EZvCPh0Qk9n6WVYu7xp3JMFcQ
xswRq0XX7MVjgA1ns7P7bKYEnMJf3/nIn8mzxoRJuIN/iVuN6WqfjUHZodq6PTFoohKiLdhgBCKe
ht6s06Yu5lPTWqbb2R6tO2LRghrPSFiObmH9QePBsv/IncElW7oXYNO9sY5ZG0MI0V1AhD+U0YAZ
I3Q7EPp4xcDpV27oNuuylqgNw4t6kk4+3zYdWWaTkIWl1QRnvWzWv9Ugrl979b/LMlk6W/9XC5/G
BApRdJAEdlS+gLCg3/i3VqMBy3bpOfEPKtNOmJ7hTbcdxYQH9IS4wQNDJy6wA9tnx0KbuR6IDMsR
a4S9hQ58um7bWkfPhKTvv5j4pxejNxN6XoAktnuMXfeRwFASxv0BViqxBZqsVdHTxB6VP3Gfibb8
VFNidzDzJeDYTKJq81MMdYbb3hkwwkzA2D+Y5kye47xENBbI7r2BXsE2duiLIyiJ+RFaTTr60ll6
GZqYehgyIs/NfTX1FzMlnefXdCKVIw5nLxY25VxPtwm1ugyrlmW61jfwE4o94Tn2IgGGO66PDdMH
83QEw32ZJ9Rp6RG+dApp6r+dp8QymhR2ubEXicvqtasFN6AAzBNrZuLt2bLh+WwHg/GptBfS3kkm
vNac9sunKfQYrVhYxJXuAkI3K2B0rBks/qRQjzvNS2IvbNyDVqPKyK/pU8TpoYqpXayR0BnibYy2
BbaIkqcDyyHt9nJq0Csw+PL5/bnX3+XtmnQQCgvA5mmntD/c7HqqkmndpdkhqkKmBECSmD4vztJj
ozcvS7NzJLoQm6p0i9xbge76SJ/6H/YpYDlNGgMgC3bhGNczJuinLXYXH9wppJEUlRqy0odWZF9a
gFNicrKo3qciTeKzro6Wclt7bYRSUGfdwbrGl6jKSb7+42GB8AcsgOwWB5Tjw6MUfVQlmRMfSoMM
CWl/DE4mJEJCEheUJjuQJHLT41aLMiSipI/vP/1lwx3NCo8HxvH/7J3pbtxW16Vv5bsBGhwOJ6DR
QNc8qaTSZEl/CFm2OA+HPByvvh/KMV7b6bzp/A8QGHGiUlVxODx777We5TlUqn+SkxSjm7ZFN3FM
xoyOQWJgb2NjJr0cV3MejbY2o6A86LZuoO2NuUpl+CWSYydkZV4TatelAEpSFUY7tFrgnSSID6K7
CYPsUY/9IUn8txP9N51oOrz/tRH9f+oUjM9r84uG4eM1PwQJ/icWXgcrgy/o8f6S2Co+IfNiTTax
LkHy81EL/NSB5iWsUT5KATQ29I3/04EGr81Pe/OAnwxS7590oMHN/bo+YLDgH4TcrkHQG5+UD/Hz
MwvmiykqsxV7O/NomNgaaBbQqduJfPBDFkp7RwcPr3/Z9+NXnmLuyU6FhEdkGP1tWbY6MppKeyXQ
Rr9KWXqBDATWvZMkMZVUBWU4bIR7jrKuuR2TLr6HdZFtUwgI+xyPyUtZBR6cRzc5oNpYq7GRX5jF
0Q+nfxMjkID5sGjaanrTK1LRYpDKWJ/oVN5R0aYHv8iKY+Ba2ZYqhbaNKq5K24R2lQX5Cl53dDC6
pqdLmtOFpi9KHLYWuodcMm1fwMq9prOXbel3sdw3YZfglB/MC/QD/wylSr8yQPReIcgkDK4rLbZI
9DO2QCnCJ8OPfZav9MYYnPaKCMj7SR9xYziAZAopfI2xeWW9I19kT5/P+ypC5M0lT2F144+GYPdK
WxKp69CQrh23WzvTq699z5tYtQW1LWZXQG5j+kA16sjFwM2/rfIh2fmNUqte9LRq3dFAnW62n0sv
Dq5VG/UXRSD5GzCM8amoW+sSplgzLXbrZ4dG5IUxRLzEmhFvZEC6jj448ktutcMKcpm7qTpi6l0j
5WvQIlyItMh2hNGYC5mK9itx8ou4tgGp+dXRLOCezzCLNgb2k9IXWjV2cEXwZL7XPG2fMUhbhbJk
TA5UbytlZ78DKC4XTaLio3JEv3XYme4J28pvcCpOJlk2SXrA2hbMue1Je6SvnzyGY+w/uxLEcxI7
FfHkjIurrpf3fiDiqwnB+xUTV2BZzJbjz4ESzSlp9exOlKLa5jwW/UUPhodHT0bxmWaWdZlGN74K
2bZsQL1kGRnwHopqcgMxJygJzLmxupODZ//Gr7lW0Dc7wTKZRPbWDkN1Dhwn27HVtI4OFsBtXjnx
c+u58ZOsIgMWSGVfcuBMuyEah7OuddbR7O1yV7dleK1E2dwnk+WzoYC3nGvtviqCnqZ/YXtnk5X9
uWCPeSVDkdJazapdwu4ip3PcZOh8I/s6q/qjGfWCy5ENhKYripFQvWLCJNtmHFJjbVaB+yqt/htd
zXwfUpUucghX+xL62AaHhLca3cJ8tET6RnO6CpdaKMxnaPH3ZWdB/2qAQ096oV9IOHbgf9FgP9ga
pnM66Z5OJYMbYNlrjnxtgjq5ccMUBD8oVP+NPPZoW3S8KJzi7MGLdapNCzagjkHvmIScxN6y4r3T
Zs4KkFF+51qN+mJ5CGgI7aM1Whb7kJHWoezlFv8/FBHHJX8pzpL0wuAou7WDbOeMvTo4bBP2Is3L
VVO19ChYLJ9V6cd7186ZEMSWXLGVHNhsUC4ydhbfpkGWSytF0DxFI8V+ZadPAKGGBxfd+6Uih23J
CUWSSlljrhAzVjdaPWz6zJFHiRQlodW0sVWSb4Om16+AF2RbmV26IOietNmXlzqWcUn00NoxINPJ
eOtRFxZ6V79ZauSTAKTr9cHdMp8b1l0G6n4duZb3pFzwbAvGMRkDG3csmQWMsLKbMt3CoZ+QJY22
u6y7wfHR5/TlIgzGNWkQCGIJEiSMxPe7B9KO0JPRrayYnIeSZQ49+sKvav0YVpJ0viLQ14ahPSV0
jL0FmSrWOs58Zvpz68DH772kYf0ZwYW+z/RGX8O0lAszScsvGbOqI5sl/2LnnrNvGno2iwlSxiVW
GhEDbrGEFtK8Ook70G+2vRu9cXKwqbmln+eY+qUX5ISSkLLhrGGy+I8+T43zJKLoM6Ki+ERn/QVT
o7PjiTgtx6Tpzk0oYi6lPjk1CZkDatT8U96K+kYlgbxKIEI9akGcnZs0r9ZklhHv4Jf0LRjkrO1G
Wp/TPjcJeuBb0iQpN9GQmN8mN2yvetuvXgUNTR4uZAo8IUaOH+B5wQZHYEKJnfjhtgVlCDUs7Jea
EUQ3hoESoPeFDZ5eDnd6y6EvIntajaMioGYwvaOHaC3Be0GADQTZnguNdomv4RnmzLZQpUKr3Rbx
oGhETdVD1gbbGBjpGvDYdJN2llhTDKKUGpU+0XDWCrGww2HjyLI7G11oHnxsNi+9hDjfow5bdIB/
r2Ju8WODUHWH2hGWWipr/zl1nHiVF73+lAVI5FiZABkoczUyHb+Z2kR7qwAiHCrlaRuIj8015OJs
bwst2CCqai7Z2HsPWMaDjaFL/S7qYp23Yxe6HEfN2ViRW5/rkcSIZhrf9Kll+adwmuhPDyLcDgwu
6KuiZjHnRIFCNzE9FDUNT4bDPUS1mb2qx6xosX5BvDgznpMkvG9tNiILWuIZ8YeWry4ylNmuZMAT
L4bKpRCcmhpRtRt48t2vq3TfZZHJzLXXTrFJcq1X5DcEcaY7ZbfPdk0bl7VWYr6i9vqSKucZOumr
HrTvoNeevXK4LYwJQcnU47qyZL6vC3dcQ8C7N2VYHarIde+7KjUfU6Tcb6gRh89gbp69jnkYlzpT
sDo9MIeM9fZQyUZ2apuRIDA59EhtZuELqluyOmMwnmI9GzBPg2m7q7YfWu9GKjnCxXWC9zYeLW+X
MZrxn1G4mOgI0W2SZqpvmQBWE02yim4UhNXyuWIBZe81cy+HIN1IGJf5wdOo3WYP4IpNXno0wrE4
tHXsPtujLV8wU4TJTYBn6OhGNIHuCWaJgm02pRnd7qHpJ7oSobKTr140NNqDDd7KRjjYBQVSyjgt
4f2Q3VRo+rgFVVRsOkJjEET1oISIQtBHzqQKxedBM/udE1cucy1F4ijDoY0/TxlIrDzEtTgRoUrl
p2ulvUjJT33UXMSp7EUeiinK1hGK+wNPEO2OQXN4oog2ljQZx3OHbutcczYPk0K8GMX9q0j98VDP
ndpGaO3WKAaas+283SKWlZaGbdXHON6j0AZcNK66MlAwI4FVwCYHdkb/BqiqoL9MvGgitXA/CdiA
bRAEh5qZ90Hp4ckxiB6h41SdkOKp1Ri68qW1CByAske+juziDRBUf62FTDdq8l3XfSAqXAsRGFEF
Om0J+djbtXpFsmxmkvurB/o7o2u20RWgEWL4SPQyvjpe4XifG71FFv/WCpe48odAitlRhVE9zrPv
Ne+/RdzfFHHA0umK/LWaCHVK8e1NxW+t+rmO+/6yH0oi4xM+fMwfLgojC7EOLbb/5M253Lw68h36
SYiuoWX8UccJ85MOwwiyCzXc92LtRx0n9E+UcA7kb5vai8rwnwnLxVyn/dxR8IBS0Ahl1ma4uHJ/
N8jZ5kipCVRxhxTHAFcdc1/BEoMspJ5GJ/3iYfRbVATBrYt28JHkOM1iGMb04BlpxZjVu/eILTuA
7UyvhjY7MeWk3a45bEtra5HpGotv0vnLsRUDq2oxbYSV6ytWSwvOifQ3FQKCpe8Qy4Ov6FLBIF7p
4PhBDnvp2pA0GkOUfQtuGjIskAgudZ4vK+A3T0w7eAAwbZRM3ZaOnXxxtEpfZTk/nhqsh2Xn1nRL
6ycDkRQEic5aJHAk1nngPmLOvk0s40tX8/YQyZ6yMn7nFkLyWpJsCcWEISvyXLOYJ2rVoNZ6LZ8c
kCxQaREc9xpfrwgxRQ55oa86zd3Xtben+6TWQcOhoR+0DlWOQTtJ3+EgDAvH4VACb2tWuuSXZh2H
QCDI5StwGHRvn8dNs2LsSVNT5zNgYmavF+BSbcH17RKBXrzMWEAd6fB/U3HpvVat51cmAgFl7LfI
Ws15Iz1yCKrMUmtbGRNjp+zik2OyzhreMgP3dLSF5OP35Ky0kg9kVQSGYUt5SBufPSfw6hWr8ftY
yBL/V22SqEMYDVhbk/jwLHwLMs3gOPj38IIUwoEMtiw08yVITE6wItUOAypla+I394EXpCjjqYaY
Uk+bivjhXe9x9KyGN+1td+8Z2v3HRUI0J3WGkA0zdq4DY7QujM3BUur+fU8lvDRT/sh1+9KRs7oM
k1TsqRR8UrraZlWG+XBwfcbBXTVfRYqf1X33HDdGClSV2DS3w6/oBM7AYeLCarMc8o5tn7me38Hp
sfsw+ehZH3+hU8+5n/gbwasD+yaN3CXlgfKBpLjMc45SY1AUmW41Xemy8Zd1Uz99nO88JFG7Y1u8
VD3fF8ovs18fPW4p2Vi0DIaYdYTv3ORc1azleLS5Oj2XS6Wc74VQqvEhi/grsMQvlsEH4c5jM0W6
2bnlcGE5ux8nznwvuU9cZi6H3sunq4iSBOJQ8+SS3gDumzPstVxMjB/PHweDQO2OGowfRWv1JcfX
sA50Vx6gEtlr4uNBIqZNcBgpJm/zhhAuvEwJvWgyDC1onZspN811zVxnlaM/W6Fh4zOEUXP0Gm3Y
0mKByCsD9G9zdE/qclNSKp7iPil41pZcZahrsakX6ZVncqNaOguB1/EkZ0+SrXXuE1T68aWL7PPH
7WVBRkaL184JixlA2RJBb9nSDcB02BAn76eHMNKL7cAeZg0HldswxYn4cW4xIs5IwOLkMFdmCeES
KCrpL9HrgLOYr/LJTacNWEx/S9mQrkfwoxswCNkKBjH5Y/MFMF/h3OKXWEwFWh2WMb/j/haTP+0+
TrNqyeZVNZcRvSWF0tEIXiGCMTxmOLGEwMc2sTW0XeBbrF52/IWNG6fASN+pf2EZWNw9JArHy9xS
/tIsjOCg121xYho6nO3B3np98gUyMyM5ty9OQWqmxFJzR7STru1Cm/uU2ZxxGpELbBhBYvNAcHPS
Gp93h8fN2pvTiGRxMCYK4kGQV5w17KgGfplBEBS2ImfpooFbgQcluorJ97534FW4BUOmIc51TCJE
WmvkuJB8a7C4ocIkVQ52bdCalwhLLpDHYtxWisUEEUW3xGQC9abjIxCrwF0EG3hH5Dp/EH/+fW0y
fWIzP27aLnY6egnaPb87urFrLonaFhdznJ03geYtbOpzHjs9F5Mcqk3DfnGZlpm+wndcnAZHDOfW
Td8pszg0ZMYvP4410a9kV+X8ytbgvIrCSddiUM1KY1aygGSGBSXTghuT7TzRXTLbeoF8ly7/OW8T
0gHsCjM864nQsnhj1PUbOAYbV6wRLkvpPjK0LdepFt1ofXsmyD5Z0HYPD2M8MJLSMhKK0bSN+hr6
DAr5YtAQejMRekntLO8WhE0JZ+0jz6NfP9XJFzMphxWFHQKWWDfv7TDNVvB0quRqRA9ygOjKKbT0
IAwWQWiIdp3oEsh1GasbpuywusiNyGjF1Q1hBMsxVfp6wJbUrCmXK3Q9UmqHKmhfNVWWX/FdvYlY
L9tFaA3puyctjYgdEJ4T0cr+gGKmIAjPz1OQ4aDTJMq+hMCoPBGdtgp5FK1MwwuuAP5O2iazGOWe
UzPy3H2BJS3fgXJW2hOS424ZYaPKTkGEmBJOeGY4SzmmkkzGDqjZGqFuoN0WLdsHcOb3P23Fbr7v
YH4eqv4+v2JfIxwKRmx5ukMb57eZauZr5iRwd+3ceKQKmaJ3Ajg8liDvHng+6QvESS9F/LdQtd99
bR/vK+jUUE7rLtP4X/vihE2agJWrdmf0H4sd96AVp1+LHq8nYTrv//1b/q4D/3g35GvMAgxf/1Mm
zdSHmoinot1lIxfIvBPwUxqhIY231cc7/VsE/E0RAHb/v05yVt+y1/61/vZzBfD9NT8qAEyiyI8x
VGLgREg2b/N/VAA2xYHLXh5gldAdk7P7Y5Djf+LSpTqALUmJYM1lw49BDn5UIJq2jq8U6iRjwH8y
yAFW+VsBMGO7GAyBp8ABy5zptws2TdgTGZMvd4jQoieVqKJaOZWFo2fAr8Jous7VppLjTVYCvV9m
EZsq3fXxNeo4/bu4YM9pTcZTELc5PJkidZagDvpvg3K0+eme0MdjMJGF6qYAw7qo2+xFaDW3YgsK
oAjJex9RN6+xKTnjgoMY78iks+8SxQNvoJN5zhKbMt5r2Te6BMqImahWHxyD0MW25OGOKgn0d1TL
BQ2X+jiAxEeYb9GiH+xk2/PhTHgVTrV3pzjYozZStwWS2wOjoBfEb9pTnOU8f2SBSkEOxZauQ7iu
5gKlwmF4PQ0sEvnQXNAdfrW1lC9JqgFWAvPCvZ5ufMwXK3TiGlHdhdqimn+vmCr0C91XINFhNa3t
Cu0fRgYiMybePerMi2MN+iJ21ZWCgLBoTTYZhnePT+3KgPyPNL246+VknAYeAjRoC6SCuNr4A87m
SAKqVz0BVSXgwVADLq7whQ32fu77LeZhRTqmL9Jm7+eW5R2pQdMzCVn6qoIrhNarajetzqYONPCS
S/B+sFBbugki9QDlVdeSQmTzq32J3AoSvH6Nj0DbqC7FvtT42WNJMfdoDBZ7onnnT6yttUE0MTAI
AZkU6fl7M1U3ukPwY4C2ScH7fSXls77Hl4X+Pw4Q5VpVtu7ZBt5kPfEn3uQhYlDymgzX+kmk3r3T
xOUWvQ2k/GaktxKk7nrCqb/zpeOt68x7yKZKk4wQ+odQBOFBkGzmskWZDbN+0L5pOkCDpSt166Iw
d57zWEYGXdBooDiJ5LTOouLO0gz0wHVRRyuztG6bTPmbxgvw4VoR3G3unEVCONIqAu+3JIRE+lsU
qbQRw8ow2CCMiNQh/wBu7pzybCIvO8JFU4RV1Jr94IJwPorc0V8EX3zVYPNd5nFixiuSY8pyY3h1
UDN+HPUjWSu22pf0wRc26Urju1agEtl6dVkG76Pv9leZWYNgQaM47wBjq17wwKdZnhh3/y70HySA
v1noodyy9P11t4cBnpqxA/9Tvv/PEplT/iX+xUH2/fU/Fn3nE49j4BM4yOauz7y0/1j03U+GQU+I
VR0ex7zu/2fV9z4x7vfnET2YAULZfzKQeZ+8OU+Q/+l8WNKcf7Tq/za9Rx4Agg1Dmo2Ymb7U/M1/
nt6PRpGCghn0HVlQyzx8x9p9PYwBcvZZWQZ5LdYPuCTX3EhPRsrKZjXf9xN/CQmdW2m/NJ7mj8Du
DAQA39n0jfn//yR6KwEnVJ5HIHxJXuw5EE+jX52aLl0XOb5XE/e3IuXWr8ICdGRwVVUhoammKNa9
+SzoLUwRBZ2GFX7SFggYN8onFMg1zjJygE3a3YLt9KzBmUXQb4LZE0k6i7aAR5W+JPQC5n8diV0W
8fjQTPD0c7zY2nq0/Z0oFZV6mDonStxiRPOs2CxjBLGII0nb5WgVj6NH2hbXxG5grJJbzA1M6xi2
vYv4YLoI1QBcy+jJeNoVNzSbdxz1mNtOdJ8vrDzteijChakxsnD8Z8PS1k3ovjKcozuVGAvfsZbC
cVFB+rjxonVbZqtuyJd1m94OWnCfSPwGaYOJSFUvPK/0bZy1N2HjHmmRfZlAFagkXUqnz7aA/b1F
r9BvYy94ywehb1PC+xaj3r8VIlyFTtuciqa3adZVSyRUvNm0iVPrOsyTcPnv4vL/s7iAuZsVMn+9
ujzGdRgXv64of7zox5JifzKFw+8xZ7r9L51kz/rkQMFC9fNdEPSzJ9XHyUpEq06bGcUQ+MX/bCSx
q3LvU6VQbn63q/7v//XL/dv89vef6y1g9L/d0MwqXcuFzYnsiE7yBwHypxt6fgKWDD+NneeNBfaL
rvTmxp1NI2KUdIEsLvngZSw8fBvtbOEg8zpcitnWgYSvPVulw4BjNn3YLtk769plJhzNppB6toeU
BcPoBWiPvQwUu5QAF8nYyledx3Edr2oO8AOy/YLAGQebYt7jB+tMrf5qBwW2tij0T2IcSFfT5azM
pOX1SteTH0LphwsQCta3dHCHB4LP8+EbFEEfcVHciP5M4ty6zhsU7ENypEtVeVuaSrAaLWZAMPOI
FDu3zILn9nmp3TO9xaExRUW3rjzcea4E9taw/RArhgTD2aiHbFWnkfcCEMQzj43qPA5LaZo7g3CH
U1IZBCqlDksQIq+SeKu+tzeG1MWCxvIXgcv8SHB4RQriJFY2nbgnwo1wvRuBoDFDNHYWWP2jaQKu
wFdqoLhp8N2VVV7dBD6Uou0wu3pRv2jPxHejqWyG4SHSG7aGMbqRhZw6OhxVE3eKPviAtnGifq4W
A3QKuQn82T0LI1KZ1zK2UIJqbJPua+mJ17YSs0E167FhhdjpZ1Dv/dBb81Em9DqkY4Hdy0+RV+Ii
RuoNb5BRYlbZsw3PmpkV9ew/ZKE1W9pS5Ili6i0wS3p2xy7ei0j/WGq1xE7W01I8GnXGXvLjXzOD
SLElSp+a3M+24Oew/vMa2xpTTCCz78z0J/Rctsox6jJdiJc23diT6gSi6ywKUTB/2Iq9MkWVXiiM
r6gtME/U3qyT92th3JNFy9fI0aFte7dkQj8oH2/d7M6qBkw0W5rfaATqoZmOfgEjbTHm+HvN0ECO
nIiJL8Qmlt8ja1SZKiVp8KB5Ix+gNyRaUjdMOLp5F+Dr7WdPc0jmUg5JoraSlceIU6yIXXTMM9lK
uPxgKOvhXs3JNKizE/UVrT5yN8L9Jobc86+NEPxkW6bliJRLregauk8ftl/B6HsOuJu/vDcpXFzM
njmCNdHI8WKSCM0/fIjDEHFapkZVz05IQozQ8ExBuzP1Gy/unNPHOzpui5q7Qym3x5TBtSk7k+Ob
9Hii+zrFAUCdi5lS9GY3bevaEK/6OFvsBAz8o6PX1bOkFdctpD1ArIbAIi4fLsnUklEJnDumlxU4
LS5Tac5e6tDK+Fpj7nkMWzPns1DJqD1+fEpUVG1IQ0RQ3bAD4sPalcNVpoGJPJNhU1CMpg22xMbB
3QrauJPTneoJoWS6Mp9SbAPzMUlGvTmr0S+PdOrL41iX/N0fZ835d0uvViIBTsvZgUtIY7x1+4wV
CvphvRO5boyb2djwPk02V2TiaPM1ZZgZQhygiPm2bDv4Fa6RD4BWQYJSaaeqXymfmHqoYv2t3uPq
7ZIRuzhXmrWkYWcwnIiKnP2BYLOkvHZZVjbPcpvE7W7RmAyX27wI8Q/XjXt2mOMfE3/0HzmZTkRN
4xq3SURu7yKrm+oZN38TECloDncdV/E2YYqwmSzDXOpdOPuOVPOWaPQmFlB0/MfMz4Y7z9HyJXF1
XNhmDUuWXVIJ4E9nW7PEFkhjbSpJOGP0UWcAlPwCOgeHrEPYBnpk1xu++yarWcNoFKVHEmhAtx3R
B4OcMEyY5hTz8R2Rjz3WQGNPTktJyxvm/XVv2GINgoXiXFMWwYUyADnJJKLaW0NsbcuMQcqy5olx
KYyquM2IaGIQk2YMDJiImA9gidyNxjjjm2DYAvFXxbuk84yvme1Oj17YDu6GzNPkhG0x/mbJoWe8
aI977CAoRZIsWJax9oBHo34EY9CsCnDQJOn5CARGA2eZibEd7knR89+GYqN7OfFMoT59w9mYcgf0
GZMSu3dnz4I7CmAJgfU8pklzVH3g4qFCJrpvpzq9ysEirWxsFsjeB2XSUQkmBLSzqsGp82+27Udi
PQHoyxbDKLGVq8E7Z712i+HRHNY4OawaHknXGKcMDby8TMKC5a37W9U5hPvh61s1MgWQSCjBItXa
4Ia8RFaT0SW0FJb0rVEUT1ZINNZS+c0Ubrs2tk5VijDnIais8rGPiIHMenET2Z3EtjN7FsLGuA2o
fe4KFwNp1sKmuJaQEXexm1VrvHv6EzK94cis8n4KTedz24wmNT6Bclu7L2jzc94QL3a0gtap1RMA
7AM9qMybpgHS5eRVZK8zPdIxb8NtGgOp9EsTleV6ICcCRVBtoBO16gHfiULRhZKOnkcURP0LAYo5
EcGitZMNw6M2340yy1p0WiIDNoHEzxt0dQ85wnuO4X42PAot/bpNRIt7Wav2nWNxVePKfxl4vB/7
rG3PytRf+tqTVxWaJri3/VAxSykCdSKCO4Hp6pt3I2IuANCJcUlhtr93YqhfRoIu5OugGHZdYgcU
2VHVEy0FujxYjusnMEfBJSKBEm1giofcM4ZTpwxryVgBSZVTH9rG0q7rWjlr/M0he3k3/5apfjjJ
KU7WgT2aF7x/3bMXO8EK4oxz41e+fT20fegSlxXlcoGyuzq7sImusJCbxSpqde0i0tJeuaLt1xwu
d9EJZzhUTV68xK0SS7usHoK20g/AYh8Vj8Q1zjl71ST6s2GG+6RPmhO4avHU9yF5aG461ksjaIw1
GKLoyJANIrBXtletW+/QVykcPiZ5rgz4WDXLahAnuKBIVF3PWJqRsLJViMJc8fDTYFpwqejoofLe
K3dmZnwOEuEuwszJF4QeiyUcz3RFJnfGGKXjOjArsYZf7fOk8INpFQpJxJHDI3wz92ox2JqVdfGY
nWAor9VdWRMru6gLEiNAD6hlOg24HVV3VdYpWPA2fHB0aRwL1AJY9gZMgmCCN2QW5ndxUnbIFdh+
bBjggVo2s6RhKk+eaKscBk0j+eQ3+VBjBLb08V6v6+44Npb+Wat5YeeE5RUrUIe1t4mblSIox1J6
t62KFrGRQmZ/tPJJ4ojNs245UqpRoc1gpqgvjUNLdt8ljh3GZoGz90j/OJXkwj3A4wichZ23j1Eb
PRG/ExADydhmEQ5d+NBVPpOuZqAdJxvr4KAQ3w16iDKOLJgNNAbOg6qTHpd+rqOu9NzWweybRjZ3
Qq7SZTXYWIAwcsF6iHz4C26OIL4X3mPl88W7aqjvgqR0N80gg2TN47DfeXBgViR/paDICaIYahBr
BGQjZE8isUK92hxLMQqLindsj0MtgBSb5mBteM1w5eZD5C3Ro3VfE9k67x5RVus4dexpR3Zk9la5
LiiEGtVFNm+tqrypkViMcgHLkD52lifOOtZktU6KLl56rYeoszLMVYCfdjnODuYUu88RU1V3xkNW
WQ8838hrKTKLljcD//wGDboFWMIub9t8CJ1bhkwW3mHNryEfJ2wLil4AZzP1cOM7RcENpLMXTB0j
BUoz3DELG05F2jTrsU39YZnQabw0bAOuzKyqWHlHK3xy864okUIm7LGE/xy2Rnk7BX1SLfIwQr3X
jie7QbJAmIrEvMhgjya4TXBhmanjYMhx66EXvTFs1dxHfX6QvTxW3jSspG/K67wpG3Bbrr7tlKxx
OdjBtg69RzZq/cZt6hWKGXFJuhGBOz3KNN0kQx5mh4b4AWMT+9M0zlbjKqFDVpQJ2D1num0tvfoy
kC5KE8Q3s25RAZKg29ByQMieOaVtreVvYzc0N+RtTtdaBBxxHTInb794qrqv2rFI3UUdtyIwt7nG
4rYPBmcrI8u9LY3scwVEIToWmXSDk1Xor6r3q6vBZiMXe1wLe8xnAec5GdO1h1J7JlzPHv4YN79f
IzokUuFmjnTY2Iib57RTu+o/TzMGQFi1F7o3oVnJG55+e/UdGfBTJf//GEVS6P/W6YLTJCjaPVvg
nP7dNpiyWQqcRi8xbc2lEx53tomMpdm5//c3+nNLjTeCFMMTAescA8hfW2pezWZeZrxRFkHkoE7N
87UqJHs1TsPM75hZUSFNdXSmLLjP//TdwV55PvBQQacSZOmv715po+Hq44BnIanMe6fv8UTgl2Qr
kdU7QJm8K2HI7Ae1PmcH/9/f3GAo99tB9nToLRC2sMCSFPLbdye8QYN8XZc7ZDn8duAvMHvcVEID
SpB7r4Qxo146MZZHFc4WSx3cMTUABpZsR/DE31GO52/7s65ujj8iEw5QlANWVvz+eUK/bxFLUcy4
dS32vUX7ASmxeY+NpPnq18bf2SXt30fBBFPQNaahC9lUsD/8feAddSMq1abcFXntn4D7Vc8NT+PX
FBTdPN1o36JMF+Icdl5roVXDBT4uGzIg8qvETqCUfNhyidAR9XVez4QuzQENU5uG/9hFoFsYWXAl
oYQJ2KujsfuqA5Pw6eIINd2ZzoztkgMe8riFwqKqxH4t7a5Xdw1muWYzKYxfzbJwMEG/TBSRKQyZ
gSo9DEAsxQTZ4/jlMXGfuxaEmGxsvrJOFO/e1DGm8UPKOCUbfh5jZPWsw8EZTiEFsTY/MHWqakML
LpPWtA3p9lSLWy+E0jXyg/W1gO3jbGtIK8O6gVX+/NEA+eDPfFyF/w7J/2Z2QtdD53r76/Ym5AP2
LmDeqvjnQfkfr/ujwwlp2dC5WYAtA94m4ZgO4x9DE9/ADsmo4mOQ8mNGzh3wYyauf0JA6xo+Czv3
Po3BfzId+dMyyoCFubsBJcDTvT95fFtErZFCQ75nGIy4j+zsrZXMfDAirOCdUcjUb0PbybfKqIO/
CawgX+j3hYPqjQ4Q438mI0L//T6OXYIV06pJ9znYhSt8UtNGMxvaYcQ7eStbRfpOSbp6C9NQlMo8
8dPZ1mUWp1KU48MUtOQRlajWQFqlTo2bx8BDD+XWHG7qGNmeO2rV80TTdDIpl3CzHIPYHdt10VTm
2jLUdEWMPdY3HzfkYozEkCKoL7pvbuLRwpAxo+wa2VeDQtdybqU24jJKggGpWj/cfIjqGDOPW7eD
plLaczPJIQrixMe0CUTui+rV8pEBM+5Cktdq1n5sR0YeTiS0oqJv8wEkNYKp1Q7eB6l01DhLX7vQ
Cp1N77ua+ah3UI7Wecv6ijsv0uznSPdH8KcQnFV0LEmbxUrS57Lqb8imhpjqhl4fnid4Et6mTEcj
vO1D3YHjlebAVuMw172N2XQKaVvEyr43xPyToRH5kFrrtCq2GJ4cer0zyxWhBFzX4IPxapCSaHlL
g11eyO4CXBD99gXJwF9g0YTX3ezMAoSBSav5MGwZofSeJmpjbV3Mjq6+kO62hQ4KKAV1o47vy05k
d3a9BDNYOvvCstkhNuEJWfWza6xGzDu7yHK0clfgBJCuIR/+sJp1s+uszvuN/L/sndly3Ei2ZX+l
fwBlgGN+jXkgg8EgRZF6gVEcMM+DA/j6Xh6ZfW+KWa20eq8nyUwiYwDg7uecvdfG7n2ulSPNvprT
uj4ul9rkB/eDM9HjVi42TtkpIrgiWpp2X2JdT+0PTfnePOWAq304KoWv+RuQUfG+U065xG7ThYyi
cgWzp9gD7e0OFtY6Wt/ZJVJuuwErLZJUzLIUZPVWM3DltdjzRn96dOE+NrDH/PanXRrBJVfMylE5
+1Ll8dNllx9dPWNKVlmgd5UXsFSuwFozoi1tQv/NuZoGmZknZ1qN9Wt4NRWOFfNDf/JmRCAgTg7A
AfmpSXkR6XJNW1nX85MpssdEwyjpOCFTB4GNMRaO8eQoZyNsCmsTZGpfoxu4cJQDssEKGQSt9zor
d6RflRglWRO612Zu18kM/NtQfsoUY+VwdVgqr6U5zBS+ThhwCFJeTLrdzm1QusYL2GDvZLgFpk0h
uz3hrdm+sCZ/2eM3emyVy9OU+D1TMzePUnlAM+UGzZUvtFIO0X6okmcO/ckLVzTbjspJyqAu29Hq
rk6p8plWV8tpoNyncWPOZxQFw02uvKmct7CpBhWO1SnpOJxrFC4bjbbZrUdn+Z6pgIPQl0dilxHW
C3/Pi+ND4YTmHXVSezMol+zYKsOsOeFirNIhvu0A0D32UHEeKD+rg5mS9KiN+G4p4pKnZnC6Y2ej
aF6PPZMU/WrWNZRv11YO3org62036+FKT3xv09Q4fe0Bzy9j8ek7vjt8wL62L1KcwR0WYY61BcF3
EbhhH1YdDM+9wFA82Tp58liMK+U1hunNWVf5j3XlRC7sCk+y0Q5bqMDuRkT6uJpHvMvV1cVcy5jE
tgn5f2HJ+6S061OkfM+oBs170oKn5165ou3AGO75QoK7sax64sJwT8N7y1c8JwTlKG+1vLqsr4br
XHmvK+XC5rLztGiy3vhuWr2bmtNtZw8h0WIEC7cenZFRi/J1u1eL96Dc3okgM8VrbfGJJ1G5k5Qv
fFIOcc69j6Cyh9soyM8V/dqTUH5y9OrZdrZ9ks6vdnNdOc9xJOq3fpf6J63MxT158hgDkNEAmqSc
2tLHvcuuVnZDudr7PqT6tnxGI4Hsxn2cGuGhKhMs+B4aSb6M4ravSQpXfnlPOec1vBYHUVvGg4NF
mHZxpwXLtnbIELwa7+XVhN8rP36rnPmp465HBmcH9hJ/DXdf/EiUkz9Tnv7aiuNHgwnWJXQ79ySU
6VUjq54hIVrRby0urdNIg/Z2ULyASpED2D7lJYtLcAI8Pe5NoRgD0xU3kCryQFHY8qCF+YDn1hhO
Q9eYB5GJYuPFdf0kbbs948gKcBowjDDjMcJSyJnV8fuSgrRwP8GtMy93upbOvh++S7DhRKDN/iJA
wiVLD3z82NIpM/RuqZUKHu5rrYaPAZ3ygs7L8FrlnpEtB0HYIsxd4qCzyKqfgr7o1gTTAJO285iO
jIPmvbCMeoMmt/4OIstx1hi58p9mGHrboh6D294IvOPgkXGTjXOzj3xv5/epgH0n2N+QMnfZqaMi
u0u8vL0FDY+322vLQ13CWg86oK6JlSKoz1zImEPRfydp0VmICgbjEi8caqgWsd89YFPvZqY+/9DN
XkF++pjt2uc7Pmay0x6jyHZe6rhk6Um1khSgVksKtWhXFJNzEKwJpizv3LQwT7FOdh+YEthqXjah
oApsb+t2Jb0Q2Om0UGCG1svciFAXlq73mupzBYLRfGUeAdEuLOwHLwzbhaGP5o3sfItlcBLnqZ51
qoUCL67dHurMNLYwyJbDVMQrP6nFbU/3CyM4M4gmKspzGQrzm+t1A5x6LdvUdWlvNScpoCM65tpz
2BxB1qIIL81qP816e+/aofWGkJDkLKOrgH/LwX9g4IdMEZDkRo8a49EOaFbBhKiscxrUAaDEYfTv
s7BwoTiyyUrdvPEIE+Sy55Z+W+vE16g2KrYUb23QgPqIejJKAZNLf0fgortzNZwWbdbiYA2m9lzN
WXUGy17vkoiR8GjaBdalWFtKie1gGxiN+52zgEC15yeE0dim++mBBHjJS8/eYOJ4tuvMXcPluzdF
06KBKfUORLT02p1gyQsXSZdEB1k1GrEDomWWa9GEZtOu57cY3lMNhC6QBwHegY6vPE6pF3JrWu0m
T1L7jE8RlmfMZt0TK0Dalde4ycqsZ6zuI4vwyQz7mulC81ToTX43yMFCkz/r1pb9DiuoRQohFMmJ
etNwd4KpzR2QrpFdwY1fOKA57VJL0BLWU7DrAdSCY0vhDrpGQ04CgDljyZ2dnWVZkfrYWCOpjRBn
Ob4O5GWkWiovTtPgu4aDs3f0qbjr0lrynJhOw83hu+8cfKO1ZaWC0DOWFRLFOEyPnFSLBR19+TAQ
dPFNx2LwzULVvsHcPNP7Dur6rko7/zinDqeV0A72ulv1+SLUExOURckOtgC1vI/7oZkh+pnJIel8
2qzxYMTEuoU+BohahO2HmSduSxc07SbDIxCw9m6CAbsC85LmYGdRfY9Z2Ly1rGY6+XVjrGAGM4fB
Q36ICjmvQw7+z+QOHRNAeaETy1Uv4lMR2waf0jrkqWv8iF1LLICDZcs6gJiIq8F5Zr4q9pOGeW2Q
kbmqe402tTm/MjL7GbvaPTmc88KPBmcFzAsUYU38RdkVcqubhETiXMD6W4ljnBk5wxa8Yr4wN/3k
WUu/9fuVyUAa60N8N1ixedva1ovRWkyYhw6jQYqhIU29BsVixheTS3+R5RMaKdOEFw2XGCdPbW4w
A2wiWusHRst3xMYBnGgKAvOwqefEVBbEBcJrx1gzMupPyaGYSyYvpZVvXQ/8ONMPJmqMwEAfzti0
8Kb4ge3ejU5Ey9rBeFRw+71qrbsWrh085gRn7iotmA62aPVbZepfDaG0lszW2ObaKN7jTvY2U9vN
ywpK0nJiOIIdsgtPhFKzs6fJdGfrfLjEy9bx3OXUCVXTLZ0K+9BfKuZ/00b8e1mK9Mc0LZWd5SAx
/9JfiwIL1lvvxfuE1rYSN7t4j2ePVdpGLfJg6QUVKWepgi0bafTvX/xv3SUQL2R1oTbHH+MY/pcX
n+Oicaa5ivfGWDZvM/mtN0RHRnde6qeX37/U39qlFP4GsklDVb9/D5OmZ5g4Y5TzUpWoizXPCNGM
xRSWH79/nb8DxnghJZqi4aDDt/vaokvLabKa1A33PRzzTeTRp3N6fElZga0G0Q40ucEnM5aLnr/C
sqaiJo4jutOCSBXXQcS7u76l//aP/qF/xAXQfyuP236U6ON+0dv++TP/r3ekE7Cgc8u4uqD5bSkJ
3J+9I8/+l6P79IZJdDMdejr8079tIRH5bOEL455Dsi3+ow6SktX92v5VRg9+me7Q/BW2o56nv4jh
fFEWXlACmTS98EWm0bjo2rRcY1Z6LjTnoYFjUOh9/ezlxvMkma307sSsbDgwgvfWs1aLvQn/ad9m
/rygUWDvOfRlW6Sy1YqdGrbJ4DefU8BiXUYuLkCv1W+0MKt+YPfQL5pgXEqA8XVVZuminNsEFPfr
PnQvmDa8s5xjjmfs4kSmS35bz8SGSnndagLoBzOeg941y3rI76ZWMAHtrG5Bl3iPsGS+t1kKV6Ur
3aUxyf5RxH66DKcx2EdEoi8szbhn+7W3bRd+d6wcVrlEiMqEMLrt9Ng4JqacMZEU8RlnN1hQavmz
Z7ocsbOnfuRMY47zYqqJqczd4RXZC4oJc5CrBlrCzxjvxjGVbFWmP5e4nGtna7dSXzdWwxmsmBjT
W9m4xgbx3iVMD61eBCsGhcjn3P5VDBN4lm44JH6ab1DlyVUyA6WcuyJco/qjv+EWl7xuN901pVG7
C1TYUq/V464yfbkY3dK4+JXInrvBrr5jstjkvrzHh5FfUvJBSFT0mn6ReNBHlkGf3TYVQoq18AZ9
WSMZee7nMr5PTSR4ZkveumkW7FxVODQPGPGCB5xe9hHu6OwutNxGDNU5NRa6Kj6RaiKfCTtlfsAY
6GnMqXQXoNQkBkakMtHgkzUlUdLUfebdu5KQdIaXjDoyMdi7zvSqFxe+MlWmO2RPRVpgA2d4u9UZ
p5+sAmXgYoa7nm5CvWpu3Fp4K4JUkSHEvugJDFKNRebqBcaZgACduSSVR5FL60XtFS4HnSyVVxJy
jN24RDGFtWoj0Lv8cAX9mtUY0CGwBakNCTKoB4+MD3QGcfkAOsw4mQ5KsCvElNI9+VFVin3uGy55
POjZDA6fYMMwqpJ0YA8xgkv6DYRlWLT045brJ/NmZyKkYXAZU3pc9YiYP7Inwof0n02Pnk0zoQQD
2O74VhvC2JtoUOEeiNqGcUIxh2SdtAD0Swecoui5BDCVlV6QfSDo7T3ZPSb4nd0OfPh6CqcL7Dre
Y17qMPwd1IjgWp10aRIchPIz4xfizQENfM0kmqjvOeHl1UvE87eNSbiHogTvYxWMcUvkVkTAUmUU
8WkCDvAeI8LcGr1ZfSCIG89BTzLv9Z0lQVJ5m6E3+PWZEO59OEco/oCdOEsziLx7a+QetFT+UJZH
1qGwi/6xTSy5JLHLQUmkPnhn5tNl6u3umzvm/McsSMTeRrDbrjyznNa6T88kkVby43qn4b/i1ebQ
H6AnT8I+xiqLCT1weScrFfEcodWDalpnT5YvxXdZaDEB5Lnl3kPUsfalSrBA21piMsZXJMLetXbV
wEXte05+GNKVQBRj8QbNY/feuRHHWb107ti1pyMyL3EJ9MS7yFrL1xF3JFgf3w5++ALPF3SgKMaS
RcqeNni8oss0eZOFkfZQzjVAQicpH8AC+QjEmGJdr1YuSWKKQyVAbNOg6JYGGtxlifsBJ7Vl3xi1
Orni1CdF1wn59b2cwqWbjdz1gKQZO3svHBcmAgZK8LvJfGqL6DTU05kz9eNQo1Ya7PJHEXvkeDnT
0vduRdffQU4+R4OO/rCLdnnSfNrSP/pM7hedhvhJuJexNWkiRnCn56ewaZ2VrY+I4JCILOhZofjX
qNwn1EqiKC8d+1i/QCIMzyY2nItVJd9aIyEBYmANTw0vXDluZS5pO1rLOJ9O5Emv5Jis2qA8mIUb
nI1OG++MUSQbrwwnOoCeE5F3mCqF42CtJzABCxdJ0m4Y8Hl1XlqDNW2M9yIcl0MtPmr0MseaQKtj
MvftuhA5CbvCfmuMbofO+x7FOPl6Q2/egUcKXrRQPLea9zb1JSiwos03xA0Ds5+QSmu5STRxSzo2
wkIxcFp3yofetKwlFsL5PR8gUKOpXtgQeDZVNz4USV8d6Kwxm+mAkNszFzh2jM1YIydK5JTe0JL/
5kxIjV2/3qfjlO8JvTR3dNxhXXh9hR4deZXug2IK6UBoZflSM81cjEWpM67Q3UPDjb9NJsQ19hC8
6EbO8Jr6uDemT7jtlyr23I9Y4Fi0ZK3/cB2NdmOaPnZGm7yCvTIRSA3tIqbCW0LrQdHRQua2YBDW
iwEpBd3vgeEzZD8DMbdO2YG12g8e6rx9R6YZrPXCm05j1MhqbYZDTKgZFSrgornp1xRzjHwM55Sx
5t9zWwHMcwLjbIJ0wyODsG+Z91qyS2mhrqwWFGVriOqD3mK6BuSwn3ICE82qeu0xdq5qr/VXiTE8
6wGMCL1kt0cvohom/Ztu6S9oMbb6VAffpFFNC9NMB4TVMl2WJHzfNhYAoqnQaaRix0ziInxGPcuw
tzUZa+jeDZyScM0hwXsHaTpcXDs2vqU43jhD4IClDeVMB9kFeFAGUgzGJUjNbwmS4oXVWvlHizfx
o8M/fiC/AZlM2AarctCGDXu63KQtPxvm5hrbuX5yER3dQ0YdMarXnKxMzV7Q6vBO1VDJH4U+ZT+k
MMwTAqcSgHw+kQcQz2ShmEyP8i7u3WVUwAAnUMrzF8RMhzfMNFLj0Arg8YsIZe5J+ARHeMCedR6J
EOvAqN05BrExqSnGmosIu44uvMbEPOlvXBT63DEFHv2ytkE7WbNkGxz78lTC5DlYkAfpido52Jg6
ePLruLtIBNzJem5rhimdX2inLvTsPSeFdGvoZb2OR8SoGCdLNG7N+FnA5bgz8rD7JptY7qCQ1d+d
WmlTWQtXJNcQmOlKOl1WBcbTnfcpyVnHfBi0g16ygCGDqndlQL4xpWuyTIIp2JSx4fG2sno7WdlP
t8VE1DaBvEtRj982AZV4RgzWthaIo3qZBkvODLdjCYZY07aUSoABvfklaZqyWqG4oncg6wa3amos
4ohRCc2xbom4ztrOjDnJ+8OkrzDgosdMamftcJ5TznjpULbsXIN3N8k6e6iTFh0ZdtQXkw44NKD2
QzIwXdTO1G18KOWbPgsqEoBoDTeEbq36ZuYRx06wIBX0wg5a3hUuIQCV30+LVpf2k1mN21GO4ao1
54cJc8tpjAVwG89LtlNhbEF6AmU0mnU5lOEH0RRbs2PLG+oS5WicYOTSx/FAk6dd9kkb7IGy3MRh
fbECmw5x4CX0Fp3xGCSYF7pVokWMkxxzvvgpq6txdHvwH8OasI7MqLZpLpPw3nSSGqdq3xI0yQe2
iJ0k+DdkSwhVHmX6RzglcnOSKjEdkFppc1RJl8k1zXJSwZbjNeOSxoAKvGTfJv0yZyzAxPeaismc
g77cAg0IeZnsht/H3LrXdKI082uoJl2Oh0AFbRoqcpNk2hKrt23ddvb8XM9mvJ4r5xL7eA2SucPQ
7BPfmYEyvKtdIj1bFe6ZqJhPozW6W6miP2MyQBvauGtpEwvqDQSE4o23GAlQ/Sxs8kN9FSQqXae+
hCpcVKiYUbpVP1AQBwxK+uRVqjDSWGuQCBaA13KNqNIw0XUgbW2xHIZ4xP9BmE2lwk3HDhYkeqFH
XwWfAh8+zioKlUjfd1fgpLaYvZyQ5i2z0kIaIyAvdbF/mEKVqppcE1bDqel+6pbs3t3UTm6kimIV
XmvtTBXPCtzoQR96X4c/Ncyktw5duqcVDvFhnq3pxoobAKEq8jVr9Oy2jfI3CtAwX5eC4QuWvNk+
YmlimEpybK0iZDutzt/dQeXKyqDrNn0RD5tGxc5yfHHWAvfQBVfKvOQMdDExSdxByFGNcvzNByAE
wEtVoO2oom2dnpBbUMLFzXxNvq2nLrtLGTbjx1LRuHS0Sckl62ncqE58yj6osFaUhsj6JKL2d7yZ
LBw4AYxLrOJ3wV6hG1CRvPM1nXe4JvU619TeXpfFY8GhHxfS7IH97ErU5MhtPGPexxOYokpSZDFO
S08xLskXZAYQUmoXMoBdREyZCJ4okTqX3EIhh5Kk9HASFbHfPYJAaAiGwidfzCZ+a/bBeVqOMbGj
6QoSbL9o6nb4jNo837kmmv6Gfi8g6AI/FxjUdgoQYprtTdrQra3Cxrs4uT6ciSmpLmA751WK0R71
oKXBzizxlgdmvKKPFjBJjr9R+AUr14/KDVxob5+Rudr80dj7b9fnn7o+5jVY8/+vGtpB1oh/EQwZ
f/zIn00fDB+4ol2d/MuvgiHDIYDdcpSaiHkW/wW94J9NHyH+hdMHiQ8TBYR5IPT+R0dkYMDGkQi8
xdT/c7geqqO/NoEsYIwoPqmQ6Jxi57a8L00guLQZAT6heICOXLHnzHmLiADjCxthRlREZYXNPcS9
BvFyKhixpdqFw8XEpESbgHHFhFdn7YiagexuudIcsN2+Bqp2HBD36Tq/h9uRXqSK/j0nDXwZsNQ2
AbrRmG6IbwPIBLDuRmhkqrNGy1WcpNO2hFpxmRNz3vmAXBfEWvQfBAmSeRNZ0rpjhh/djUWGmiVq
O/mK9m56dZH0xJyp+NqWUThQ9jbMUTZUwPUBfX71sxdR8tqFcjpryGtWggPgy9TMzRIHd+pSFM/d
x9CEBvULQaKh0I37MHLuqUDieFFmrfimuj7/1La+Yn7+V4Z5vQQ0dl2uqg4ex/CUbPQvfbh8JotK
C1rnYW5Mf2+bvb2uhBLA+ihSOf8C5cCxLXL/zFhWMElW+ZeV4xEHzxCd6jFKprXr2uXen/vhdg7s
6CTQbLwb5Jl/L2q7vUQTjQlEvcktBTVzE8Rj2RMltbdFKFZt8GqUd57XfOsy096hPL4BhCoeRSS2
QLvQsqNH+H1j23e/3nfIjNUN7Hm0VS3swr9+6MpzvBA6SwHOPA9eDHX1Qyb/z4awxrPm6s2+xyaD
wEzCMsNPJha51s2blt0EhuOo/6xSQzVfbDneKeDEQZam/RBM/K02hfgQVWkcCcGUd1HvwHxjMnW2
veCJZozY+jGtkrSALUYQId4fcAJbIhK1bTqYzkrFuaxnPeeeViaHoz6b74XT30h0pruuD+zdBCCx
W1iBuYrB8q1HG0qdTpcB8Tahs35ysKxSvsURY15S6uVbxXq9dyc0xg3Av0UQcSCthn7TxaTF8FCm
J3fQeJjaNEZd864D4GgWTtA4eHygQR49tmT8Vd7Yr+K4rRlGJbTEZvCCgmkLHLRivBCmBUuf7Jrk
No/M+mbyMvF9gpTz4WUcIwApUqsD7oCiM85EURdR2+78sYqPWdfptwF6nrNXGMOtzUmlo2SHPLiu
oznZTQSk+UtgsuKixd141yKTvTGFanrNHpxEWz2bWjrDQZTtdytCTeGTBnTDcNBfKpHL6ff3zpc1
S/m2hQ86x8TWB24CHeSv944IIZOHZNxcIpDS953fF6i4WrpoI3ruxgXTafnq3mnK+U0Kb162uHSn
pSWn6J2osfFUOSI44Myqv7u1BVYc1fG2hlYz+goZ2Dv5N2IUILoNDT7wZAAik3Htb8qAWbpOzOa6
hWANja8Ul1GnPli4BNDh9NamW0tB9ViuJqbInHhZUMuUGr3qjDWp8WINVRmofDIO4wlK4Xx/vW2r
BOofCqXptkE2eWNUAFUYOuvPnpa33/3EaL+T5VJDiYwRE+IxQy1NpRX/LPR0W5dYF5bgF5EQmn3v
bK1pBkSTepF35+k1rbLff/1CgTf+d71SXz8aV8/VPcz6ahKhHu2/rFeyNloO+k1wEU0FP6kzXGMx
NbX2kMw+n8BIBFV23WqPyRQjFbKxyGGFaIiB3HqkWFKa8wzSFMrq4OClQ/WaDk4zLXyORNBi0Ku+
0Lbiw6ie776Oe23zn38ASBe8LRVQA9/2y/1TzGnbGBFThswBfITxbTzVVRhuaqz2RHIUrDNBjVDU
RjFO2y4CxwoDs4KxrdtH5ILBJ88ebFAxla/m6BpEKozw4URFgm+decFj5tb4liMynL1/GrCq/fjL
l888kEQT+qbKIvLlvdNBjpvZkvalxPcJ4rVtg0/uZuLyGiauTwau6ttkbFFPuUOx7XKPTyCKAttV
FQ+HMofLKOlJ7jNbNvsSstRj5+T+1pcW4J8GU/rd7LXxDeXHeJa5n4F5bmX7CfKIngophT/bQPZ7
Elm9gZKGWKvekmmBktZlbp7Y82JUDc+u74PvIjKSHYkZ3qEliQVGgOtsspYEtiqLxheACbispVIj
IFVdz4VbeMsOL9WHAR+pWYjcgmfEMN9Yz2YFvb5Mfxr0z9vILKBopVW1zyw6XoXLo86ZYDxfH73A
18J35IHRsEb6wdujf3aYx0ZcKJ9olecJcEvaRtG7jiVyk8DxfeHOGz4IbVAriPpqyGs89DG6agtw
C5LqnJUPuRyBgiJPH/VKzIi64NtihEreQDHAEg+jEYuPaJeNagxqFmViNNLOsGnInmCXsZf8/ibm
kPj1TkD/zZkBPwWJbxwHvxwbWKshjKYDprvMIFAUMSkTvOvanMmRlkhQR1jRrhnScxRuOIpVr47o
ZsZArEnrMG/3kVa7cKOS7FDHtOjgAOhxuhy0JEYzEhabrqZzteBJ0n8iqcy+sfx3PwXF/kePeENb
wYDO3VVLlieRBhzHbgcSV9e5q0/cB1YB3iwzsyDbZAbY9wVkA8L+qJxWTOnd/Wjl3+i34xl1o3bK
lpogAbp2tHs6IZNctb3evyMzZ4nEDbpqSjC/ozFDL+Cp3blZrI6c6rpWMu6+E7C8g3vGUGUU8bz2
zem7UVUwsjBwo70Bs4COnAcCpho3ayJaa4l+wX0zXStfNcOQHkoj0Xezn00aLYe53s60jcpbMQaW
vySHI3piH4ifUJRhO5sraULoivPke8uIgSlHWjvhLuLcMoJJZTVYtFEVvWv4AS7aINUBpxnLg46b
ZKu1ubNqKAzDhRlByGX+AlC0RaWKIbls+aJa2fD3oOt5DKZIzMHSI3HcUpKX4jEMu3Yf6Ba7zmwk
5s/IDOJpGRpOlR61rlPHH58Uzy4utfVML+ZnnpWsq12dgy1mZScltIDZFtoyPUzcCLT/JYMwzZrQ
umHKNp+JNIvhlpDtcJ8U0JUWhpuQ5s7ZctdpTDYXbTvPn8JJvb3Xz9oaDhXxah6NXeVYmiUGeCi0
HhTUaIlqy10AGuMxinFxkkkaNvADbHhNdhXoBFHO2afrEpoO31TBLqyS3PWU4I1MpvnJdfPoLHJX
LtkM6GK0ePPurw/Sfyvbf6hshev8Hvdzicr3j//D9P61eP/FEPPHD/5Z37rGv1A5CAPZgq/qVB3V
zZ+iBv7J8y1knQocj0jmf6pbhY5Hbw93jOHYn1DJP10yFr8O3yN2q6uP5gvc53ewH/OKMf3LVqnM
jMRsWDhULN4XG/2v55S6Cfsm95G0aW6L+Zn7+8FPyVknd5jpZyzsZ0l/+TbTKlJne+jqoa3tdYm+
t+zRc5GjkK4qmvv3/pAX56zXn2xIJpReWZ1sSouz5qysIQ3Zs0uLLuCGPEQYkK17qrKBEdFonJNR
Nq++md9Cubo1NUkEehWsOjI8aUjn4KyGHmh2E3+y2MWnnO9xSXeSmXFR1hCQPZZRW8hFrM/H0tfP
jtECZG7ka0k3mH5hs54sDBJAIj5brA0rGF9UgqV3cs1xK4ljXIIm+/RT9KjGcCEAIwIl1m/ITL/t
p/lsJdNRD/lf8CJIQ4pfpwoaZInG0mYdyQbjrXSd53pqgY4QHNhQV3wPamsXNx5xijokj7IN6IBp
2AY68zkdsleXPNWNHsoLx2IWT+Pc5RQoVpp9JpVKvAdGtDEztOLkepNtFLp0qeXwGJry4hUjUWLC
CfdN5r/JAHqzEVk7ssaPaS/K/ZyxQGiS8geQ1NKy44NQCeNjOj460XSRFYk3JrTtMXtt6uQV5vTJ
jWBqLhyrXVt8IGlBz++ms5VxrSaz29R+RTYxFeNsMY8bOzaJQuBXEiVflIgQnAZ2o4ZMeoSL2+8I
r2GW2FUxXGBNfZdR/sqcDTk1J+5FJ+koq9eqwLWtUaqeie86d0JuiSY5MumECjTox8qlIz2k0aeZ
8d9sI75N0/EouDg7r/ShsFwLPGt6moMuoHx0MrQNJq3blhei9ZmsIt+abxrk7eU0PzVWzUnTHh8h
zq/GqZDLImo6kovjV0KGCC4V45tXzscBecAyiZr4lNbuc0wB7dXmnS9jyMtIeybR7WablPp6HB5n
9OlxXHXcqOYuzLlGmu4xJO0IvOnxYjnlFK3pNGtLIIEmA07uhJEe+6IWEOGrVn8ip+HNN8EngBRg
PIQ723CHx7rpH60x+8x10kJ0p+xWeNQfzYCGRBqjWs9ECcfJ0aKlYcQELqjv3SicE3C+Zzqrycax
7FNlW+6mUz/H54RBipNJms4zbp9p54zcjuAyT5XQqh9JwMTaBSazarRgYGLBbZeNYQCk20Il6XfD
rnanARW6PezZlL39OGjaXRpN2bqeq/yu0KoJRXU2HPKobpdCy8w35qY/pqFxbgyPNF7umjIGmgUq
C5IfhB0mBuksXwOXoowYY5E528SqC5oNwVP+B2HbAnyOKR3KfBQgaUl/NFDbl+mYrceIOTyTi1XV
TRhVrREYaOM42F7isQkPnkJ4g8w/ZTC9C5x0a6lZT6XCfbcUA+uht1/HYmreioLyqtCSaI3XauG5
TM2r2XdQEuX9iqJFDdXtDk4nt/+ciLfSKCuktHkFlITSbRTGBpwP123iEehnbkP0DTonK8u7o63T
b0e4NguQVc8u2P5e1HIfDM0n2Jqj5aT/5Db89ZjLKu5T6XgOUSOYJqnZfl3FEVpafQL5aGcNqhmG
y0OZck8ERNHpMpx/OFZ/Ka+ur+azoZnY4GnLfiUN+xa0GYcUuV3Io74qjBRTBkhTx2RB//0B/tfG
q+Lj+aapdHzoCpF0f4VwS9cdzSSoAIV06asfsBqq5TgxJCmEUB7LPX/T/6Hy/ar4u76mx85veoav
/vz1uwzNAnRGi/Nh6uxojUrosRx5sDXT2kkN7bT6vFk2H5uW1e33H9dUhemvuzGfl4IAiaNhG38j
DGBnl9APvGJHcWeuEirR8xQ4DMJa/ZiUSbrT/fFNIi/cpHJA+oZUftX4hTJK4NmBlxkW8xFWO7su
PUrfz5nr9Q2zLnmUDsu35wig+0hi6jK5haKyyZnij3n4pNsR+PwR/p2Xabg5Sn9rYxp4CW3kSJbH
8vD7T/pvbiGMubogitrQbeTIv37JIot9GkNWsYtEu7FK/Qyc5JzPVMX/8Dr/7hu1mDZwtEJMimzv
1xfyJThj/pF71addDSDvPBmxtdYzFuHC8dHQeLBBQiO/hzFyJkAhv48U3MGaw896YF1WRxWa7SnD
uZFeaUtYI0pJzXdOZjNsI4/lHio09ne64Nt6FONzaItpSzmMLiWe4mOvN+2lSMensVFCKRFbhy72
yEJ0OnRyRfwZxPh4CrIpF83oldtRSz6D8sqx2sydyqWpzB2JwLsoKggVQWOF2mM8pnhhlqKfz7hR
Vd4Jv9v3tB+NnU5LF43WP3yR6q7/emdainaLzINukPflgs2uVtaWZha7WRrX48TIyoYKwiFj3tz9
/qJ9FY6rJxDBrcXVQjYCCeHXa9aICdAUHpOdnQ4Xq40PKFz+YcG8ts6/fB7XoU+OC9EQpI99eY04
gvmVIV3dlf5AGEU8iqUVzAjixVs8m9O2wxGeCmtH/MBJBn60dov/y96ZbMdtZF33iaCFQI9pIjtm
kpnsRFKaYFGUCSDQd4Hm6b8N2vpLolzS7xq7BrJX2TSYSCDixr3n7JMdtDF8xAz3xXNUQe8FF6yX
SXOv6L+vYp/VqZryK0EmDNg3c+OGSbrHrjKvJBKbFdjz9pIT+UZ51UcPYdjKaT2Yjsgag8ymbhHC
7ILar6stwinalH5t7PoRBKVuJK92wSNYJ+mVoouW2tHEcZdBxSQQstqCdJJl+Kr07rYsDFwx5nz8
zXfyN28s3wVZ6STtLMMI48cvpTDQagEsL/Yi46Cg0PUHSYeyx9BSPnPMHSAcVq6zyTvltoNTqKUX
NIv8DJHwgeQgPKVO0W+HcCbJjUTwNRbQJ3A45prJ4KIPcU5hj6aV0cEp9g0JEJOVqCKpfu3K6UE3
hpe5XUjryR3x9FRVyNWChriaNNaRhnKbKsS1OzMbdn413Ea2g3a34fm06DiuWkcNaC8suc7DzN8Z
9vzgV426+vVN+puXhD1j+R9Nd05v7+7RENUu9C5VEItUrClxxhXi3R32iB7PbvSbb0T8hErhPfHY
hVnW6HR6P72TtWVOpmH1xb4xwIYiwS7XXigPjPP3vuD7mUseyRlDNWoslikpqQCj7AoW2UwaI1Sp
svArBIWq3vjODFg5Y6ZRTN6XNhWXaDDPmQ8tNfap9pHSmWuzal/Ihbods+lIu4HNmMcsMtNn7KZU
qSS7yBmnXF+s5UhmEOUqWGMJ0Zmv9O14OVsj0yAGQSSOpgdHQ0Mqq0FtSTTpVtncxRcjqMS3Q1BY
jNjku7Q8FP1wn3QcJL0UHDIdpwHt4HDfdBG9Rssne0fdAyW9rrWEEEGqNeEyASrSab38jZbz/6Cu
54GserUVFvzJ5TVqR/uE8P3eiZYDBK0W3qdKC7KaakkP5dVYp8yMKv5tAPBPtbR5xbqwvsSz/NIs
Acw9NxjE5xXEkzzwR0px8tmfZKxuMaEj4S3tvSpypKzyMOcIrtHMcPzpsgOH4l0esrNAU+TB5O1w
hu4qE/bnuB2KQyrsk2rVGs/fRKt32GEWhVFaNyUTLvuUddaT0SS/24/ffAzv1kNqHbqk2Ap4ovR3
+2Q2mbKmk57voRu8FK26bXX2PcVBEvmTXC/119tRu+x8AaKbSu/tnS/ibjsNdEVryY/VublOu0Ju
/NQnMqIxXRyCUR0Yhlds/LGf9hljEQ5owBpWkZVs6oIMslrL/Kuq8eP1HLEvdnNM2D2/ezC75snQ
WGPg6D8ok3JLb0wCsfSkD8aoQ37rUVlHHAzZD2OEfwinKLNd2d93ihW0MbrbxuNI6qPeRzp1a9kL
P5egzk3SpBjnhvmYx8M9UDWs9UKbV3Y5vThkHmybqrt1OR3s08Q5KTYRDpn9PdL266Wa79xv++u/
HbbfdNhocGHR+QVx5qL4yin8+fvm2l8/880xZH1gY8JWYqH2wFLHxvXNMOR9QBcGyAog6tJ0M/hH
f2lHaKG59nKgYOQvkJcs+/83Bo37weUfLD8GfoPoln/EoKGgeF85gY5aaFp06wzH41H/cePsDdyH
czyCQjOht5ngKp9tyWx21Sc6dPwY/a8CLTgxgaV1MgRpxBTViZv8anZCa+SYX6TEuyXqq9uznc4I
5D/7NAdAtvopnTZ+Kl+P5Jwi+ZuLz7nNGB03k3FGQuqw6vMaXmEHYcILEg/VGsEfDrYF785t0uy2
AYBz1tVzXjbIRto4BQiJTq1ME6UFs8qYP6V6NT6TqJGPqwQSFc0DM8KJM3LuGBn+Q7bZVE6dfom1
FHy+2eTsF5PRhOjjJpggYw0pgU23v1qcRRhNUSYvuGtqsk1Weq4ZoOiAGyM9ae5qn4TaJXQ8vjRx
t3gbc3ITDDQF7JQAU3D5UrVV9alkpn2COqoHvQmMleyZ4cUDuPeJAR1HNOXRD0uGtL6ZKhk9I9Ew
oPkb5YqJNZYLUt4csMdIz7zhNNtjeW2bU4ljyCNyhvnO4O6yMUlPnpmPN1YGYaOaiIHluEkTHrok
8L4AAz7qAwsqiZG41/gMsDZLM38ZSQwjCYSDm0NZRvKy7O5AbbSkUsALZLpu7sO5EhghtbQ42B0s
ZUkG4BHXK5k2cyvqg4IljYwvspkicIJ3Lz09NzCDalP2YOZVf9dbaUMzVgxs46kStHXS8KnTqvGi
Gux6U0B7uRxmQy5CBzZ5dOTBQNPnco5E/5gtlvTA9vPmcgib+hh7niJR2Z8BoE9LoHebWTHW3yLb
VLVfyHUx+HVBceouXWBYj7jusd7Wi5kqAgpp74hXwwZgyKH9TFw9TuUBj3VFGrUZkRTkF2LPYp7c
wkY2H40oT6CU2FwN4UtzhzVUbvs6to7CkErHm1TGe83sEENOCI6NTtX7YaIvG+HpxYkvx09aETUH
Igf9P4ZmcJuto+eRtRLEtiUbjG/+rS8d8o3wrJXEnUemcx1DkE7RDWOcWwHBTV+sqjT9FWGcTPh0
cuN89D5BnTM44ntMkca38bU7yvaqFVN8cJlW+htBKD2I6gI0u0PyMj5hWd57Zq2fo6YjE1Gr+eei
jKyrGmt8uYnLvDrJwi2TFoARb/nTWAi5hLRHtOq4PaPh6RgfyNfmL2UhInqDo68m6dy2pT/q2WWh
62OBygR3GQSZAcNyqGY9vJ0GZU6H2I7lvh6ca+HR1a4sdw5g8ETURI1/NzKfVZuWINdPYehPZMzA
GV+7veXDIqqMEsZza9/1vY2AdUpEFyzZPijmE/1kwRC97GwMJBZlD02Wlq4mwURkiBDqAWCDR5H3
5TZsR5xPCY6Sj2M4mDmI506X126C98NfW9Xc63fW3DKMz1auU9ik6tTafuibBwvi542WenCjgKkO
FxykDwpkxlVZVc0OKika5DGbd7jyp5u69AxkTllN4qodXXhTm90MjdncZoMcAyuVGCJNP9uQ35mv
mb+s8rBNVqKOT5Sqqz6HYKx3ySVlGDNQ/kumVu96N6TkTYAIhTE5PVI7SGmsIFTrK5Rn5Fs62hCM
eIceYsu0LjjKlIHgtmzpwbXnRLc++UQerPFG0t0flHYlZxHuo2W1nnr9sQA6Qbwf+vV0+tq06tjN
3MOwo4cDMWIKhJ/qWzD9H0cTIwxY6wfaj+5F7lUv2AlocSbGrY5YBiFz9hCZzdkZpLzu6uIJLTrE
2+lIFp6+zfXyTiVwivLR7YJBn/KVPqRqbRTLZIWTo7d3Y3TRE6kLq55SDltg7FzViWgPjQmsWobR
dvI9tTNMZa1FC6ZlZRmujkw2jQ/gh6jQyqGaPxEO3l7542BtaYOv4HBZR4dv+1KPGoMJTF/c6mNd
7jS70BZhDU/TVM4nGqOSArdEzOUldnVTT5N/a4LFjtfEBWQ3qTYOZ8dvvrplDIs4icRxzv16o7WD
lweVPRKfoAqsYiuPx+8euVu0hjZXrmvmPZs5aXMyT6LpBE6FRqsSzcd5OSFottVi7UhubCIPeSVS
6BJKtae8ScldybP8TmVheGMbIZkxPVIhGyQU+mN19EN9WKeGGT9nY/gct3p9Y1TucG2M/ngERWje
OqCy7voBhkFnAsRy8wKRNo+O1PRHu43rla3xRyzHMKDLhwkodV+GUbW3HlPuAFrYtEVA6W/7wc1e
HZqMJybBbT+jm+vgJK+avrVOrDHaJYha11jVEJ5v8XZm69ot0iMNZxOChVHt/LGNX6wMdj4CyJY0
27S/5SHMyF7Xs2tph8DNCmg9iTO3ayH0axcHzrozJIqv2TSvM5CXa62fqrM9iM82vfpNLbT0Lmf4
R6Siazx2pQXNZuBkxZMRp1jblO5A3naL7ZQYNO7BC+xE1SRHTTn+wW6HCatYMl44HVvkmM7OhUZQ
pFi/FX//1sm/rZN9j8ryv2usL8rhXZH89gN/Fck+YEWbpjKF7vcVsu+AYzQcNF4wF13jTcb9rUI2
Pyymd6wbsGCXAvk/FbKlf8B/v+hpkH9w9oEQ+w9m0Myaf6yQgcwySSAPZ5HqGK751hX/Tis35V2n
CjfxDnqdj0dNthUJ1UZ6CzIn/ZoXar7ARWGRCZfZUcSaGqYn08ybTzQ0WhZat9WuReTigoirSV1b
Zhc+pDOv97FOxvEl7hIZXRDOV4dBWLD+B/U44y8inm8Tjpn7MJFKeNPj7gZgTXhweIhhgHxVarIv
Vd17DzFuqGY1Z42X4yYSxrQuSiKc0KwCcbKSC2WrbCORk/a8c76NGC43na9M9bM/Ct0FB5/NJ+mP
6rFjCnZLrGcPkUhV4WtnzvmZGcpVmvVsBPCP5CeiBOpnYvDU4xjVeWDAHH/F7lzhHIrspY0wuteV
g0OcOabZ8qZH49XsNrQBfQSBr26uaTdlIfHFuCqPTkozSBO0Kg6wUesJ0klK07pE4p3KQGfB8Ffj
0MfPMyNw8IRhu8EfGX8SAKzHwPRyb9e6tukSi+Fkd5OI4zMVw4VdgrnbJ0MW7fCkeQc6uGqnl/Sp
1+SyOHc5ESwYuYsY9PyENgccoqBTvYpTqpx1YZX+10nosNeRCLt6wOywP7IPdIERpvWhD1Nye1tB
g9QoS+xn9egfFykQGzVbGf6WyjtZ1Ots/Mrtb5Wb1/sI4cI+1fSWU0joceJPUPTQxHequxrsFZNV
TwtKgh1uSj/DqqoRRnMWbujqKy+a5RlZadkHEfT2JzQM08rprc474qdhrhvP00iWeuT6lJ1O2AHi
HyQR7EVzLuK+CZIxqRGAOVUNgHCMSbVO2u7QyXyZicVjdO111Svg7anf691cJ0QXm+XrQDSwtQKg
QMISsdTdS9FQduwRKWbgxUZ5gaK23iAWleZFVTiQyJhWXTtDo9ZlVYCs18zG5cgBbEeUPgevMRHD
mYFBJB9qHaO2gqLrwfnaCPgR3Q44XXI7kC99nRvQT7OvfLuo1Eh6bxLuLUq0WGsv0WyC3zzpjpuH
p6itffoipbESFiEEgz2gkJyE8THyuAYuxzVJPXdWS9zNUJjCDjohaH6GpD9gwg0RCvCGBorR5WHq
rHTb5mnO602kxQIyxU4wrNxCNMDGGdO2epUHdSfCrYzTJSab+Hd8zpiCyCAA8CWOBq2nq1IX2O1L
6xab1J5gCPtyriym1XpDUrJeLOPtmvvej2OVr6BEh+vCa3gCraLWTxr9HWfdtoSwmE3ob0l46w4G
/M1NIinAzNEfLnsToMZQ52iG7Z62ZAmy/+i0dX8wZJ/fkrhn0borHXsHgqy71fz2Zo55MdNSvmLI
+ogJg+AkL/1K5KO1lg7TuzKR7b3WGxnRHqMbtAWJUAld+zsin1i1vJz6zG9pZQJvxPlGBjO+58gL
lIF7V/XptWkVD77VZEE082LDOdvLLrqFjhljgxcyCPGXBjLRlb3i/InKdXZyhjTOcrfL4R6ReLzW
1eRfuKU1b5i3q51nSOPWqYhfZ3kiNN1q7AvXtvKNg5BypDnX9lc2deqmHuV4CR1wfjQzy0LNSTcw
Tqk7xirmbNR37j09lv5YDU42ski1rCmUKayViR1qL/oMbJE3P5rPesrbi6dYXs+KtTGNKFBLfB37
XvMx5QnNHzlRRuM2NGZy7wo9DwY05EGUpPXpLamJCFvvmDbGM44c6CIRrroxzGnb+XW3ydvFkW9y
U24GDtCbcCbUNHCijLttmIxBA4ow/yUhxIV7bircpsnYjQHqz+Iywbh4lq03fFU6SmZVpDMHEUPf
6B4CSRIq+m3TevkTpxGyzACPoybk63+SoNoMu9dOdjoWZ0G6ynrKIv2ekVP22k5W98kVkXXnQiC+
qes4goJU69ussvorNXfehdQtUKwZnY0NKJuMRTdO+rvEMsuDF7fms9nySJtmPVwiJyiuPFG1OOJs
cW5bOw3Gjn5Gmw/THQPMJb5QE8kJoAyVOYe1S6iM4V6PbRko0Onr0vJYMrPoLPxW7hNEr1h8etdj
9uK5YF/MaI0Fn1ZJ2MXzQc+qeJvTMjolRhZ+jIt5iFHV2+1nyr+EuYKmkktDpe0eR3WNVVKMX3IG
QmgzqvneVKYRVKF0yW7IEqK3CPz9WOOXuZzjcLichxIvbObokuetjm8Z1og7LAvGdi5lBbam5piE
FTh+rOqqxQpP4zVuyyUefVnt2dHH5zitM/QtFs4nzCsjWhszRQFpEc/FU3lAlHTT9XhoOZ+bouue
9NpZituJI0yqP00wdhj+jW6TPDLsWtgRXen07ESp7snzXJLtuyrMPt/0wqnXk6lGYCD6OH8FROhs
wnTiGIzM3F3FDLqJO2uApkXkXewGPb8fRsTFSTpEcHpo6/BVZmv4rtmNuXSS7AJYZ6RV69ppkuDf
+vj/J5jR0Ckhf1UfXz237fNL3Ld/dF37fTf5r5/8q1B2/A9Mgx3aWTaFDTGLlL3fpJpvFbFp28za
/oSY/6edbHxgVm1a+PyJY11SHf9fO5lOs7GkKegupDf/LSb2HxTLP09h0ZEDaOWcy8V0/92EEcm2
o6WVVu29JHuNy8jfaR5i4MTTfzfw/7srobphFIQSBpLCuytlbHPWPAquZDCxzfXqc0XZi5857v98
ZH9IoPw+cfLvrsQ1fGSoLgP59+7KCOjs3FRptSe7rYe0pJ9blSPigvb83Rd+/ec06zcXwslpQKPj
cjrX+rETr9xM+GUzV/upTV/TLH1lCXyV/PV/uQxyE+Hyjf/0HXVOPLeIDat9qKEt9D2KgzZ2aKKN
zK3++aWA+FkYI5lTiPe6r6giFqGM+UQqpJ876szKAAF4l00hf/Ohfh5tI/TCRmbwPaFHfq+X4DDh
aZ2PHztecFROD3YoGh+wcD1UCrnRrz/WMhL5cRjJxYg5dVz0bD7G2x+/KI0mD+9mWZERTmS7ixhq
Lz3UdKWWPOuLRjSxsBaJKez+l/vJPN30iXdxnPevl9OUVGkx9PoKQu5dT0Q4tYWWPmiSv/v1Z1we
tp8+o+0arApMm3irf/yMcy/7KaFHvIeR3Ozzvpo2eMLCu19f5W/erbec6W9Xee9/QXuutJ4sNoor
+2g044PKGTIXzf926777PO/WC4wIMfFZXCnO+gkpmXyewYAwIv/d6yXeWesWnbrAVSZ03VmK0feS
LqgDRIZpbbrvHBIbba0tVx18l2Awraca/inzg4qWI9Tdrd0QW0t//jfqIVv/+b4ukeAeD6cLkfAn
kSCHG9vLSWKFfgXOv9IX2eWEQuZ6tggLpJEIQMhvxLYGU7jXsbVwVKJZbNZgslRtw+8aSheqwkjD
simL4QVUFnmMktkdU8uFIpi+AmQ1LwgzVVeVi+ysqWa8qQYk51VZ8a9MAMQ3On6qoHcQ+7ljnd/Q
NDYeSWMrL8Abh59VjtdnyFFNwwBJV+VU+LuBKpeErNFBEIsZMydGbvTWoK6si66Liw10wmLTGW5x
12nSOqDLG17qkI1GdA6/u4NSbpJWeQRDrGQAsjAuOT1k+hdJfkOQ0DHEpORbz3nIhwalUW1LjOfk
ZsFE6mwLOaEyF+qc6AkDW9XgX3aYeKttrYfjhhAoDzAVQoxc59O9CSeA7BJf2xVGEC4koZj45Q2n
KmIq3REpQgzElTMmEmsrh8cmm5k0WbB1a2+J8sTEoNE30o3HKFb2cYyE/Bx5ZYbmIk12dWuSV+rk
xiOUDoCH7iCqT1VukR3qEEyMb96tkA+YJmz91UgoU4ISHgMhDWr8xniUbvDsdJ9Dbs0xlnV1dnr5
qgu+0146xiM+wtexHcI7xF7lxbCszviJ4emh4U63TabjblrSOeJrmTjjrRwT64JNBe2uypOdilAE
UokQEJdBgTokkYlNi3S75BTh9TtLB9uCo/niJEqczk6f2cXa0AbPg+jHm5cR1HdgXARQ0OGWpQk3
Ae6+xKQcTwHI8ejemxeXfOQm6WcfjD/jUdRWOOMlB25yAeegnBsn2yUFUT1Xgp6Vv3ZikivisCJM
2BAK7lrBqBgpm140lxpYkEdPK+x7gFz5q+HGuLnIsNsUHYu3rnv13pLCfyh5ue/NouT5sRvdRsZl
kVEGsThW5bYfASpAQMDD4Rt8BV04Etw3GhXoNC1Cp6NLmIlgqXntFuthAMIfQTxzjF3He9+vbFKL
44eu0CK1671CPkOy07aMIdWV45bYrxJfZTvgf+Pt0PjqaSazcWdXfZdtB60xki2aNHvezBJK2qpp
o4Hz/JiKL7NftV+NmXfLAjQs1mCb2o/KJZ4pkpZ9fHOu52PJL9vgeDk4Og4HGkIAv0XKN2HHUfq5
jgyYhAs+kWBhFFKNfDXACV2i0TYP/CJiKyLwghqw/WEd5058igiY4xCBZg1sIiJCWF38wdcL5pYU
mRjKGBN+UNxxNcZ/FKRD7ovUQVDgxOCELNE/Ve2kdiYjWlLmMGxuZsRpbzaPNlyAS1qnkx5FmEAT
/dH1DVbHFiZbbey7Un3pgUUc8sIxNj2BzEd2Y/fmDR8pCn4tXWTqSnWNv4lS3nPLQ0rFwCR95Jg6
H5Eqb/MZ2080I2IMsLJw0iWVNUEzkPFQsypyqMsq2qm99M8mde221njr0z6b1ooG6cpsgTbgIraZ
fnZgFJetv7L43EYun9Ei4N0mL4xpTevdmKoTpzIaxL2EOXBA1sDVWFA/9z62HH2x06iCj2+3dGlW
uVf75w5p2UurNfiZo5Y1J7ZS70Y4iJAtHZGGzULZNKwfDp5FclswLBpNM62JeCX3DQSFdxOWaXMp
hp6V7K3Y632CLzKCSRnqSxYxA1yTM3DppiTEKmnpTOL5Gl5iu6CplxVIOFqdJ1g3Nk2SnU2sRdt4
MD2+hLw6t/VS2pcG0YxkobGS1yDnV7mA4e1yd5LQH4BB9WLztupCrf/UpZ74Q2c8CiiHZ8TGaHRK
wSGdpD1GWzXFkjWOYobckM4+ycjetpacA1VCSbBpfO2AjUEEnJ3yYzJyh2Y3LNaMeZuADXcIAPOz
cmd6A3eT3eBeYe5AN1cUB1J+8pu2Z+3RIlaPweelT1XOPffLfmtKG70XcY0nMzT0L77ou6NatPRp
2UOebrN968DokDGy89yPtKuuSc5mYqonTcr2TIowCQhyfkx0c3hkGIgWkC7lzpqFjRsVKysZivm5
0prwOks/uXWT45mMX8soJJe+Sz7yPpNjokd7uETaJo7A/wEgrc4WSNyMbTHasbh/oTuI4d5l00tx
wF5oSZw91GTLHRqE4g86QRD3iQ52IEDdC/H8bZHFylRtZ76DLce/YZU69PfYt4FYTdnY73PDtppd
EfsrQ8QVwtfWlzT6s4zFTHLOJD3BkH4eiEhPLwja0f2VV7lMENImb9aEWcJyySoTpzFsjk5f2SGd
yVWVGx/b3MgPQ23mhxLRehWQZVEf0ML0617kk5Gtw3rEmHacBmPMGaDoGWpXB9VmeIuCEtS8TsAi
09pE5WQISESUDJbzUHkHS5FKugqdHlpPwHGg6QmG8BuXdpaMPdD4af5HZTvRSiQRBmXPrUQwTD5K
SbO26RfiTpDcA1Jjk6BDKnnNHBKIGwm8fh+geJabroobkkrMXqictaf97KV6CkRuzO4GaY7ZqhLO
kog1hRZGwsV9VCzGvaTSv1hev68kEZ3axOAbZmG8NRbLEguHukGoqF0JE9neunNRK2kWQnzeU8Nc
lRKPNjTdbm/U2InJMn0mAzXduAw4N4ZeAl52a/FEy29EV8TMevHg6swqjB6pMRKgE69r9BJlruhX
6SJizNzRp7rVtAtauYROuVHO+kbSOot+RHXCgc0aVoPlZ/a64gPvU8yMeeABvd39usY3fypGl4JY
ELbmIFyjdfHuuFSN2Jg9ePj7OM+tA5P+/LUEnAf+q8Ndh0vdorRCmMNti6XoTnRfOT3hxjrDqTUg
yebPbFzFwTOIGJoMjjoEwJHQl0GWPVpGghyzkQ0YTixsCHJIZXwDvJCOlOzMkZPSxmJccGfiFno2
HYv0d8x3tJg14d5MIQlpq3Aaswc9SeTntzWwKGD8BMO8dLp/fS/eJNY/HKvgA9GKQb+H3M4Ub0CA
72aJmK4j0kf0bF9TTKwdY1C4O3qEKl5DzfRGpJ1MYoxXxkyNlfrIaln87GNn5mjphP+7c/NP6r/l
96Fhg5nHXnoP73oOC2ye9YDfp8nFA5OlI7glWLcumsesvw0ntvxf34GfDuo8DEgduRITXdpO7+SG
raXsPBqqbK8QYZ2LEPH7W3AnBoE3A3t58evrib97+nTElECKGOSa750hRUOxh6ON9DCvBhvNigkJ
ry0UuEgerE7Drphi9D87tjdcv23BpH4LZxcbWCpjgcg/TEk5fWP8ju03Ye1/7S79dM4mwhTZJcJm
3hDuy7v70dHvdapEJITtTMnO1qLyWFnD797BnzoWXIVGhQFWEoXMTwa8nrCQ0CnKZM+s1SQ4jFWj
qBzsHAYazZWTAjmaJJU7ESjq6ddfgPHzeXhRvi79H/KSCEJ49/pPIrVUkw3x3oIzGe4z5quXGqqv
z3lPXdqWgz2dfc32Hwprekj9qX6FLTZsukkxXOlKjCPLYodPtM56z9xEXUUth8RwT/HrX8qyaL9i
bQy7i4W/Ff3ZcflXz/E7PQcKXJox/13PcXwu2uf2+0Y1YpnlR74pOqwPNgsL/WbYdIRlClQVfzWq
8dV9oB1uIM+gSYxXx/xPo5qH55vO2fmwLA9EY/JeLIwB8U9UHIimf2xoLVHBNFWBYzjLQue8d4XW
YYcZKhqdY25US/A7CQ4A7TFoDnXQt1rV1SsXTAcqxjQ3y/BUFhMj48bWNZRuc8cU5S4ra13LD23r
mM240SDSWOHeC5nAoPNVNuGwdTYTkhcT0+tuCbfNreHU6WkC1GUyXKbZVks6W7Tt2ix3LpVVty9Y
Km8giLphIAzNDazYcQmL831SGupoDaZmugMhAOwD+0lS4b8ShV7TZjHkvDNEQxpDMYrMDmSrI3py
GyD1+6ym2rqGR5feNXXof2qz2URlxpBYMBRSsjqScBMjgJ78J40dseQSkzNvRlBBya5iF4eaNhX5
Bs+Cd07rwvlUIy1ea345fE6UxYQUDdaWQDLodc1i4ZbKGJlFm7HmrbpSAzA759mF7LP4s9Pa9ZPR
msibRZn4L6XvvWTjdPL0hrMW1dp0wR/hlaJNdE7sRN/T1BKbTpp+MKKj5d/BanbTyyKGIDJN+rob
YFTjm3L9fIXUgxLUCh3ywoWt9iC28ute9O0DRJbwwmimYTcTpXfjt8Z0YJC7KKgThBarkO46zUCZ
fOV5sG9kCip2o0pDO8d54e1G24FTVI4CGXJX3Mezi2TE64n7mpH6qDGCtMKJ0riiN2A8apAFwdzW
hnkurahf+xXyjtx13QuViBk6mz2pNbnj/UYYRb+BbGQQ2ReOW3MAj0iq31gGwH7mz9qUV8THZdqu
Bs1/YcXG/IK82r2IW1HdzfoUnnqtLi9LLepzThjadB772VECILmyOoAuBCH9+Vd0qpaKrzTbAAoZ
JHr+BjBWvlU0B1nROCgOaFGHDAMbziHpY+vTEAIKb9DhOYASmjeAlYT+8rZM/Lui/nZFxZv4yxX1
j6LrX9LpxzX17Yf+WlM98YGaSVAsLKK2xS7y14rq+R9w1S/LLOnEHsM3Fr+/dHKmD4zF8OlG60ws
DGZy36+wgCtZF7GYwDFdfuofjP7ET5UMLE3oMTZVFmS/nzzTpgPMwZvD6KDYjAl7pea8GUQ084wX
3S6p0Scp2rDagA+gtjh8wN71QWWrbt+4ZCiatah3aKEBg3x3G/9urmbwGX8cZhh8OHYi3XAMi+3n
XZE1tvZkp4xVL1yiVMqzj3Dk7HEs5nfQQhuvWE9Mg7A0C+NVCOoC9b1WkVuYI/AJv3pFIW5aYXt1
s6kmN3cf50qLTlNcDx0Ldis+5XHcOc0mU9W8RTyieevMZlpyRsTutdracjrN2wMvn9eWnhZdvBbZ
YKUjkgc3bT7Gk4oY9WtwMjmWZfWtF7a0mCy35QyJDcM/EPQiFruK3IyNf8/qHgPm9wfPvKZS7T/6
ZZWthqYmU5YVPMO6M8j6Sw4JDDq4CWdZWU0lgwSc8oRYGeXyVoVGnB06MiHSLTEm8LAkIQg30JrB
FEfDlgnMA41Abdckc3PgsCZ2fW+2LwnhhGc/t8e1I9ujiEoSPJ2WzN1kvBb+SBxzS/MExqI6jJrS
1ok7s+JmeB5Oix/0sohiAvlkiuamF+WtZvmfdFO2Ky1py3I9p1n8BAivcld6bw9kNJbazdzTY4Qv
NrWbIVGksbvznU7L8dxMtJvG2S/cVTsQi7z1Us360rQMZ/0qJv7UtlFb9KaeOLc6pI9blRRmkIce
0bBqduF3mmT9XSHDac2PMmow9oAjPc9zvUGYZTAcyYb7CZMD+ECTbGGnsndZlhfbyiWTNhCNQ8MA
yd3CvRP70QyrjUuw4Mqc9RqxF+mb6OaGQNSRc8Ndr49kQTZbSbv/EGHQPfjC8Q6xIAZwHRZ69gRf
sr0vXYRa9cAgP0h7DXlgm8wnszDGS1Pp7ldgO87WIs9xg1cIOC7GWc7BCoZCUnYOVFJlbed6GGuC
aqv4OeWxh3HYjEHHk7aaWfVvdVcNJ7CE6mgPbb/JrMTHShFnm06bsY0TnMkH6kzAnHmDG4r07qhJ
Yh5pQhHC7YCkButjbTlPNv+RQBsz9lLP7zc2MINn0DtxkMtp+mNJ4riqiYZZe+PY7K3KwjzWobj7
xE4MrzdE/H9hKEc263IwpziYO7eYduzAOINcu229lVHnLo0/v84QLUJEW2dRFi2+9FC7t8eWU7Ol
ZYQc4/o5+pVd2iRt6NmFcuempQ+ZxZcRmq4j4d7cPfBAc2CpRbup4m02GbZckZ1lveSDNTiYi4fm
fh6q4tLPljTFaq7TKzo2IdBCP/w/9s5jO3Jjy6JfBC14M02fyaQ3RXKCxXLwQMAFAvj63pFqvS6V
XqtaPX4TLZVKJDIDQMS95x6ztkN0yIwAQlK8E+oNudcoRYkCiEymoDYzbx8UjX8shu45SqflcyAX
tY2n3j1GBMOsIHDCiRWW0dywE05vMoVcuhIhuSGrKllqa1Og+YzWnMrTTOhpF7zXcUDaodd2BME0
BLnLG9RV7hH/PBzMiRwMgKDkkFbnGYjNXkWzlMcm8RtvA7EKbm4OVfPWg6LaoWhN7FuEU9O930kL
MlSdgqfNdV/eYlwr9hisAr1CemoMeGSWkBsBR+/GZztAgRoRKj7GZfVCIdTi0e4MzVaRZHGNwWZ7
NsBk+02glUYYGzVPASVUubHGzN2YDX/v84xG204rleTiddeTnaZ3mT0Vz0IrmkKtbUrmsdpUYoJl
dpE+eX1RfMlhXkDIu4ijIJP6d302l8YrKVeLVr+gpLIvoqrgIrBKRIdfiKt1V93itKe5sqa3JExR
22l9lgUwdIDqt1kM3wBP1zou8yLpGrS6K42I1wom2T16ToP4i4FHes+U1/7UMOt6CGZVWYeehvPO
dV0hVnIeCuwtMD18bzBtBOojI8Lbd1p1BjRZfKQYJRA3YCnwnbCSiCGtCYHw7IRIFQqYY9hfazWb
J3suVyaD/M7+jjjMSElVD/z+ndEZl0gikzEJezPGZE5+7ApbbdsJFR17gzrmWlkntcYOMyrkdlIr
7wo0JWQ5N1pVozOboos8D4g7OFsX0V4w21rA16PlQzQD/0vC07saQt+/3DbsPtOrim4Cmiqpwra0
gi0EkS+5g/xkCklZLVrlvKDKEsecZuEuclKLq1Zf7FbLDDEGdG6VIc55zNa/eOUZiClGeYi3dYA1
vu8ZJK9YlYGzQi22Qrj5zew1wd6lceAHFmXf4rqKaG7SAkhPSyFte7Q3VTqjgur4B3wi4x1Dofa+
I6vgyvVat1z3IkVg6UXyi9SiywJIYtNVjdrruuRzqcWZPKWes3Yvmk33ot9kSp2e+0bicctx2l05
oZaDek4KuGz1S+Bux9mYXabUXeTs5o7AqY1asJHz82Got60WlroXjel80ZsmOCzH5AtpHepw0aSG
aTDRS5OyvhcX1eooze4t01JWSjhuV/qB74O8NbCDfJhN/7FQsbfPL1pYx+2QzdXYpV73F7Ws7sFv
MatA9DWkzTs2UMNuYEq+QXHK/SK9Ct2t4eT1u+MxcjC0LNfWAl2I4ai/Ai3bDdveOvdsZ7xFWtab
XBS+1F2ofUGgITEGgV18AN+99YZFNNQMqrMGgxenHI1iACk8NKCGo5ZN18SgkDKD+Ur1MKXmcNPk
+Xzv+laGxE+azsbvLbjfXcmIE9z6IYkmDmsv9K5Tr0mRBfOKnTPmrd4GyRBCocnNHMKXKhc9n07F
ivMZiVKu2s8hziPwGBcjOgVuP+kC07O7bZUD4M3WMrirbuqWY5gzRUV0NPrnoTIXd0V86GivlLGQ
HBfkuTy31uIRi8E+kq+72vXxvo/y7pOdB7NxLx23cvcjh/49by3MMvLk3Xgboco/ybzjJCBGvG4P
Rct6bhR0s5ij1aX+akonfFTKcjHfC4xeO0H5V2FXsNGmkSP2YeOX+TVGSIUigDmoEF+G6qXDh/8B
cWjw3hLhsm982CBMIQvji2vFBnZhDPPgAXQIOggaNx1c9BeOjDZIx31WCesOC++0OmEMHN0mYyC+
RzWD3XVpJuZRhHlpMgCXxqp3RsKlFEpWZ7jyw9lGuPCftu7/ROykbaDd+N+Bsptvn7uPvviT+AmY
V//QH1CZ9xuTAG2gD5UMYEz/1b+gMheojHGBHzo0Vto84H/0T3R0UDcZqlx6Plq+P/w3zX/Sx9na
3+DHbsnEp8OkJYRkRssIePfTTKB0RgOcIZVnp1oiEIQFSrsGFhwEt3N9lkHmzqI6ZkhxCBk3QsQF
cImfvLDzjz1Oc49lFWpLST6+dhL3b21c688qp1xkT8Qj3+55tSG9d8auXrLx1SVS5aYLgzbfSDsa
d9EQZje2CpHUe12Cc45cdMJE2q/p4xxCqiqP8tFsd6akli8Ks74bpml8iGAC4LM3J8ULuM90co0u
HFekMNSwq6eY+UZqIFoMm+ihTMPqAQOOFz8sliPSI4UCJUju/NZbHiAOdA8ka1P70bhgaTCA9k3O
cCoEoThKE7khGikyDejRVtD/y6dRU74DTf6mkWELRdqj7phw9Hd+4Kef0GuM2CVq8jgBa/YuSgPr
MbhQy5Wfb6Wps5cMs1bnLoGEzhb9TEY0vHScdeCou5quzkR4IfsGCrsJl72gqO5XWNr1B1NT3dus
zsnh1AR4XK/hwrfcw+dSE+TDiYLX0KT5riKjeJVqKj1hPcE6rwtG4ngsZne2Jt0bsO+nIqcUylWx
WTQ1v4djdjCnBoZ/Wo/nWlP40wubf9DE/llT/AtFLutA0P1tCG/kwIiuvg5aczq7Wh4Atut85Foy
kEfW8MgwBB1BpSUF2rQJ59PUDo9UtiM2EIgPWiswNnVc1vdQP5zHQYsUHC1XmO0e4YKWMPhazEBv
bdw4WbBLPHN4Za3QPCBjiO5ggVSvDqqhnaXFETrKDv0PggnUOMaWSlJ9bae+v6V+ac65llgwXYZq
kl+UF5EWYTgXPQaR6GgzjItOQ2nJhqvFG5jPoOPwtaRj1uIOZM5yF6KfWkFm/MAsI7yqR5heruOJ
G7fD2HHUUhFDi0ZSLR+hyYScIrWoRGh5SZkgNDG15CTX4hMyKKh6tSCFLChKTcSyBu6fWrESX9Qr
aOpRsmAoN17hnxAASyF0yQokL04V55vcKL3XzKrMTzQO6oyowNymWi6DlSzKmUa08r7D+/+tLQWB
u0aJOY3wsuSJ3ATvVvc3XSiSvZRBfZeZ/fBgy9TeFp4zMKGWC0mNOH4EqJJbLZkblMcZT3NJC14b
SMWwkD46eQ70Glnd0ZvzvlyFrUXEWozTBlylLq5e2EbE3VyXy6HG3XqL5YW3zQxhXtMTkgMPk0us
gzYjIymd21tcQZLbLnVtgpx8553AmIhJNmbcn/o4ZXavwnF+9H3cPdZMwXHMzq304PlxdRoXSbJd
ZUArwBG99eSuFrN5C43RshBiwwK7QeefvARWjSNE4DexWLttG7OTZGJBLdh8LUHWwtXoV+raWQJy
/LLCywr4M9J4SWTPyDm3PMqC0khwT8msHP5FDj9ph8QCzyoRCnVvl6b1iTDbGgmfsDvR7kraNFNd
gymFivwbPJpGZe86CCuV7gFnglVAEBgUP8b9bM/+cxJUWP4MmI3LA8UWb/tpETgvLOshzCtF8qK0
i+mxy1USfnGTIk5ryI+lOXnPFf5vbbANBd7qOwPNWP51DoSwCtiHVtdxcHG4/Qfe/QW8a6Or+FsB
9PVHN//Fhvv3H/rvOiDwfkNiAEUC7h1nO45A/6oDgug3xMfwvj2PGRYI8L/qAPDdgHICrzUqVVz1
TYZpf0zQgovqwwIsJm1C51f9k7rgp/kZl6cI4Vkn4QhmIwKTPxPCSRHPMY8usO1PLCIiYixYzolK
5ueKJhd7Sc/7BWz7M57MBQOMkUwPSwcnZGT25wsOZZSCSPnzgZjm7p5DjqQfQhJ/wU75GRrmKowp
0XZD7eXwu0yvfyBkDF5vQnhOFXaq8HFhI7X3RdPJNdkIYmsaU7my+m7aUPoYD/0UqOcfasF/h01H
jEh/rLZYV7B3mwwvzHH5w8+c/nGcQwDYYMCFhn19p6Z02ZVBah4kBpTI6tLuxD7e9Xvy5SoLF0En
RgguMoNAYNPxHrEdgTTaxOF8TVcE+SWxXLbcZSowhC74f0tsEau1UxoQX5TIETl6bCqoYcN5/t4O
c0E6Xchpr8gBSplmUVr57alC+PYKA3Pew/aFhSsSCwMPLVNvV8j1l4PZKusJaY646abCerJJw7kb
nDE+TX4vPsKqyiBuNnImMI9vBPVevpQjAF+fqxpCKfS/Ls4YxE4N+bIpjPT3NJvFG1QzfnBSsHr6
Vtlby/fZjmVQDRvZC7M5slRwfxKL0TEmwq7r7HWWUL8yg94Gf83sp7mBgReoJr312oXsWjfibCwT
qHRw17r7ppS0pDIAvM8H5IU9gpjrxVHZITaraUMUQ3cqRru976uB2JExUHu/tcpjO1CFWs4gX3Kz
ki9tvviP3B2sPnr4kbUNX3BE3ftlxnJlnaBnXmekxD+nQ9y8AaNyZ1pRmwd/iniHJvw7naGOzj6Q
8wHp5fx9QmPxbHb8CGrh/pOPlPMcK5h+bTJYT2O59J/yYarP2v32XFUhK8I4E8cet5rgyfvjQmRn
WYptL2CUTrW0t02LTYHw4feNFkmpud10X9yYPyYFVA0koqSgHAxFkmTtji0QDa8zOpp572djecTZ
RtxwVEw0jnmZbnqn7mqQhL48ip66kWDJYkOEiCK5KS4e4LYWOz9M2xv8pXVTnchvhUmzWpNosatw
M2XTsJp3mJvyJY5IY41aya8i8W0vQOVXluIbR5MhbmKGsWufA/vWSEy5diO+i+/m0WqI0grj9YJH
Uaa1/GYV2bxnnuveJi53IpZRiJQazm6FHzIscTGyrih5PwJSQ6nc4xzunTKyetOkcfzgm3H7BWrO
cl1P6fxsT3Cu6oaXoexazkpGNV+hc8OrdGEk4ru77CyDte0T7iPDbZZaP6JlreS3mVHCbilmUvLa
hTvhYrC+R3k5fwcCEG9lQh4N2WBvk9GPpxRO220SfjfHyJSrzIBJvepjwpLT3ns37ZmBeRyPL4nN
s6kdTLO9rTmArlu+u3Egv+E2IW5I6uGhVETVqJQb5QfGQOSRC2uuctzbaJi82xF621Od9eJt9Pzm
3RhcnlbMzXedHTfvTuVhVk1y8aMK55A02zwk8qOemo8kJG1hnTnkqGC9VWwuXy6EDHXEbsl4ULOo
h41Cnn49YXj0SfQG0FUzWOQgJKyPhUz+pMq8wpbezGBqY++xVuTP7z2VEUKIsJbbREsEGRVE/ZWM
u+icm3PgbHHhaG8G305CGyZtZBX+m0R/MnzJutF9y6y6KpKDdJaaBINhMeotkRLTeD3T3nmnKXFG
98Ep5nmF8fr8bIUztE1fm1dYxNtv2nYhvcg0PXM1oCWrV40iJkqO9c3YAFwOPGH0jMXdYPYYMZjl
g+GNN24lqh0gnne/dIQ1eVh+35A2/xh78U1lYBaPPWxyQD+SHiu7eO4919qCio3b0Z0/Y6Q8bmGs
fi1SuzpiDfZlHt30mC7wU2trFOcGGG5belKt+zgZSPvr222S9VdIp2NS6jvrRFhhtLHmLliXgZds
EgFNyyX39dqIhJzX5A6f/Dw8QU9vN1lJdulKRHF7hH7DdMJQ7rrFqm1VZSQcr6qy/J4IhN0rB5Hv
fuyJlocP8DBjb7K1KyO6ytNEXPd+Pu38lBe2zYkOJlcVjn+EGfAycyNtS5pHszbkoQpISxCDE2LD
ZKCn1j2KxEVsn5oEUthGZV5NXhYdxsR6pDeJdj798hluvlNubdb+Sy+myV97bYS3JT4GWqKMsONg
C9o6qDnvdRN35xESNKH15nhMpsjaUBeARXixVj3HPdFN07hPvIQzjwM83EmszFZ4egzbvPbbB0ip
1soain6XyBEaTloYTAdD9R56komHQ2xDrRLkWGVRvEVG3ARrX/kz6YIym9aBL0Lc10JCmKTrUCE6
7T3VWbhzR9S5R8H+am5mNhHa7YJyfCV4r67dshdX0xIvjGxN+2grgWVXmvJW9dskQbVRU/yv5sHy
TsLv1PMyOSCReSXJ28Gbt9w40mhOjBeXD1Ga3tGeq+VJEHqXAElHJP950bEa4/kuK5xlI2OY1QX9
89q3y4rHncj0EveObe8y0A16F2EVepCRKd6EA5cIUTHIamuQGbqaMErbkLOXvwY+9NLQnCeGi7Nc
jZE0dswEG1wMsB4n2nHdZ+Z0zDJHIfKRcpMYSfRShom1LzOeeN9p0mMoFVDpFLvXTdTAjS4m46Ea
FMki7TKfGHjJEk50lLrg5l31zU3amzRegnOkIK4Q7Td1iO4929tUblpcE+1lHYnJC1om1353VeI9
8zaC0hLV501Mv2xIKlcpaE+4zgl++iaqqioZm9e+2pi5KY8LQ6K1qIxuP0KRepvKkaTuBY3H2cXB
70vl5L55bfWuJAvMwvvFe4ukaR6mtMCijQFKD48b9uguSD35ucmtZj2Uk64LRHuv1FDSj8q62YaM
iK6Yg5aoW+cgR3JvV+mxc2R3RiDauGtAEbrgqfGyg2Lk2OOF0Xi3sx1nhwU152dbINZad2Iu9L0h
IUmXSHnucA6V1nLIvZ6ppB17bM5i+Bpm8SRoErVIyyx6DhzBLvy9LstwI2YjfhBFoN+BgjIhIJ4z
3iSeDphMUfC1qfBulywzHgzM7Pi66BB2I/BduEkg8q0rirwUvoISn5UYF7FNPW6SRdj0ah6pCn8v
vtrMRsZizf1XkQc5chfcKaiTsa4mS2Mme5sy1H9UYOQ9Crq2rbc2k6kNisfy6OC1dy67ZTm4Zo8+
pIFtNHQ5bPBKkEixSb2ewx33feOhTqLxJbOd5BbAr9jU2HbfkJqtP0XUvjoM8rIVVo56U16q+TtW
ziHiKSLkj1HbWndsg/VXR/iN3BiJTwwdZeLJT9iIVhXOJhhminmf4ofykmYm985qjbBem1U375PK
n69MiHJb+u1pkySc5Q3F1hu0KSQBsy5/I795CwZVHu2er+AkrvUUVmr+Hs4iwxQ5brZ1nkWoECao
/TOpQzbYi1MeCxD/+79vIqyf6b26hwi0NRVusQ54sO7dfmhixoYAO/Inh4NL5j2BXcvo3QY+DjXJ
MMWn2aUISyO+DZ7U6i5ImoohuOcclqF5T+Kah6FmYto7cr6qJ9G+jqPr3kpYcs8TVe7uFx+WhvQv
DU+IYB9Wp4ft7M8fNgzCIpCG0x+MzIFp1tf+4yx4uE0rZyo6cqfZ/rmpluQpKwZUTiZnwwkdaPOR
C2rVAE3QL5zR/0JSjmiVUNyjQw5plv/SbCZjy33Jkv5QVU7rrKPIiTc9LEqsQAy577ox3bAdLtsZ
sxPmbCNVS44Ie084H6+GK4uHfHK1woVcOyzim6+MnYL70E/ENhraBa19hzC2HTxj84vl/Hf94+93
P4Ddyunz53vPAKloksQYSDux21MccRDSChG+1sJ1vMfBltbOQTgheSnf+xl1Gkm5vGjj4P2ymf2L
5Ts2Eg6+oCYG3ZEWjv/Us3soC0U5T90BlyNUNkEm8m1bQWZtZlS8gpDeTZQ6wXdpz/KQheRIGpb9
Eebi01QnzjbzKJcMb0o2o6iaa9nZ7htYYH1N5kFxZZqV8267RaquRSJqedWlaXiMfavYMPNadpni
ha7YSgjTyLxbE0nTlsEZ9aoOwaaAXHa1cuYrN6Wa79px2mBQMb7Y7mg8yKTzHw0vmL9X5NF7xG26
5LQ7PXus7/rUvVNTHkfU98eUGEQa6XChL0kK/if4oDytXVKxE19qdVUv7X1dtnpPiXTZXlDQw5li
JggV6dF1CrElkxCiMM7M53xsqUEtIIdEpvIlWYwkZYZul++dMxb+aSiXgKFlPCUsUoaBqqF65hFe
QrDAehROXBo48MAQ6NaePRjYKPKFavuliV2LQCBHFMfAX8rkyPA52+A6xH+IKejjjcnYw1/HmQ+3
hEj60L6KsPv5GpQO3mfuRE3fmWleb2Bz8Y2TOoL2wSaM3ldRyqNuNpE5UeTTTpsHum+22NDtP5k5
raZdQ54GocdIq4oEcc8djVuYuuLznI+Ii7Mh0zAv73Yx8XYsAw1FWvvjy5CV70FH/6jNPd7CqSRK
qSODlqaStYsKbHRPy8Lic+gYD11uO0eLg+O+AMPfx0XKgw+lpDwOXth8qNloPlzcxKj3SxvDHPSv
O2cIuzs60fA8tyYciYmm3y9r4nkrehkmuPhTK3bGQfd2aOPQslYDw3J3KRXC1XIad9aSVMeuJ/Ic
B12tp8iC+8rpxhfTGu2tXdvNh9dji2+6dFjConvedPXCCTA0Vs+kGUCpBX7HqD3DwI1JcvMxxHW4
ccKBzih2YRSsG2/hHenNsUbsZfGXeEq3X5pasSrVUq56usOVhzXboU45E1vB5Eqzt7DMi/QRmuIv
u/NmBlRlZbevWKuFSEGBWeBJROcEa8xTRkjS2YdMve84QPc1eTgI9Wr5Qh4m7f2EICXUCBBcI3FT
FeBDQUabHE718j3kLV22WbiIN4y87qQKxOdhHGi3TQ8Lp9qFgTWl2pGTX1obunDWn1q5ESAWvm88
GE2p74EzlUdLv6pKnzVmUUwbAVjy7jEt2KmuyolTM8nmZqYCMqKbV4LPaOBT5bb3yLq5M01OKXI5
i0WdoH0F6yFvjtFpqotecB3HZ6k0KNGUwXy1JP58rSTo2uUxtDXrj8e7NQ/qkv6cgHg4/dzeXxAf
nONKvgpCYd8COcGGuTyWNYIdiHNo0MhHPI8xJIILPGBgm/R5cFs6WwBHll4DeSRxzrtCAAhNafod
jux8vfC61WuFUTNJmQosLExAr0yhiodWuAo+EUoc+hRKshEjhruWycshJZh1IekTipta+Ea4jNmA
OAuvYAP37skmign4rzC9tRiNZgurATgD4G7a1hVvTKIq79YufO+RgsckJNmX/achZzzKHla0rwt0
kxJ31an9kkDo3/bmMD8z8AO3sbvyaGhwBadMtjU6+vh0QWoQDmBRyHHTrRnl8psqohh27cIW51hc
/oLfXA5sVYDd1k2KctU0vpnmosvlwOD2lRXFUtubOPBdHk2c0XfCBRqqGyvWw9j6LBqbUG88h87h
0LevjQWGZvUJmNqoa+UJL0M8wem01ok5sLkbdv+1KaPmHeUQKmmzjc5TwD7bTClLmEKq+2LWhAhP
RQGztqd92vY+5Tn8xAghYXXXMiLTmEzTX5V9CSIZZQE1b9Hx4xzo2LcjCHlKNepNjaRPARq0dyvk
kXCXsf86tnHzkVpxchuMkIKtTj8/hUsDwE6EsxhfJ9bo16W8DXGV3yVFXTxU0Ct3i8sx6RM69nQ5
G6wBCHgMk/Q2YMsHd9IsSVyEb4NEBxhGUxSe24iSqJ0L+2nqCKKLKhf8DGdsBATc+NTPrSfhO8yq
R24kLlDlcS7N+ozGtT57NkVspe9BSonw1vcTdhfYVFCcTxa7mZvIl3miTBYMi89mU9pPRlWz2bKP
vTZ9KN5wD4pP4Bf++gIJygHQMrRFfErQbBC2QgnSs5sIHO76YpeEiiekURRKA83OxTlvwBr80BKX
XmOVKJt3+EIA1BOYsZPFtAoDhbPjYzpgAy5vOex5eC7brNKcUZAjhIsILz7R1c84htva47/qFShU
56i7DtDmGabacjDgTs5rCQP0NjDZ3lLJe1REDqeWLwU9nsOzZuBhribwMgbVVXasoZedUCwCIuqt
0kHItyWeoyBk28Ybz888UC9Dy4sxUV2lQCa8kx3odD0E8zV8fuvJaYPxW1DHaj/w0Vc1xaazznRQ
PToR8RkDIUqOFmPyI2G9NDEiS2+xOHmX0mPVCLdyjjA0eVVkwRoQDEU3JKf2laokd1fYNpNpX5pN
RN0yetnNZJhsssjx5UvTxFSzMz4rcuSGz7AdrgsbSP3yx8uLOVc5R4xhjd0Xb+JMZRjsHutlUHfK
NuZdleaEkkwNL3RGhZsEHpuM9HiyUeAsHgQ/0sqFv9CRTcG8U3hXje7S+Fv8Afl+GigOevHu2nSm
k64CZtXSkqFsGvcACXxjIlHKfDqMofu2dAkxK3oSQ2y12I5ewMVQ4YenIR6a38W4/xlV/mpUaVm6
6frfKUvX2Zc0Sz7qH5Uo+D7oH/pDiWL/xrDsBzEKTd5/U5awcnaZvUQ/spn+4CyFvxE1wrDLpzmg
4dJK8D84S9ZvJJAQ8KttyRDEwnT6J1qUn2TNuFYRco2VNE5gpuuaDhf6sSFuFezatuytq5qDZGjX
klwHdeg8XSOmZu0zyUrnCvpHYRkTXhIQKmkeUuinPUTyjyCTtW2B7BE0T0YvgQ1zx4gEndZVYpMH
tAJaQDfb1lCCfzGP1J/sB4E4qSJ84JClNREFezTJf/7kYT9OZdwtMFHp1R+slIBWD+7leZaByYs9
Yznzw629+/1X/+g65/zM9+KSrmlpATjnp4+06KfJrpGVjjCwTMY0Pzo3Q2Dka3KDkUDnLhAdQ6XW
aA9WZ4IXTdCa1Xp0ZUCGl4+oeOclqdUc44B55GqRAatS+zEGRfYAASqsMzD9ph5xUtHnZWlbw7J3
47q5wkE57oC6a6Aqq4g7f9V2bbWsSRgAcYMGz1obvlQP5ULzaluL9zHUoulXeRtyqQifn2TbBbF2
8/BiWE2Tb2D343NHcK0Y+nHcxbBwr2efiWDH2K5dTw467s5hxjO7RtRtl0FY0M4wCFoHCeQf5CUR
lpi4Jak7M3VLBgZpYj9ZlIcLwW49363vAIGMdFZ3iT/xMQiqD9UWIqp4s+VULBy6dpveoj3kE0Wz
5xxR0KfquWPEvGSr1gDSsPPU6q9stD/2zVJMgbHzg9kXrzaHcXoaup7nL0GyCWUo8OTD0tUcuA4Z
wJ8ENDXj3bEHVi7rFZ9nxg+lOXaCcetakpezrGOfjhpTDh1NL8aCTwfLnYGpWlqaOMPM81Q3P1h1
NV2tsT4wcIKpitr7yJFnv4wzZiJy7PhxakqcStrMv09xb1rWZt+ySNnschd8FxvL15Qpozi4i1lV
W9bRGdde5rAsmVFyTikP5OORfHpuq7Q927rCjrtMT4u+JYFenIioM+6fcJqrqDUwLcrKARHsIuV0
nZI1em+EJqA9zlPqoBG2kLYJ3vm272ZewpLxENxiP5iCTSPtcstsDGKb11oaG1bzEwjYgKlypAIk
KTEdCenIDLfywbue58R/MWRg3UxSlHdQ5snhgXx8wJrKDdeZXQcfdVLIT8Ixc0XDxyObTqBncpJD
uE5zbZaBGXsxn2zle/TjTRC9GH7bD/d2hsgAZn/AYyO7gOWdssrvbs1Bec4Oy2DigtbV2DrWAnQU
pgtRqjyR9hes0Lh3mYMBwPc5n0fxxr9W+XehJvWQVSYFqK8DtJuEZ6Sn/oFR1kTWE3N+bg8uvS1x
l2hOfJD3pcSfLCAilZXh5QrympeyEM0U73rTEP1rT1bHA9QIXgS40SxwZgvb3xfUEVce0yyc61WP
kY7M6Znz2FZ3MNraAznYM2qaemTpAzLWcWRWBUkmFm8bCdIqZ12CSIOso4d5RZ0WdvdULIthvBgj
YrDzgMy0u5vxsmbAhdfF9LxAJIyeM7QbxUMMyfoAZtO1uIw5znGR2q9jmSvWErMW1lKZE2V/FOkU
VAFae4jLEN6Ey66SnkQL1WN9eZALgkrVrmHO0W18qV+KoaNwxFAeyITNvLGfstFgCo4EPfVfVRmO
NswwinuaMesiFpism9QPMfELy4prGkWSq0MQJ13+3lkdgMzKGxnaOTi6F586dggrZcyJyOW2qeoa
w2OVGLj4B2ViINAqLH4TyFl+6tuAez6UnXWTDzAPPoVj3BbfvKC2bcydZpRT28qUtn1bcf4syL1H
MJVjXNthBYrc+KZ5TG2iShCYaOM8I0tMxuoL9X2WhDe1Y0avnhxj/NFgmcpEIUKrmvEZYoSxBVFN
NzwY/doZk/TolFEM54Es0FWVSVI+HWv2NmlQeQcslfwJ+kTeGhn+dPiW7FycdWrkSGKOSYZB4SZE
aL70BK2uncp8N/BQItWJ4hz/YRI300mFB6uwk89lHwffNKWWsWdX3w6lfx5RLM7bouzUvd8Eybvn
yHpbcUhtmLw4Dxhq1u+Wm1Y7uzbxcQqWyluZQ9DdRUQVrgNRYARjoxi8zkRSPtt5Tw4AfMXdYgx4
60gFzb4DosBQUtzKcqnOHoPY7Ugnf8+2TrR4NKaP0i3vpsBU+b5re3fXzq1amXhK7GXWZI9J75fP
U+X2ya4bai0Noyooi3Y5lahzdnB6UKe3U60bfWyRMuk0Txw64rX2KpFu8qWvEXObzacU5hJLW4HO
4IdJRJEfjCSc+wzTcAknKIaUiO+4NXebEuz9YC95sptArG68pA/cTWqSr8pohXJg06OnwumsavZh
2c7awdIh+CuFPph41n0eN2JvqnTcdHzHVxpWbJ3gCPjHGi6A3M5VMN60gxs/IpH09wZxUzuPtOC1
kRtLuJtn378x0qG9YsOeD2Zdz8fJsKLjMhTTdu67bj0AL67bcc7BI3r/SWZy+WqaZX6F1JjU6bqL
yl9A3H8p5iDFYeakI0DA3QE9/lwStU3loGSgnVSDwKcIbvDanBwOIc3v3jDoa65i3vLD39dFP9HP
qIowr/BwNde0sABp9Z+vStpuGqSTF51QH4o3GCBsDGKwqTH+/jpQ934q+IKA4Y0P+d+Gvmf+VH3J
FIJCHyXxycWAjj3V7NizNcrnqZgN459fDDUBQyIKZCiDPy2lxTtsJBSBp7DElbDRaMzF+9fIxmj7
95f6ayELVRCgkFrcJKblZ5PcNokCYSjTPzn+bN1cKNHeBJiKyVxz1Qfg4v/4eoi8bYvHxPShxmkb
mh9mYFbY8NqWlXdaiOd7+f0IqlPMN9Zere0KUQ+yvH9/Tb1cfy7W+XKhTpx2XG7ez8X6TLLbQDCI
ewJDo7oKQLYyyhJ8aICasSuDBcRPrY1K8u8mZnHqHz+kOGx6rLOJJsv2zJ++dFO7ralKpgTjmHWH
aQIoUNbU/CLK96+vAlcJoDH7CLFgY/701JSxPdVx1vunBCjqMGeAP0FIIvTfL+a/uwpoSOh5DAV5
8X66ij84dgtF2T9dXJV9MrbXAHr/j8eElGgHRindjqaX/vkxKTR3WjB+P9kx8OR/sXcmy3UjW3d+
lT88RwUSPQb2AKc/h6RIiqRETRCkRKFvMtHn0/sDq+51SXVD5YqwB47wrCokETw4QObOvdf6FvQS
HopxQdiJmh9CY9/Oo/6bI91f1y/WdFYTPhYxQlz2x0vWGGWWqfScM6Ej3mdBKw/u6UgpMpR412o6
qFZEqiuPyK9v6F9XFvJBwWELPi1BoT9/1JBhgKlb10LNyNsd4+699B4wbJ3Ts/71pf7DR+ThAFtO
DQ6Z+ufF0kepxKUqi37b2uEhlOWiux7Zm8MDU6wnuHl9an590f/0+bx3hJDpglr+GQE/MgWwU1AU
59IDUV1X4IhLM0gPHHT+9k1/h9T9+KozIiZhxHHe7VZ/edPSQGFXJQgObzktulxULkHPvlne405S
+B7hciP/oEyeJ+o6oJpLdzNKFDF72JQOh4sGEigzm2/4mGyqTl0D1g0Kry3/5rb8deFlTGf7Kwvd
guj/M0a+ztwpQwbCE17ZXCiLaerms8F+OeaQuqI8pKz/9TfxM/uDzZLJL28V2zNK5uBnxldS0i+J
2ePORmBQ62Ld4vzQo5EhZkawZaZtvD7veSZu5FDKZxqbWmCXCOd72VmyPMhk0HJPlUTnj3ld+o83
hxD5Ct0gXgZWyZ9V3qZEgzwGvPWVDii6TTf/IhIouF1p14ROSfPv2jh/eTY9ICi8DbRyeEQR2/34
zsusW4v+RZ9HJ3ZeOmaihM7Kmsd0XtGFv779/+li9I1ATXghS83PzyaY5NBMZLic5wRmLaau8IrZ
Lqcc12w5Jf36Yn9ZpvlkAblqwsRtwHJm/fjJMG6JtovN5ezFLgdLohJ5sngROSX++kLWT8oGPJIs
l2vxQFYBW/rPlVFJ1szsEXBIBaHS7tbkDEd8YtD1xWNsNLq7tPlIJ8RJGAulUwpRs2x9W8GJW7fB
Rs73KUbaMjImDkubTjCq1D5sWNPwaGXR9bL3Zrl2PyYSc7GHgUK87Wuka9U/XYg97JRQdiz2NRhk
P5dCGZn1rV913dki7X47QSC8MBvNDom5/OOqi0vxDDhg/mjp/YV2iMDH6seZgZEyPZshDG6wSDYy
3BnW3Fycev7b/uG6e/1pYXTY1vzA4tXHl0K4yM/fUq0rW0jlOmdPzs6b51njGSxa+PTeEPH8jq6O
1KX72Myz9TcrnfXzI+Jw5TWIwebKFlLOlST356LPKYEHw7DOzwINcaWR/cFYwSqBAgrHJKnCwSvy
kMLZjk0nupswAXNc2yrJjla/MCmGNbLcm0NFF1EXa79GKn89WAxgb6L3uYuqvC5HPyiyW79fjJqf
NGXuMYT1DX+jICrtzs07+L3r44W5leph6ZVoz6Na2i5iXjXfutNMa6yLAbNeChpHsJHlSLJygIgP
yIhpFGpriqK6m+g23ChoQYfZybzbZiH0/dAQrYnkskfZa/oITq9oS5v1psMAGEYpZJ+rvnDQ5fpl
q5G0LFJzgNbZGaWE2DBGdQdEDgIgRR0NMnN7et/miMjbxqdGYkopSElDSCJK8W1SQUFT3EBVsQnn
dm2GIq9Mb8dl5r99Q8KJ9xpalOC4wzg9emPBqaiWmj/V0v+j+ByLmM5LWK51jWx519K6dLGa1DAM
NoVIFAf3ReEZPSWBMd+3s67SWwjgZXNVJHLs7zrA2tXWan3e7kZUbXHfaJP9Qg29kHvwovN9YRIj
knheU9z7rei+QYPhUyCkdfUbGVuDc62kWFtRU8nXjGCAf8hHd19cxE/6I2F1DtxPK3euxlUqSkcD
Re8+K/pi3nstqpYtfRA6V71OaYQH1eIBh7NjfuIAYh7a+gQRiOyxwfg4NxmXlgWx2NvQBMlLwmpp
d0AsptHt70VmpECVeFzSW86r6B7E4iPgBM3vnMZRdX6xZRBKmnlbIzzwLJZwlyjs9lzXIwcJy58y
/8oZY0GeI1IB+FQzWXk3jSrpaQVEpOnDXHKGjawspMuYDOasHkTtqhL1hssDVqeBZ90YmWJveK8D
6Nnz9CGDoNWQehA2zwjMEEbhqZ5xc+ulmb+HvY5vETkRGfHegnPLgV/GTjH9OLnlvmRxCkGwG7qJ
GJT318pbcfjmOqucfBxFL7Wb0Xqb3EU8iFmkEE7ZFeXG6oEWb5Tn8hTJYJ3ppqXLfbW6tWcOC2p4
JXhkIjotow//+2hGBM5L7NprIZE41HZgEUhwEPnaiVW056M25/iDIIkO/Pv253sDTcaU3pV/5frM
I6LCzOZ8jxrOBGmDNYX8tNZg0lAuDjcWoI8DYiW0kuyuqyW/iDDpnezb0urua3zJ85dh9m0DabXv
FsU9FvJ5uHbnEgtUntfOZsDMtLwFBpOMHVkwlnO3iJYucLpQG9u8f5NfsR8zBiCAMaVdwbPiMM0h
coHhtv+JwrzA7k0qGCLRqMzGFp16HOuK3jyG3vxcqo5u/VLaUGnpoOmAlkTuxOfKfA/hpkMOZ4Zp
7IDb8/cd///PSf92Tspb86eaZfvSv/wXkL6sX25eqrf//t+us7p+65r+5cdB6fu/+tegFONmsOpy
GYeuwUR/8nSG/nvyFq7K91mo67F5/WtQGv6G49FGiUpPiKObz6b7r0GpjRM0BAbBqW5l7f3DQSkO
xx/3bzMUHIItnx4Gv6AJIPDHLdRGaFT1Tm1eatNoUjmg2PKMLYqzGIeNmNtdQWJtA7lobNV+Nugr
7by2t9/muURbVumsZs60dNeIEJywQe+d60+zJovxSYRUV9upE69oC5PHakYVlSWe+2lE4HaNLaW/
1ROei33WkBPLRNbwr5OJP4SuMIftwSBp86j6vL6AIyBhfnbvStXbr8aER+HCNGrGReRZPeHpmFge
7SIe/KtOS40usvQmUENOZQ/f8vfhrdURXemRoI4Oeq8XpOcakNnWVqaNUdoenklqmJg1Dbgdrws7
Q+cDp99v9wXf7UdcTZW3sS3SRHZtGWePAmM6eXoo4TYqy2mv4s5Fg4bI96PnDNapAxF3sOb8W0ld
vsv8bHVrygwUH239Q25lDwsSklsvZ4J55K/Y1zgH4gpzGkKYvrZ7FSnAubteGC9z4eD3N/NqQnPo
s1FgoNlJjv5EIaAKgdPgS3enOWbeA5Nzr8eQeZToB1+chjCUnPp1GD/pKvA/tr4bP6h+gbhAxJJt
QCpq3RKJk8PK7BOI/nlEowEkwfI3BeQR7kE7RnKY67MHA+fSt9Ao6qGasrWyiZkNL8t06YeeOFAj
adOdT6L3vawTJzMPccJ0phC4dXpwHJHVT8cln3S9pXk0phsH6Og+WOL46DSV9bnVNqpFjaX9ISx9
smf7ZPKzo2OYQfmUAfKoyXX1sU/vBvbY2dhNOIG67sBsZDG7E1IsMFxVXrqZeEk6hCR8cyUILrcM
d1XnbCyEdTeahILdbMZE9JC4AsJE3wdp7O3wpJD2UDQTlESQI5GDxx7ZVNgTloICPSq1YWdR51qY
tXQ84ugI2qg2/IcC/kHlWqdkUNfuEuSRBsPlZ82NIzVcYbc4oOaLz35R72sq00fDSO9myJiR4jL7
REPNJQTpWZiT3jNCiMkMXj7STe9OEnXzDrdDfiUrA5iPS0ItnFbrHBqMVgrK2V1nQG2rnDk7O7SS
9lPQ4EMpF30yJa+m5ZXWY7hYX+o+wAVGBHWUp71B4kQ+7pva7wmhRDh8oip7VVQTZ5U5yUUymdhq
XZk7/CgHxmebzmmHvaPBfjFg3GaVUW8SacA5bBHsb5I0fXMR/yAHxljF9CHypIlGzlHYcrC/I/ge
luSqducabP/SHlB5fuwzAEnQgEXEmAGkksrFLb99fsndBTpbTKP/hMBjeEN1tWyD1Obm8LIdIUCR
DcUGWScaw7SUhFK4H6Vd3hdBdqVFTF06mPhc9UPm9YfG7IBFgTzsQmRcurIgji27BIeOSrx0E4zO
YyflIVjm6xyrHKrrYd6rtux3Y6y7KImdJ4/UkWiqK1Lqq/KtdJBNWvXkEZeVkoNqEHkqQUmEPTIy
xP0sgllw7bRk2QBlYJIEYSECwOPcmZgQd9Wsaoaj48Sz1Xai5vvwDtQ93cZIw+EYqPKr9hdkApYZ
nj2Wy/OgmJjNsZ3fpGGfI5EiKZe3QtwlqbwjNXVnBHwo3dQ3c+DkL+W6mhVD7Lfki3XGpW0t5z6z
pHduWpCsfGGUNHMbPvsy/WwaHeWMNX8H9CiOCeBOPF6yjJCDLxuXweUZIr2961jW73p7QlmqvfBU
5P597Kk7xuDmnmUiuDQgXUkNLrz+E+vKsLVGPx6j1u7zm9waRkKTi/5g8kXtTZghTLTc9N6e5/Ba
zSbqBqPfOnn1jJzZ2jCSI02l2tcYoqM5b31Ihd1959WsLmQikL2Y77FF2fx6jfOSOhkS+pTdgeh0
IpDCQ5b3DyX5Qnur0vHHqZiuW0OqzSz6/BFZy6OLMSAqjfGl0+FnL8Gbhy+W53ho8ScDVUmtaY/8
8dR4+QHCdsxdlM6NJRJ5mAL1tQY/tHOVBrnTWw9t7Bc8wAWTjIqM8IsrJxM0jn0/hO1V2aVPAHFQ
ZGMaMRtniVhpd54RfnHCidGrA95zXUtbI7gNOvvQwQ+6n/nqQIaMCY43TwdfijgRn0s38LbK9nnV
DIcTqz9eEzmyG2Vx5nTc791RWheFBTSSY5sxNg+bdFMsZXAg4UWf0qY/9m1+HrO4OKAczEAKGi2j
SthLDYBBHYeET5ADwrHQGZyvjsH3hcDXCG4WbTp3abWKW30lr3HPGZtlGpsdzuP0tZ09qHDWcDVn
YP7qqXwUDvxt/I/hqNlY8zDcWar/ONIHJfau+jrO9TEMls9AC8vdyOdBONAUG8f1s8u4IONXldg7
+Gksgs5dfTMjNcaXEMt2C8dQXNzMTfaLYS9RNyT2c9wM7T3do6KODIaz7S4oWJnGyq5vyawn66RR
yM9RC29afPjHpSEYWgiiv+uhHa4sdOKoPCwOL4OJjcw2HlNjWrdnzCeNB/83cG8mQjqfEGvUH8yk
Heets5QONslF58N9nRvBKewKfZ5H+9EB9/pqqNFIjnGFNmLv+hNyW7sUE/Qmp0HJzz5r7cY+/FoZ
461IfdJnnKm/79z6FnKOwQHSuKuWdPhADuenTtmwV2evOWNZ/hR0TvkwZ8XZMhC/0Lgctxb+ki8s
r85xIofmJddC7dBBKULCDWuXN2N68JCmRkHQFsCWiCDPuvE5TJJuV5uBcZ2gVnoiPG6KwrELvnsD
1uKBMX7kpnb50gT+8tGfDIQkQ/BsF267gTfgPyGhJR4+9gAy+mn+gNjeRE9B8zT0SzKAbCL1ZpDl
054vLI+wiiL0Zf7Ne82vl3CC2VX5t1YVr4tp+PdhWI+f7G7cmUzibxC1ukQKsWX7eSswi2TKAQrb
KhB+piovRKc0iJ8HhxqhTq6FVR77Ii7A+PgIRYewuUccIbHgBOlwhy87OGrfk58MHR6bfpkfRvLm
9iLMwmwT4gG9gkrwTRbBV1bnEtSvF245ww2PWS6g49vhoQ3J0nIRee2IFmOD4HC97S0046lr0X4x
mtxCaWGjxrFceZUDi4zKvluuYP6Hx6kRM45L+bVMKrEZ5jLDj9iO4iMLZIdgDLBmEHn9lJYHp07Q
VVROwebVGfUznGz7gkPB3ZfUgk/mpOwFV0YZrIFBi/2xSm3xSkPFe4WMiu9Y90kI95fMLNrmO/pe
xd4iqg6tE8pbMgfJQNcGwm/SgmzYkRxUVppjrSB14G3ZVlQemxQESQK3Nxb0JS8KjcS+qMbkY2hQ
iIprCq1NhS1EhfrkWdM3xljeQaL+3VbMy8heS1ZxSmNFenZDaPzmgW/t7ObEw+OjbrdlA4N6doYv
Y++QMKbbAVBZbG/dkgAxRTr3Bjgn7JEa6XbcwnsLRHm0ERpEqcpJVzKnXazsmzzNbWRCnjqUrRdc
srRCRggAd1P4ITIzoL6jVPcKBPLBFK9kD1AwoYfY5VX8SNepikppbWPDgUqZti2UXEVaVB4zvF3q
HdENRzC8iLpw64LyssSmMeqWKNdxi75Ispwg9EZAOWKqwi+ui/TLRJK5R4G/NwNuMT6nR2KKmh0J
ySiDsuoyeaSi5SJARDdTGqJtw5yX+C17Ytmcmsa5DxGXHPCkfi3r4RFVDcALT9/1FecUq3dRU6OD
xBjcb1tnSSO7hZ8L92pEnm9YTwzdOoB6VfU49x0NFPT4WEpAc+aCKAi7QRuSMlCNrLyhs1bpR0IV
UUSh09pkTZx9K5TYitnXZMfxlM+lBzXWASQyB/GjL8or4tycG+WQMDnI+jvFL1L5tNuJXDeb1AAs
PTsjUscu3etyqB6Vk2fbkgDIPSmi4c5xKHYsGbjRYuTlNRAOws2JYd3DOZI3XhC/mp1KtmExk7Uz
FfOdXJBChp0nNkvpU/UIApHMNr+p52W4sUzyFBo5bXSn1p6JudxY0BpIKzDJO2tsDPojA/jQn66Y
+n5rOG/gWn+2Av2StB5sv2644pi7cDMKlDX6FAfFuEOVdijT70Ygh0h4ZGmILm+PslC3MrMBA6Qs
j6kMNniPzH3bcrxFTGcfYMAcrMYVdKvyC1ZXNtDcJEoyeESvbkd2pl9mf/gaD8lr0xQ8P419N/TX
fhM/NqPuEezXyRfDwDA34MTAEgCE1favdBh8DlrC+MKwORRsjhEYDGAoGC0iozbFFejhu3yiOjO6
3Nz0g8amDr7MJEOvmSjPjFs82mMQFdWs2RLymI/LTiCRHrTpfgmC7qR4gr8sKn2zMedHdgxsOrWt
TkWTA3kBZ0z1XDZ51ewyEHI3bFmA2+bGLinwGuVv4d3UdxOyyuNozHIDHKU45JmRqE1rYRbcNAQt
PluTQKZH85NDTisfpyGAyY238URVXcAATuuDE9bOvl10ciF21NurenhYFC582YQfwmDIb+vMEN/d
rBsuOs28M2gJdbTKpTgPwAz27uSoB6cmWC1Q1gtn+PwaJi4H/MQE356MODya5MqmY7cZgGld0zKG
OaBnWMANPtR85LQ0Qq7Z90w1tgpTZWzXaL5q29km6AZJGmVel3U9CSzwfxlvmQBmBuTFbW7vIOfH
Hzxkwke/XF4hfIRRZfmIdkvuGEXtdT2U9VHly8lVI7LFabxBfkdZ0aUIUYvwC0yqbCsDH91nlSLK
bd2aMkjpLexFCu6QJEPencSbKfc49e8dCxdmP1sbZij5Hoo/1ByqD7+qUWqXFfhBekg7VvOFr96t
dyXAmJxIKw5Twf2QG86BozAdF3vOn8ciDFfLoVlcs1WzC02cFm6WLrzUXR1Ajc8xkMa+Gw0F0EJa
3rDHLUl8aGficyyzY1c4a4pMm0coCc1LX8j+3DX2d6nBsCDDIgQHhr/ObgSr+27GKXmbK77GpsDI
FxYglMpy2hioyiKvyfptgZ77MpEpk1mIG4umuk48/4loiA6iupCbueXx7+Z5XwvzkEz0O0hT4Szj
pstKLuBHIdxE+Ni/6aZFSdhfL/TvI7XEdLhtNMGSc5Zl15sK11I0Eb5An5p2jd1t0BazKrtmfEyb
Ej140boULct54k3dQDxHszP0rJGuUHBXxtfRz1+xpp8CR97iEJ1PGXC+LUfIC0v0UxuPNWCQecdR
iyeZLv+mHzsy9kRm3mgxWIdgnmijaDZder6otsU9KZwQi4edHr1iA7SgDjno6PqTdAzaJtM0BXuL
HjNr5721JAufaOx3hTdx8gqmTaI4DvaGCTMbIxwdga2Is+mcYhKPXKd+rfsmvMsTgy8ycA/A2tMt
ikP9GAjnlqQCED6tsLA6mvu+c4HpK5V7GwplAz+sv4Aa8/OHCshrIORNp61LEXgvtrDoir/0ojoM
ffBdjfitzCAjT1NoaKFVuJV5vRF5m2+1HL+3vSpgIxZfUmmkO7m2/tco08JqGpoqAb0SnYfJtq7p
BYA2pmwhEjVv8luVskBvukF5MzJfx/+AT8w6G9T0LbLaEr3/yKF8lIviL7GTI3gHG2G2cld3c622
ae8z1/cuLQAb3FUbL5+Z3cxFOezp4qDAKQc3KrTwJTv0IgfSgbU6OLBmQkCQjjplpWQAwqpGrlEn
lFtRGssUTS8Vef9gOF7V7SvSPZa9MopJbWxGbM3F44ywsHxYA0G9TigkpmPukRu39Bxwl5pXAxaY
166Y/aIHgxZ2dCx+Hzf/n+7XH96atY3dvbMdv1JcsM6l/e+ox3//b/dv9OPa/f7hf3bvnfC74U0t
92/dUPJPf0+9W//m/+4f/tFP/9tOPMPzX3fiO/rjKvuxEf/+j/5XI57MxRBTxY/ROaH7G8AMLEmr
5ejf/XfzN4+zoLf2xVekoqA1/0f/3fZ+Q6NpmT5/wQyQQjj/xKjk2j8ppxib+5ZwzFXvhijT/Vlb
p4RHqLhMcEW4JlUm0ave2EcOgnteQM8Zn82k8jExuM191i71zdoxj2SAGWBTh0O+E35mfsz7Qi87
Zc3FhzTo4QB7Birt0FeHOczsM0HCgjZjBiHKDdDmAAQKHTYBzCfEtLvpZSyn5spMGBVEjVVeEQda
3PogZw+VGaaH2I+B8xcltXtSGXAxwBIcdJaqE6MB73ro1qVWd6mBopzZN2ZpUALw96YvBRyVYjsj
md+s5FIyotfKAarTffOeAJStYUCD+VoUunmhLRDAmrZjO6K92lNAMlWeGAXsi3j2PkzxDBRVeCFM
85XBcFrzV4+gqY2vU6Pkd39FoEO+D05NXKm3ZLZiiXO/FbdZ2g6Eb9vq3umc6ZwXvskAusgXqIi5
9ZabDSdUFw8D3UabcxTWkJvErJNL12rja/2OZCdXlxGqlvVpyeTnMZwlwI/VLpEG42Pa9v3HMOzx
bUNZVK+rD+UzqwJ5HoNLzekRFzvQygqRQAU1IjWkBpFlZuqUumHhU7kL9SKZsQ8by5k+eZbHrjLU
5SsI6P4Y6qzfC7DzX7U5lFeZqT4YOnHPherbs4q1vsD7Gze163d7H5aftVWcOwiwXgZL8X0mxWdO
vTTUuEsDP60yur3V2eVlEaTOqaby+KBzyCYr4uFKZK4BcchMD4TQlg8oTNNPRZ+RdzPVrU0JD35w
BxwyFzQC0BfRM7MLjAc8e7SsgTgPTqg7XOvmmkIhcIilehXFJjTpN1NXp1vC6ABW4sqZvmc0CCkd
51WERQoPCQl5CnUYP03kcBy4SlSjt3AQyD1WQXXd9kZ+ZTGCWjYFqS0GHSucv6CI2+Qp9rXlkSCe
OK9ynhxco1gVDn7JSajBJnLUrWbmTdFHHRbU4gY3QXiXxOTOkGawAzPFwZ6MNk+5N1kZjl/hOhQn
U9E+mnKa9tuxG+D51el80ZpuL7PiviZ4KY8/Q+9LjDOdeZnvQpKAoEub3RClcOnuR/zG8W5cCvHc
h2VMUVfL4U4MtfyikEdswpbMnIJmDyXr0i8rYbQMjhBCJhifQdhgylk6aEj27EQkPhCFOcTCfrJH
M71IPGqvFPyE9QlGycnGV7o8tkkdfMmhwV6T87SYJ2QW4YOmS0nvjmHTShYox3LbJl0D1a6uXhAD
hI+0/l8Nc2q3XqvsazF4y5vbKkZcnRBNvYuDuP6cJ5QYm1IBzeTLqtUzuQeKtGjaNacgbnqYi4Cc
o951w6sVwLZl779D/Bc6EWC2fscuLAleVs4uQKlCsrRPcPM4dLSM2mzr0AHf6akH9NMI/+yaHT4w
O6WtqehsH5phYEWjFeJv4N6ZhxH6AmRqwz00mUmSlhH2sUPOrzKfrSINmYaxmI6WCRQ8rKssP/h9
W56SBbogzTAUMWFj9/cqyBxurF/ln6CCSbCBgk43i1k8nOIEVheO9an9MvoLxgMH6dmRCOyEcHVz
6T44nTK+Nq5Ps78T+Xi7yMVgcdFAIhojD4mzd5xxT5iK/OKRMvkmy3R6XpxaXNtdRo58P3XBAlBh
UfEmjG35IV3CuNhinK9oUEwxFh9jsjbCbD8mRdduwSFONHpVhu+skFuv9s9Ou4BFrevyLoTAtR0T
wlxy8rtQzTjyMJvVQ1K7w6FTkPVWYAG9C4XLBCfTUjO0GL0d8nH9TeMyqnajAKnX2ENFv3rNJ0RL
m3+YTVGOw8UppVcTdqamNvsEoYbzzeI7dWF+DpaCPjeNGlv0PeSopcs/xHNsRNaKzhc5Li+94vQ9
AKD3ngCxz7IIbB8j+mlMpifq1Ppeoji8H0QXW5GZ5fHTtCL77Xd6f+3XVLQr0j94p/t3K+g/IP/5
1hzm6hYfrdwD5YIWkBUOAi+GKZyxaYEyX+sjwW63masluxnWYAHOXGQM2GvcQB6a/LpeYezFexpB
twYTYLSl6SQUcQWYCCH/Q2u4dt2aNAO1Bhs4AREH+Rp2QC0XoPNZIxBsTQhj/Z7H2K/RjItJSCOR
bO1HJk7+KeGDf6UxT8j5otwDvmSwJmvUY/Ge+qiloY+JKBfKRZJtGFUMO9mDjyzo/4zbYY2PtHpN
ACTxbZtqym9lOWD8WqMm4/fUSQJ2cdbreJ1aWAxVmqSBxeGsQe/EVSZrcOV6Px/UGmYJJ0IdWS78
Qw7i4kNRjKReWtbEaD3U6beYKNJjNnM6i5ScsUPD1ofcx1TqzirUdAiXMDyNgnhNFTdQX4Q7Hnmf
SN9E1KhoUK2ZnN17Pqd+j+p8T+0c1gDPyTYrRqg5sZ64DgVkOaI+c1k6HzhpxtfaD+dTx8aImMea
bsAgfDXXuFDRrcmhbufKzzBp0y/mFBdQSIkYRXNK2mg2stTw+K0ppE5puxuAoD6RdnlxyyRk+gL2
YdoWvfCerYYwU2sh1rRP10UTM4pFpuc0uXqnSLhoPtbkoeL8xH03pkHa4rKSJKaadWClDBam8Dlb
I1URYHby1ntPWrUh0TEeAT4POy8nvuDK8ujn0Dx+j2kl54nMVjZ+7nyD+POjItN1Dm14MHZK0Gsb
ev4mxSoYb/JkutPCYgbaq7KrYGMY6We3td3sxfJ4xTeYPE13pyYm27TlAQ1r71qIeR6ZcyZFZg5n
HllLMRUaa6zQLzLWz5S98yfGtvXXfJytpxBNwANxdO0ZG+2DrP1lB+2sOvmyg7c/kHbvN/O9V+pn
FsDvsORe8t579odpeMVuRQXhAD6NOnd49kMjP3p+UN5CRt5NTmVc8eUgR1PQpWpEgd9t7Y511Ley
4BxLNx533JARM94s/Z3tTsWyoZVPa6pVDCUeAm8gykdb+i7V1DvMnya3Mv7vnIugH6ima773Px+M
ON38+1z0P/5fOj2t4txfnZ5u3qb/Or5UbQd3+O2HI9Tv//KPI5T/fiqCCYaKyeKw9Afwwbd+c13c
R/igVkPNO7b+Xzomkm1MPEMk9q4JN66NxPuPc5RjrcAH/jriKGIOOGT9k3PUT6J00PtMRWD3gXvg
t0BS9aOIiW7JnLC4a9yB9IZs7dE585KnP92U/0BK+Elm//tFEFdjTuJz/sXk0hOk1GJ/gFtToPGc
/U7jkx39TVs4/e7Xl/qZSr9+Hofb4ruwsuH+r6KtP5nZmiqGhpUQDTyPGT7aMisulkUvTjQtZww0
98eKHj+YSdeBErU0f3P5v9xOOkT4lFiGheBL+1mwzsw6cCfPkkfgLA8WgadB1v0zR4YTrJcgIdLH
VkPky89x3EoZy2DGQh5dMT3gi3/qQviqA/4+Irfk269vJw4UbtifVepcjkM7ni+k8atZZfUa/OmG
2gmBlXDRuqMzgbpMikq0QLMI8y5cckJKlCBOPEmq40T2Jvlv9MDxEYRYrKtCVWpLqE8W+VYikFxD
yz8xIgtBLjRjSIeSQ3sTEQWSE58pBYZbMhMjRS1xon1rv1r5dCAqpP9eOyu6QvWm9UTDFQnwEpJ7
yPJs3yC8C4EEF/Z2MJf5ackBH2deMiURGgsFpkGG1YPnlsknoG3km1XKvosTKLJuDzbKc+lZjw4j
Lvzoyc0AhDlKKozdDQhL9nBXQrnW+sSw4Jp+8Li3q+q745f3TeZ8RWlw13MMJHstqM6tOX9JRtJ5
Q8hrO8PlZ8LJ1dui1fJQSDcjM01s3S6f3lQaypMPtLNdUAxmYYMXwwLgODWTdzMz/N2EhhefrcR+
8iHEn/M06zeyQ5ySjSMqbSN8mNGEbxeR5zc6lMlD7yHDGgISjsIxwaROqQ2zfYSgVsa7HFvzdd1B
REtpzMYYEC9uYnrFbkJDsqypKUl4Ig0FDU8GjOFB+njdUtIRNlaAgroFfYHIsRWxAAOplPfo1L7x
KS1G9QHQGD+HnFLroRHFeClVNhxNG4BbphSCeYyJ6SWupLpuADID+IMOTz3AI1JJCrIGplQ+1YKD
3mDtx6w0n5wGpO4yypl+bmYNz0NmosAiv1xcQVtIHrJU6l2dNSKKvQqDt/RQLEzZ6rQ2VHwFclHd
tbpWt5XqrmL0gc9SB/2Dw3j3SCdVXIvZ9o5VzbNAIZDth76eD3VlP6eFchkDZIzhct+ej06XhXcm
DYgDaE51rROjuR1IF7Y4z14nJGJKDqGluVcTZJPGc5OErNIWHvLsggUMneECbhhSm069WwgH+5hA
YZKIel9EoUi+AHNMKTzdT/OYnJ0qlvSUpztIxo9MxGFVjrlxcJgdX/qOhnaWjrjQBkodMBXiYNmU
gJxvyuPCbO7ktp28LI25ysgTt/lQLewbPNE4rMBaJOadHcvlpTNo18C6qK/GJDcufeJZB3sOaW2X
JPowUUHUXcTS30pTcrWksGk1h4ZhM6jHjBe3KT4pI4ifg6KvSZBIwkMSx9NlzvOc+meYNh4hnIdu
NOEEF/+TvfNakhRLu+yrzAuQxkEc4NYBV+Ghdd5gKdGag3r6fxFVOVNZM3/3tNlcjVVftMryCE93
4Hxi77UpQgxLRxAYKUKrbKB8piym82ok4rIVcvsog5dSs+BmswOVUDrJFyZYr55gIBcPg/6Q0oUf
jdH8jLzyorlF/JjXOk2GwyfNpvA8WLXyxygn+dJCCxVBgGM3BElCrtm11res/BjEBLgWvgN3QIuI
p5kU5ygeTxFNRyg0/Z4N6X6g8D9mmoLOwFThsELN8mMo6c8I5B2K8n7Sgqbt6r0yavNLPwJpqJNG
hv28b5vYfLLtxvMrkXfVqXLG/o6AUZPSU3dPaTmZbNSJUp23KKgkYTXCfqFZb6IiJ3mW4OPluRYu
QZ9AK08CtAc1vP3e1UwxSD7RdhPzAR8HP2MtnVBetzokHACMJHVmnfEGQSzIgr3pS/dUjMZzXibs
vyPBuMTtzlbnarTkDB6jXHOv4yj/ETGu8te2Dx1lWF+UDlY0U+Z421gsIHZ2wb3HI0Hepks2X3CI
FidZGt2RKjQnbHid3mooIDuqoc2W7ZFW7BeSG4gt65z99BDcvwo8gU/MlKx7bDIygJIhfFGUWb+r
7cJkrpQMocSfwX0i5+9ludBLtSSu9uQm5J2TvdiJTY/spWzh267YVNWg+PFf2mHh4ndUq2NdYJtO
LU3TOpJm5mpHltmSLZDzzSE0c9iNHt97G9kZKyLXeSr6WRwwVZQMeuH2O+OCiykn0YGZaHJUIDWv
6lnZR5sJzK1MRX5MtDgGdB+W0I0OxZLw8Y/J/Cx4cgUGiE9C4ZbiyQR34tu6IMNSG3Lj0WplKHEp
vRINY32eR5ncSFj0r31lBrCSkP5mTdfdKNEMqEQyrjxGQEfmw+R8A0UKODx/VnDJYXN30HPjqD9x
Pk6nMTN5ZrRz7cgr1keLQT5B0as/6or/18uP/w+LfPx+f6mK/jezwlbkn390/Y/l9wr/42W/Knzz
k6cbktrTIj31w1zwP6t8myqfB5rD6oOFyFb//yryxSeTwQ1iw62cc0yLavLXssT95PHjdJ0/0XGM
4qr+tST6s95mv/TH0uj/UH/TGfytikMagn0SuJzrguTgdvi9ijNakFUm274j8QSpCd/FJIQP81F+
BQ7Mvpr1rh0fY7uPzrWeJupE4PtwnzTkHRxytnw5e+sRoRqWB5BfkTJRlHawopo5JsAqstJ7xHA6
a+cKLIvX8ohhEnJDVk5iBmwboqfZqOw3bvsvBSPomB/1NHJ/Pg55vd73nffEIJqNfEVDsCPtNQI6
KxBid9RP12qyoERzI4uHHr0KnfGgv3kwgUA2aanxUFVTfu471rt16aYIDXjhRKZLiD5yvilnMraF
JsRDtBoaenbN+9kbHTIh8rLnaTeWa3cC1cQs0prz5os5IhRcp97zV4sUg48P6sOG3znJV77/FPtZ
z6snMRLSl3ere6Be92o/K9VpRQPgY4nghT0R8QZiw22jLkuv9F7HbG1jvypc/Y1MpvVaNqPn2wY8
1pJR4pGhZncaNcVvF+407ZBJLvs+HTwYWMwWCQz0OmRUaQo6c+ppcLrMpQY2mlh7V4o4K9ZX5RZm
ZIpL5/aefphsUbwseYFQY4yVeOvKrYjOZ52fVpTJfOs2hfZzTSbPn802OoMHT75rPCxvGnZuh4/3
12/viiu7Q4bLv58MJATV7gOK60gGjHu9U9WB4eWI0g5ca0qGech0dgjB06lk5wypwbHFXJxM7AFE
8QWzW5KAnhIEosl+6Mx9YkP6OpjrVm5kEXqwSqvz82rVp7GzOCVR3fOoJIj9DcCoK/eiWVyEcjkA
Z0VS8ZuHUvOcqb4P+O1oFPveThloYz6Bn1a8dCDgHhNm8m9tk/QXF4niU4anfY98p5MBhah5ZtYb
XxEBlLxmRJUAIlnsK1rW1HdlhvqCiWJKy8JfMltJwrRXo68OwEWsXW63KEGxO8hNdc34hxD6Ayxv
71CQ8/5zksi//agryxqIEXyVIDaYgu69TB+Sm7yo+VkecUh7WSMPNHzLHPmGYZ/VTkbmQN4/RDDg
gbhPuW9yhATroEfXpYTJCJlxcg9i8MS+KxKTiDA3P5QuNkVmXJs+cR7S0j3kQu8fh9p6A+2NkMvW
XwlPXiDMjy1RpxkKR0BPoKDKGJS43wsp96CpcRY4RuMrPa/OMVlhyESU26EQKuq7Xq7lfa+Zcj8t
S3lnp5Y4KxjnO9QucVgiAdj0o0NoeNZ6Tqx2i203JtOfCtt8nlkd7+xyQZMJuZAbldXdzgLfQ04N
uA9cp1G+rzBiE3MzbED+KMNiO/Uaqkmzv2YeymTdBWlPZKZ9N9gxyuBkHD7I/TpJLYDlsp2reZQI
mCZVMM268zayR7uOhCBDqMsyfGqA/xa++rUhoanCJj0h/KvR3S4ZDlhf5zVfVniN1EJZh/aa2If2
sUUikbFVFUmokhFPCyFX6/NsLzqxmW1yM9IkQCdpalh29nIwWodsM3KgapwwcaNrYQXQEP5rMSAT
AgCFlLVCCDfxoBA7VUx6MEq5XE1RU98nEMlePf7+Jv7Kdc5OMP2dPpBrDM84wjuiLXJzZk5U4rty
s4vu9FYpHz9TjZ25ajq/K4zkSTqxTuxugZLE6MrsamTDDcS3S9lxZgYiZ1M2xKd443xI9Ljyp6X8
gmG4Dbt0MdgGt85NvSjtKScdjQ7ZALbsTXOGZrAqBsaz7trdYXxmclrRMYK6Xe8ZufJU6qWK3j+e
LG0+RD+9uczPRc0dCo5SsDPe7qJG8tCaWXG8EK/jBlJjm8ziCdndzlk4YbpaVoc55vFMNqlhcTtM
xgNjc37RkHRzUBmMxOFtwuWddFiEu2TSvOoGqstyg9SxXoK6XiEeqmq9Bips/4H2+adc+neKEjQd
/1JRspVL1z/m9Fv9t3Jpe9mf5RIIjE0MIm3T29gbfzV3Ct0juBvKLWZQG6bqNkL7s14yHV5EbeO5
DLP+Vi9RSpGLS9g3rDO8mKCC/lYf/at6yf7bGI+cTn69zdDLtukBGCX+Xi7BJS9w5lfZpUOOtHyx
6g1JX1nOYIV6go2MZnai71+OKeP9UjvVRoLC2GdsWx2hHOgH9gjL986MFQoyvSFAj9jb9WqupPOD
psYJiB+W3doeK7rwHHt4XkyL9agBW3EVWCWFv6L/XgCH585ecO/ZISTILEHXm2qDcz/WasRO2sgB
r9kj6YLRQGIcxqJ3bM5Fumwd8eYVR/FYleeUXaw/uw4d+UhyHdzDmADCObmwHmkb9zEhlXIz8KHa
4Zkl0NgxvcuqpuyfepcKNnQJoS7017R1BtjTVTO6BmE+eon3NQUfwfpZb78lWt/tnbZZ7ojgqNhB
L1PGS+WirZ+Jb3TSP5Jn/rkB/+0NKDcy0X8Pob6puyH5H8GX/O/+avPjhX/egp78BPZD6lzgm13a
EEzS/9xLCN0iT1duwGkG6b/vJbg5ibPl9kDitfUUf/FX2582HzS3pw65jrWE+E9uQeBQv7Us2wzd
AkPNkNbgTrQ+Hjp/HTzTZTe9nB3jsuq2Fa+HlIzNgcGsAfke17Q2wKFoSuS5u9G1s3aHLXx914wC
GbyRimMPCOAS0W6FS6uV+3hpa4ZUa39dx9WRpbs6uy34W4tQvKtaVdojlA0m21XMZIx01V1jlfJx
dJv5mXDHAQIIbr2DaFqyAPus9WVPOBU/T+wNVoIVZqDIZDNMnjXvGz+cHR/zNLmWZtmdqYQ4ndro
flrb27mvA3Y+5FyisDqyPzR3rmRw6xTyLCxGNYrUwiRuvyvm+4HKOKDLsSPmzqyW66iLUXYNejCP
OjccJzisbi0knFPsF31dD3aNkaeKjYNW2dUr+PqMUNOtbiyssJi72y5frBACy/ClMwaTuNzSRRCM
RsMsJb+/FMz9ltYKhsr1jkuv0gfso3VQCtLUmtygGakXgjdw5BzjIbvtFk9nMJ2vIXA4yhjWpkT1
NGYId9MM4lSzd1Op5t3Ivv2cp851Ijx2MWb54JEYGw7I47xSHRtrG5QWBpoYZuFUwbGO1lg/aHiK
fOTKL/ZAYCNlHn+JJh+CQREyVSwq9jtbk8yF1NeyZwswz4zhSRi5aihgMJ3PYb06ezDdzR6nbRUg
v8PQY2/ubFsePYyaA1NT380NJutrpL0sZlrvTF3ZYV83ZHYo1NOGhU2IRng5GdSIT4h21lNP8E/A
fhwFxSxsRGHaEvSzbgWVhy3SduPDrCTqHRP1vCeyz1hHrasW5TnoHPwmttkGCm0JNrf4kJgK/iop
NGTWAZnN2qe6ly/uvF4yY3J28SitvValeij0NTk4TfllBcKVgSI9ZKQ8Ir2YyJZl9nZuDe+HtWoE
tWJkD7gmtsnXTk5cEm4X36O5YoYZUwEaW9ZoHg+44MXqW32hk/Ron1ojE58XaxUM4gjS1PKv62LN
4Zy4TZilnHZ2RYjbuqJ21wquhbTK2sCJG1goq0VaJ3RvHwd2G+Sie9P6gQ2NM0fobXr0yOB1Dkw6
rbA2PWsvabj3kZk9d2wbrysdWK3pfo29XgfFRW6h3UjtCTYLohRaRytwijR9KEec0aBT9V2Wb9G3
qdc96RW2BOF4+cPK+iro+/WaprLYu6h5QlpNSbQsBSnOMyesZuRzg6HpCOU6zKVrXobIrJLNbW6g
ezaZADuZPAkDYREjY/I0jZg8pNG46jVdBRqn/DO0Gz5FFxOWASPFl7E3YXYr251u16AK7Ex/Rl5J
NJ8mJHcu0SlD0ji+p1aBFCavHnOMmHdRo/SzGPrJ3oEHTCBpaXkSygbX9zwATMAHkdM9EPrBW1UX
h00X/6B2qUDmHDAE3GhW/jVlwgi1ZTOJtE6MQnLUAoeA1Otm7e2jkxQ4MUz95xwlUAQnGG4wlqDY
yeER3flJVaM8u4hcNnHCg4yyNpx0kywTJJqY8QsZWBYCEaP1vqmheEhBt0dC3RFFPdA9pIL0YO1H
aa3LnlDCq25wLunEP9871WGSBMlW6JP2JK2QY9UhwloiZr7wIkgrttIvbR3ju3HXx57dwtHZsINF
ToEyuWrwkQ8voUEzH3QVeyA9lt31Yjh7VRpfPHK5dm5K5Y+K3X6MjCT2S8cLN7MJxI4M/lP7Y+yL
CX08aiK7y5jAF0KcI4JK91lhjGG+4aWWIW8CxrnuMcGiQjTLZyn7SxZb2Prt+cWdgCKDZBh8SNsS
pW1aPXne+ErCAClLjfMDnRmhIhF7uSkungyhrhxr6G4a1zinNas/u66L6wKhXqV3d0USEQZmJq4f
te3PrsNSSIYJarhV1QfLUqSL2Qt5b4AZLsRkoaafO5ddauQdC1ajvZl89hbXe1qs5VgToXS1SqbH
RMG1+8EtxmB2+Y3Vuj61jA/uMJTjquQQmrVopklkAA87qth3yoYDXdqPDWuCQJIVcrW0/SnuWtrS
0dR28YAfhPm8HiRlK9+LfH6bIqWOzoIvTBmYnOKC0EtjmA5zNWt7nMC275SjB5V6vNNjErkQJ29v
HPt420f+YDNEKNEsY3wL8fTt5zZl5Mau8iQS7RW7d7Zrtfm7mWJxMwulCEJdwQClaQdUNJJHnr/p
GVsia2CNpxyCU5aYCFrhihvmgWw7ex/jF8bq0aBWsxpxiJ3sdRpTm22g+7QM/VWft5tZPP5pao1z
Lqoi2msOCa5WI8Ue1JobCqvUz26jAwjHGIqPoo72qAXrAMPYalZfC9lXwzMY44hNI+AteGDHGXur
1fho0tx6ehlIeseWnbGLzKDGcfWVLobRzsP77yRGvt1k7MXt3jy2iKlGevSGOdizqabKZLu3LF2P
RNvua57eOXvJZoIqDhjSfiCMm04BFj3ZeNWZaNTe8fyMhHOMRlVWgMgCyd50a9f9U14z2YFA9O/K
awucz78qr2/z4ktSl7+ji/540a/S2vpkMWZwQBAJxDV4J/5SWm+Nr5QOup+PNpU/+mt3C/lya3m3
JcGvTYCJo2LDaVO8sxFA+POflNX0r7+V1TbtNRW64XmCdyCISfyb4KfjDK1mKdqzNWhzYGLhHhig
oWsY3Hs7qZL6ZHvkLOyA3a90nR08sOdksOHxONKA8DdrHet1vyy9NDpoxFZ2T2ppiyvWwWl2N8iq
+8yAyXm3V1mdE547V8OUGYG3ofpaPU1LYh+Y8cncG6lTMuJ6m1ar36ukIbaS5AbwYgu38bTFrq2J
AV9inDrvfUwXjOmEWpBbMbSLBLczK/duAQGF3CFNKJYYGIbmh+LPixs3/TJuQkBiu9AE1l2dx/tm
819cBiT6A/GZRalDHwNzncwYL4jUnG6KhK7I2bNmXJsbxlX8dZO5J0CcrCyQYUdW8WY3h9hpdQQw
FeMDl9vdiDARBrlyyujGNRAATtSyfJ7tLl1KNQGWsD2dUn4kNMMXMPD0b9NU9NMa5gnIWVBAaDPo
uCsePCAHFBZlnA+qMhm0u2SB85ThsCh2ibu2FgqSrLFWP5djjMma0aKRODnrEVWv2fc1Wpbezv2h
jMkiGGNUKmhvrDE+GPkcdTcsHrSTjof9Dt5jtFuxqWMHs+j2+6Q6JZo2kgjeGNQoUjEd7OHRjKKa
7kUBhER6zfLFaTJ0I4Uq/CVfEibuPQoZt8wvHXulQ91bJfbsQR3yamwHcn5quUM1vz3YZ4SSGMvL
sqoDUybxLbsPsBNJMQeSPNDAGmyT4iSujzBGovuunMrXqNIGDAkEVexWbWxui0w+Y3SM75El9XdY
Gp17GoLxPWHwHeDCwZLeJPM910O9X8Y6faEAju4Ko15e86TRAFsquCqRY0QB5kLnxvPy6CXBRnGc
E6ndajMAHZTemrcfnc68RDIqgGmRYkOJSev00myubCcq5HMrRfXYL8BTdhj94tmnBTVnPy07Z/br
BclQRWmLr2KA3YAEfzhNMza5qcjjF5PV05W3bgldorGnJ9xuNJNuA0WKFqUrforJksXOJCRs3sV1
VcFbrEk8YWB2B17TOXWT/ZQh1OgzZZk7C7vuRSwNsoiMkDRgyp0ab1UcG1eoXOujZXmKJQoAEObM
fXefFLJ66fD6HUYcrF8nI3kVLT6KoXDdM990GbIDsXxSnnEVLcV8H8k+OeMS7p5ilhhvylxLzOjT
bHzL6k6/0tbK4RxvTec8FbO3t7LmB+qu6ChsRsnJnDOpxhBJBKmr3nSZFa9Lvqav5jSktm+3bv7a
MlHDwssdJrWhO+gOQXGeMw170rCvSGqjkHapezNcDLeVV9nnacbru6uwIhEuUnkacnkOzNVmRLZj
5pHeVYA0Eas0M2GZCFm4irElJ3i4il06aH0ArGUJ60mhXI/Yg/C5DDsHbQKoGJ2GuJ/Yg3pVYC62
8WJBZrwdtO45XbvHrNGc77Ndo9xHaqXnO3uCNOcbzUpr2GXWVYmI/aIPdPwy66PASeOTZ/XONdm+
LbeG6h9XYlcCu9Prb1IRWtpMa31Hqbd+bTc71k5o8HS8cmquYsrRZ+JD8GC2TMBppVuMrKsXXzPO
Ue8DdtOqLmI/yku8/Dk9up/NbAiI9fhCzZj+KKDM+P3YXgwFvcuW0xwkozLfjIQAdVNzDEyZ07Rc
PmjxFu5YqAj0R9xxVqKTPU+N19VCIypRd+v7POs3JswgvLBQs7gZ+3SLDI1SncoQff18NJJhfqgn
C9xkHk/m4ziAkYXbCkpXpQo06kd4AhKt5cHSIvdSj4QnsZUmxEhuQVbLIHjOKZ3kwRiMHtZcN0EI
M1n6tbOlAUJ17W8cooeXXaywmwjTRjvRpwipSpcAlWYhF1VDC37Tp7RO3mQTPK/P36CVVA+CruRE
rExPmm7P2jpDXmHnjUdgnjVftGFbHbqN+82qO/tnrVnfcf0ZF4GiZ/CXtlzYClKid5nGTa7l1xNt
8bVn5vkl0fEP7LL1W6KjbiUZt2aVPD/XeveI1pzxgugSn74fJwm97D5FOXrQ09W7b0VXh5o0EpMe
fOqPsQbMJR9jvNBpRO/TCUauNm1+bOt77vdvGa33Q0tsup/AwXiKHRZKIuma85TRynZdZBfXdo1a
jtz78bom/eWITxAulizlcLBwJN1z5ZZBpXvTXbrU3fd2prNljy8Kyh7LfYllZJ15h8jcpqYiSpfh
EJ2ZXd6VkQZYxVjqk6gGw9d7fSYIXk8vWgcfTVZVfRjUrAJLzcO70aG8LNy62hFs9nnoxdesBaez
cjxegHjFaif7KbmzXISjFVHRwVwmhr+Yc/9TmGMeKrGox0yXdkjtD8o2dvO95cKLMjsteqSA7m+k
7gyHyWOSsvRpd4ukzRRhtnobg85gqoXhWTtN6gqDVkKQBaQ23So+43BTexan+XegfiIE1MT36rqf
E7f40eVpf8I74/i6k2+hqfy3yHY8MuiZFiEn1k96VkBETnFyG0MqLius0W9eRtbsUCTagdW4xjIz
Ku6zoTDP7KfSfTNkLTBB0swVqtijadWb15DKS6MhP+RGMl6lAHy5j2YmQIPQtEBf2MTOTT2GptNX
3wZ7SuHBFYQuITdSSyKP02gCurKvV2tqjpVV5ju98Yx9Lexvrd7cK7ySu4rpjG9lUJA7XQNCqb2J
FEdlktCGpZhed7LQZZjr9Y3TdPeODoqobzF1lIoekShhPakeXGRN56xe431FUtqOFSh5C2llYIVL
zoRuxvvIKq7NUtMevH6eDoVU3tFaspjg9PKeBekd1ulkz5KeiDugML4sFpQiSgR5mheHfoDZMUDv
Day4pm1MFDKt0YTpoTnmLWFEWMA9zXmCe5sesbfXLFjEj5agtpB2udylJa45I21sDrIc4khlqvuJ
Qfe3tFza0NG4/GC2HOU8VvdSA+8BmjchgXOzpniNOs1l5yHUjul809U9l8NyX6T2Z0yozx8Nwj+r
in/XS9HJ/Mte6u5HVfVLMX6p0t/7qT9e+EtcZeF4MFzhUHxvAiaXnubPVYWrf8I1RMKmgbcXRvzm
N/+lrjI+8X9JfA2/2rD/1VN5n7BO0E0JGDOeBPb1n/RUf0juf9PIO5vsyxG6AS6cJeS2TvyLRr4o
zX4tG50BKcTxJVAboBFG02TeGNFMUglEPOLSyhLZ5H4aZOvtjL7rTjzRhL5fWzaJflLo0IUIwSvI
EGOIrO0QRZBF5X1rOEVvp00bQGOkB1bK2buDSYp4AENyHyLPsoIVZCWlkNkLLWTw1TC3o9EgbjdL
1sN2IlLwLd152ZQKMKF17o51fY6wBDP+I2s77D7kDfS9LZ7JTfSgfwggxIcW4kMWkX9IJOoPuQSP
mzxgsB8F0BmPKXCzH0is4m/TprSYN82FvdSZoutDiZF8iDLQcyHQcEyv54TfdBv1puDwXBrEcVN1
pHUyXI+b0kNsmo9I59GyqzcliLtpQjKHZG3ONZQi86YZ0Tb1CAQnj1qpiRAObOoSt+NjRrSL5ASx
gn7Gga7CalOkGJs2xfD45K1NrzKtXnk3bBqWYVOzEKld32WbwgWIHmIX6rrqTP/c+NmmhcmnxAEN
ZuiDv5mpcSrHerg4ksKxQ92f4SDXX9lYDxeF0IaYwuFRIGdFGdbBqw4MLYubXbnpc4CHmS/EDhl7
VLdAAlC9IeRZo+ga2Tt6flOnAYRBj3Vy7B8cWbtZKImLOJP2p//sNVmFVikenPGu9AoSzSbMqlas
31mkGNXM2A3zhhJJvW/dwHOH+fl27DObVGsMCcRH+TYhFEykhvJgVnNxBjoTXRjCVfe4Fa1rJLGv
Ka1HgM46D5CYLPAk4+hxUXYLgdEuj5Ne+notBoimWfYQqVa/VVrvBNFsTadYAl/KTDcE5EaFovQ6
iIiwJHJ0rKNj5kX2Xsky/+lN0zcRedq+tqwIpvdQiAcucvxx89ye+lUAsy0A9RJvgQHRNCw2CPZ9
zdXmM+i/Quae7Eq3lQF4+Dc437C7ZwBYiSGB1i4u77JPbD9WeCCEEikelUR7sxwnPjVF0j7YRdNc
Lxb5ZI7bwzAhlDTsxDz6hdUlN+bYct1w2RL+JhfjQLYtgYxVkhKXZtGeN5LlEGqS+WGZhi2/OrXq
+CCtconFM8khc7rHjzMxpLbFakkVZFMSJ+7DJMGENf6iAWl6NIzcnh5tNhm4kOw2T8SLsLgWQuJV
0ivZ6c79AF03eZ2ttYR6RdCAua+8GvkeaMKF3w/GHveS8erRS+q7Am4ZaF0mzBhJRK3Zbyjsq+w0
bbqEXcFkgL9NphOPfuhqYIuPY5paE+rLVFHexbGWmfBA9TF7z/OhgzOM7b1ytrj3nqqsgbyDi9+Y
ebKpNI7fS5HGGyJNpHw/Wk1ymMlaUA9nFE5xshPpvM3op2XLFGU94YZtaQ55fFzA6b6rupqGb05O
BKl85zPyFCxVNdTnFHgz/W4V5YPJf0jcqgAmbEZRCTCh6KnKMdf7ekt2j28MHS08UMc5/Oek/r+Z
emIy3Pjl/72o4LFWiAr8L11dpNVvZ/WfL/11VrufbH6UI6XUxR+DzF9HtfnJRHGg/2XE+WvyaX9C
S8CW38CJaP0GbTcNlAiubqPWZApKWNx/dFIjnv59+ml5Dp4toEf8TLJPcDT/flIr1LNVl6U19kBH
TNCrc3PyYSh5hwQpzF5WBhmNVZy59+BfyE81CN+64d6tg7FIXIhnphJPWZSar8xEljtUm9Xj2Mvo
M6bE+Q4SNwW5M632ERoEDR92Ovsq1UZW/jmRIf405xJUuTZjh0iY05oXt6Dp42iFNlhYtnlWa1u0
MMrTGOc8iHB2NzSNM3dkBkmwpLffOd5i7XOisW4Tkc13eRJZQDXnUQv1lmSmLsKpDYnJrrJAMxMj
OY1zz4anXuS1gUWq8QcjMk+KjCvOQdc8eXOqV1AMW5A5JW8KSWw0/OC3QD3oABIKP1LkijKgahEO
OtTw4UdA8xxVsmMQOYB2h0djH1OozU5ornr5M+ULP9qRPd/x7AarINY0+r5Ku213uZj6V/gwDEMj
3tmrxbjltZr0/MHLiQmO5jS5nVRUPTW9W98OKLuXq7mdY5vW0tCB7yQ8tzn6CxH5umh5/BG5694D
qFrCVjZ8kJmIwHXoZsr6C1SAA6ZxbYitct27qECluGMSp4sAfq9VBR4En73jlkjOmazNTdncAk/z
7mw8v0yVSSc69nx++5EsoAtPX3qkJJkuiaLhmpOR/I3UrupHIVr3XrO4WthNlz7rOhunKevyMurE
U1Tn1olsMfOsFYSXzMqpb3Mk99rjyskRSicTZ0YAE3jLXFkB4SN2f1y1EsKzEuYeykv7dVrL9r1T
tfFKpWkRM7MiYvCBQhOMppVuiCgIFTKPXe9+bngML4vlPRqgq8Cmr3McejNzTd/GT0VR2kPqxPVl
BEOiTV9gcjKx6YV3aRrTifdq0fGkzVmVHiOnHdYTAm9jOaSR0i5GpI2TPxlOGZqEngBS7SnfBoA8
nGm7eGrUg0PGPWMRvGV3jasJEy6ElM8Vdep1wrhhgmlUQKdnaE1vyXBLdKt5iHF7oQ0h6nFqlp3G
B9EdFzut3fcWsygGGyLUgX9LM+L70aZxR2yEaqcQAZO7jwkRMtQxqjE0ngfJcv1UtO2SviKj86C1
8y/m61w+bxCVtEdmcb1v5NG1U5b03+PQvyZteRN5ZnwByAk8IcMXCsnDMMva0s5xqTvA941Cf7ZN
nf553ShB67BCV13yvS75n4MJXLBdAXOkjJLAqiT1dZ8lLfqb4SFTgll50RhbnrQhAE1yDb1Q2cXs
OGWiAQQ2Izp19ngUx2bZoMUTTQDlB1xJPrOtGIw+/m5XvIfjQiCL2jSCKlhIirsi6js71UoHAuxV
BP64l4HJ4yljSsJEq57PxDyp0JlTcr4h4YCKnA+TZmnf0cSELRttH+LBYXZZni+pIXZ0D84No+3H
Ye3xksbTAWuB/SK6zQSgFDymRdW3k6s/CNOkWO5WvrYeH2FsoTQZC+Z2biOZDVS9T/VZXelV0//I
FudGX43oHW/TxP60LR4rObq32Vj37BKgZVpFD99ZRea+JUscTycaD0uuN2nrYsKyqL4TWC17qB2C
LRSvEjnGFHymdRPk7vpeA1/cCKi3a9NdD1Me+exGRh8bY3cgErnbZ2iMr5mSTbeyZ6OQ9vVXj6ft
AYSeG6bREu1R1lHNRzYoFNTsx7VG0lGMI3SaMhVXAOrGnSJwuU6NPohJ5gGgu1QBgJQaRm3dvWIF
nY56GQ/PmeoGLoxJO8Td/BMYX3FYkmwJh24ST6Mwos/AobUSRH1inWRGWDngbEM/KVlPOWosy76q
yNvcex6LlV3DJudAKL11diMNN6GmOfeqSeC2rxxNWdmnDJ8sRjejXB2YlG3F5I0hexa6bTownGmj
F6+1uWXtkuyhGmo0zNT2KyDzmrk5hOy3BhD1XqiREIHUcPdlP3iHeh2b92aK9FfGalo4jOQv1yR3
3LCXqhEPTN2xNEv33uQPrhHrabessV+cuGUeLTxwLXG/yhtKNUE8yDzk4mzPWXzx8tL1dnFlt34x
pGSb5IZZI2WT7FmsiUmrjbXTHw1h3pCvDdkQs0q305otPbWOXDRQTg7QMC6CrmGU2LKFfBkavWdd
RARRkCpm5zrQMjQt9f2MZeLGzPIqcHHKSlVwGVj4Vmaj92eRbK1hF+3+i70zWY4cyZbsr/QPoMRg
mLfuDh85OqcgN5CIYBAzYIBh/vo+iMyslyUtT7pqX7uSzAwWg3TArulVPTpo26DYw8t+WaywfvVl
u6KErHLBdRZh0mltdz5XHif2NpsbZ+dSlvFSQ2a7Jqw1Pidcu6EiMXDTRPLDCPqvNK3ib2gWRCPn
Smy17bxUtmPc8kxhxrfygZUE77llbqKXuLUPk5V9RG4PVLtxDksNAHqJWIFa6fxtHuaAznPsMJ4H
7QyG0WawxIm4Ts7FRapfdGAPmzwz6h3GzOw4yL6qgUXj9APnYD4U2m3DXI/5Y2W6d1XcVTeEnvqw
7CTqp4xRNrdj0o4q1Ga53K0uS4yV+rPPkmdAsYxSzBd4LQgrWENx9MAY75xo1bphMHZwAJp1mAH2
29kt+2FOuTCh9fa7zPNnQ7ps+4iEfmAyTo+AZLxfrdlesS9/EQvHlwZ4H43vvSrQNhqnSw9TLrxz
MEfLjRI960uLdHW8UD0T9OexyiPenUqFOJchPsWDdcymuTxZgzoRxVjdTeZLOs45PQINlekpJg+o
RMFBwrsGh0lb+VCoc91NT/aS6D3gTOrYhzUany2fHfPntrP6+inyuRCmSJz4EktrxmxYDSxQCHPM
lS73U0+UuzX8nxGpJLgw0btoHOvegubOqspB2e/4XDk/S1nSlbL0Gk5aqi6qokm2b+QvrxxJBZmf
2s9Bi/Z8S1uz0uPRV8RXtK3sMG3Iowy+mxyYWLyrCaaMuq8x2wumx3tZedEDIKFzyy8dAushZV+T
zJS1wHTnI2r68W5OJgxUZmbeWSp7IdvmXiPqzQ94SxyEGBp5rn3SE1zTSAIArRxWr5g3JzYojXaJ
cCyvXZYCLqLc3azua6+Lt/YYXKSqv5w0xslCL1diiPto1PdLwdU06QiT4JvKVPnRFrTmLXp6HnX/
oMyOBVp1y7SGRc5dSA130bSd5z5nBsTGCbWBxZ1fwKh1rNQBXkDB002V+f6NWzYVhTLtRs4eJnwD
HPeDbKv8v3GOf8vust7esID8/y5+/6+b/M8/+Jflxf0Hzi7TdcDSAMJ3V1vJ393kaKwWkor9GyL6
PxItlnGb3AY9X+BA2ZP+U6EFcmP7q0LrWqQ61pvkf6TQWuu97m8KrVgvWlIIxFmkYu6aaz72bwpt
ILBwRVFjXGxYbo8EP8pwwfZ4KoslDz0FS08sg7xahTsc/NpeQpOX7sk3faYayo3onHLLi6WJPZhN
52PtFkC6sV1XWwgY0A/cKoE7Fl9jZRHohgce2W2xte3qdezzh1HyPocux1aKjQ/AdFS/SNsBa941
+W7ncBIau5BPXQUrSik6pBYrLu/scdDP5BWZsYme7GbMLJ/C6Dezb72A+v2yFCYT4riPczAzZEKT
ODQjXDjw6n15TbOlp77GBw3hYfGBv1vmB9YrSFlFNd3MhGRPZQy/LsuWDlhAFOw73fP2IJTrElQU
gkZNQ04QzuGUDhN3o403NRZXC1HNx0W0IhSKggzlNM6NaP0jmcerEoBoLGKJt2VuXqpoKnfZhAEh
9juJ4QUCQ9P40b4TqtzygalDmJI0z8b5uCHTv2VZD5e46srL0tHb5DmGdy4zHAARcNJNb9MrNkkA
g8epAr+DIMzNJi+Wp8bh5B/n5JVrq3wZS8c9TbY3vFcm7QqJbgLWalYd3al2liIsahAGyO3wQMRl
qCJreapadrl9mI61b/zMi8lE/6qL3lgQLXXGWF7Vetli8rW5jNgd5hZMUfO1sSofeF5AwG/0cYBw
aSdZeSgR+I/Sc+D1lRXDWGoCYp7KqrsaXgcYGe9smXSUIWhroK8rdW68vCUYZzKKhUa+cIvFxM0L
FodHfmdQJ6SMnUEzEkGI+g+7H8XZv91/1OisZkC+kMYaqP4wCnpR1a22wdVC2P5hJwx0na7uQooS
22x8jLq8PFQNhSXxPU4T6lv2FJMK6nxt5ud1ZuTK575AmdfiyRhmF4OiEWRFGWAfR/qXe0FKmEsF
cdMaAu/tSFuvavb4PiugDYUw30gET48jO/CSZGXVsDRNzaze5kY87VLYV9HWILUbhOk8GK9J7sCY
kIvH/Ne55XRLchV3RBU03FPitZoVo9WV6m9og7xJ8KxmuUpeI6fKyzsjm6W5LdUMxX4Y3WFfGCRJ
aV9I2AGaXVWx+TCTY13hsMdAY8WwS/v5qUVLgCVCMcRbDrsUM0fjWh9NYssd9SPxfZPMzb0Lg5PR
V6mtm+CFOvANiNtF6JUO0SB6VsVyTOdKPbi6rV4xT3M58xpzvdDMGcsO1lfkprMMLKXvRidfeQb9
57rDtRV3lKARTu8oqDUrj185lvRN5ljdvDF/E0OE7piVvOqh8VV88BqKPczBuQ+yIX6OCjVdIO9K
hxE4Xt7/q4T+W0ooBxvn0P9+ID7/mr7rv0cbrT/+xF8nofUPkt+UT5qB+1dI8Z8nofsP15LS4/LO
occi858nIXBsO3D5V1S90wQtV+zcnwZQ6fzDX89UtnLizzTWfxBtNDlf//UsNLGJ2RIlTqLTIsbK
NXj1t7OQAdIYIC+J09jI9m0wbG+ji/mnP8kC2r6BZcsgBjSVa0Pw6N9qrYZv7pA1T6omJSVafe5n
4vwrNY61VW+c5shyo8NQ09MLn9f43nsraIvKyOZo+5HHZOfIWD9UnjNbj7ad5rLEtVWY3mkxW1/e
ERQX9YumZAYGDy+/2iLd37GlwRInPHKJw0gDxQbHaFcCnY2gLOwpqxDcetTYts1L4VcdqwOvQhSk
m2dyqU/GldmFXiJsvU8KWypwQXEK/Z6WW1bGm0nOVIinJf1PZ6+ecXnNsW64C9dmjZ3Dhpl98KU3
Oyc2axQd0NeYetlzNBsGCwvTy4dml9RO/T2rIv8zdrO1F1iiFBKeJnU5uFtfr4BxpMZMobIVtqaZ
pJYXX1gr5RnyzCXKTK54Y8dcu6dMOaNWpc7oOafP71jGtXqfqhSGVkGpJXyiySef4Tvv88DSyLfi
5Jjq9CkuCtIMU5/dNkz0x0yOr1mNEzPDdbsx6es9MnckVHKWcfKWTila7DykJ8+fbmu7vSQYIt+g
wFYkTvSDVU74a6uBFp4hdn92UzRS4zi+LxmKCEGQbT5Zp3jKX6eBRNxM3OLsw+SPSTyEVpT3T6RX
yckiXB4QDF8NqwJA6sFU0h4bVF9WB4zJoJ3TV9bVX2wausuiKWAJ8vhuSRo6PvruvS71uRzq6gg8
W+Gfs3bUXMuNZg91UUwX+7ZZHpIYokIu81eS9Sn9U0Yd0rv0C3OKCx6BAuYxwHmKR8mAbN1HnI7R
Lue6cbAHG/UIbpBkqb2j+mbaxpjOuNkMyQ144/bW70YZemSCT/iKU4hnC5UeBiVPi278H9jYhkM5
OOkP8MRYDNHoQ9U4BpPfbGPhjX9FVlTfO0b3xGV2eqrKuTgw64DpTlV6pGLPxQsnKISuZwfUhQPa
gnH0xHsh2QNTDfZx6XCNS4zgMLjjr9rJyxPKLrtU3h0bPAEp7K0p/VFjJdoOVHeGcYzniTydJvBu
wauqYLo5CxVkjhgKKFd03fhyejYdOsfaIn+lCftEiAvYnlYw7jrjzZnZoFv5lJ2TxqFIQ9np10qL
+QC2xEzScdSOdr7BSUioDXE4vyGK1V9ct+OJJ4/R7CxyZ1817m+slhAFHYJUvoh3lFBx2ZvLyQC4
JPorK4XReyrsnNNSSFpFmqhN19CMu0cB8sMVmI+uV/TZs3bLDvOeucSUE9byXPUUUWER6/h/44OF
qTRij9gXjbUV0TA8ZGNuboeBj0UcDHShwaSbPxvFSzWMPXs+911aHYmuzCOOPz5a8OVmV0zbhu8W
oJceuy+zaWA0xSAY9nRI9skX53fAszYGDYe5aNR4J31Hv2uHTwtTpQ0PwRxKcUmqoDxgIVf48gx5
EJKpo8nHkzdnkNSTmrfEBN2jFohoDmLZSq6K8Ww1VojvszggIIC195dvk2kHr16qprsiM8Ch5W/0
wQig4TnoeOpiwCTbd5mQ+Q6+QwYEI/2MtN/uUqnS17LNsB66yklvJVMo9pB+sXas080HNjovWEhz
LFCBhcpvF/XZDHD9e9ZwM7BUutpWYDzlGFW/y9JJufSAZ1zKAMhPHyc8xrh9ZRjV1bRHBRW3bgQ6
s4s6ZNCu6+4obaxDvk61rw0xH9r1qcXO6z6Wy2Dto4ZaXRR90ovkhDDZp4x8mv49kcC6Wj1Zjb/4
NJi5VCRZ8ztEZOdoD2Xws5X60aNtZ8QNYw1gyLpv7m/nl2DeltZwsgvTx3qPEL3pwGp9RXgKwszo
jAumhWTvr16zSiwkheuJ/sHYXy1rJu8Df75LsQHeL4YYbucUiH819+TyqwmUtGZKHTzZhzjPCGgG
tAiLUfrbIKONQJntYaa4iXdwdxv0vLUWi7gbmQs+id1UnbrcdkhdQuuJzfHa+2Tucp8dWb0a9fi7
Bcdmmg7G3ASnVgwRUvMkWKsF5c95Nf0JquO2/WoEVGSXEHdXdyBIBP1MwIKQq4/DiMtisNNdc8Jg
QyDCUF9T472UqVeHS4DDUWhFpHAOlq1BhyJy3ERuqy+ns5E3nysxA/2lxx1eFCT9VhlWetW9ZDLB
CswvthJzth9Xw+OyWh8pCgw2jarQHVmVbv0Yf43h83fuc+JOssx53zXux7KaKavVVpnk3Yes8/zi
qAgTxswlN7IozAKGZN7wGdC0duLKHPP8q3eLYD+p5SNWKyjmt38zo/XlNqpNoOZDtlYbBfEPwtIj
4dKufYhyGW2T1QIKdnPgcMf45Ir4HffjFxLsL7tLi33hMDAMk/1Wtj31fLluXgufL7W0hB0UWvRX
29vUpuqM4MHaf+ytflQIddljIGt1Er+dqnnHjwEDa19GYsfLlGww6a03sLEcGJ31lKbgYoaYgT+b
fN7rblr8kKs7tlx9sj0J8n0GAp++EaPa62wpb6RJEXI3LzR1W/MPnVA0NqCCgNTmexiTPCfJ2/iv
WsjlIbcIzXKarpHixKP6jB+Y4tsfujx757HPO7Yclf/ceA5/1hLcZ/ro5BYTzU5FED/25NAenC7K
3gm1PjmuO25xi9/ZstZHq/djEnNJpkid0ZMG0i+xX1jbAYpwENuwaoT2ErkSS5oX85seRqznqws6
dQc2wnEt2UZNFTsnfs8bqcz6fjCpFhZ4cY7e5PgfY67Fe4/7OlNRd78Iy8jCtczsmKnOundKd2Ar
nFFubAuFYELMexvIAa2DpkU+EaK8Nn7gXEfqL8SWt6bBiCGV3Drklb90Sw38+qDG/E7BqFGz7rXu
QSnT4ZGp2EkfUX2Xfovr3N3NsfWk0rnfcve+gYKcfdMgDn5UcXMuxiRadllNjLSJrU+yfg57qVT+
JDBA9AYLD9dCA8/dSY2rOz/NE3xtkzNPP8Xq41e/Hf2rtz9aXf5YjYpDULkPpJ8uEZopzRkcB9PR
NJaMj7M7eJ9R7FFjLLV3H3RO+kb63qY4InV2RF6K0OGqv1W1ouyqbViy1p1VX1vLpr0ALry+m3Lp
s3yMaoIoneqx2rY+SWs26WQj1pREbLbZPlrTE+aao1B8X4cOIedAU0tUHhqi1G+8zfI3jrj+WwEh
6SnPuugoMi89CWdk4o3oPW6qATQuddMR+UR3LF5jSQT8MhgzbVFL0tKmLXkgEjFS7M7l+QxjjiaQ
cjJz6g0rCjEGXHLck9vHjjaAN5oe+09HjcPR1zUurizr7u04aV9qy6GY0NN11u0sXF156WBaYrpa
XgMQshRgOuQxiJ7wht1yTwL3uwTKAjRAxfUQ0iHf5RfkxbIM8V+hWET+4n6L8zW1M/gTJ6tPswoP
Yku2B+wTgpGd2+6da+XJ++CNWC1rr38qlmo2d8SgjFvUsfQ9og9u30Y+jNlymQpW4JXYZX4W0w1q
g9Pc6DWgJGhseASqgh5V8npty+BpLJmN2UP1P6o16mQkXrZ3Owr72t9hqN+5qK4cymczwUBoCU8e
xjVAla1RKnCuya6Om2KrjKXAk9AqZz+uESzcIW27cxZUsGxAJBoyE55XtYDPouTu2HtT/CCVFc1X
38va+n6KE8SFIJ5EQ0OaT3iPYaFkZzhDQu3/AMwwbqYrbyb3mtF+qv9k0fQzolCrcewlMEGh3ECu
KSbbgHkB0IVoHCVhlk54j070ezI6udaxS1znDVpwSQX6GCvviDFSmT+w50Y7YWRRfJMOQ9pgShBt
Fko/Hneu7Aeq0RFqePuAUb4hr6eOPe6569R03AXMxjgsjkuDTEc/CMtGdWr5TO76zkpvaFJOt5Hs
va+yre2folo3yFR0dCTAS/Ws8yBK300TN09JbzRrNxeGoF4WVnfa938hTcVHty8ZwU0sENuGco9X
bHIiTF3eziEu1XyvpV6+CwbryzhTcFdwP649JQ41X/a8yKZ7VCpV35LJLq/jaDrnhcLkrSxttXMS
Ew+cmZRWGOdkizAtMh00uWa9RfyXvjiK7u2m3JEjtV80U2TIKh/oYGVmYcxZx3BOQmmSbRf2hXdi
+Tnsai7uV8TCYN/mQn53AKMegWwr+qh4MxUrscLDRntIY2vYtbXj31gpFTubXCfjjyIg3EeK6N6a
kuBTVEQm+E5QAynTUVLOR/oIIDf0fXyTc6Wd0K3s1V3hNpQtTE7YsKOHzLesrIgsTcIxKpMwKDjG
I0gRH4jYCn6uVx6NFDaCQYX4thrpH8dnwlrIEMZMGsGy9nVkk/kIPOO+s5b5qkYIrHh3bqnwrnCz
VFbLBG4UIdTV5JeiyOs2itKUF21DQ3QN1THXvPh7BcKuAKy7tAXJFxR3Dp1xfiS8HtwNU5yHmFfc
Y+6mQKcLXENC11gMhfng+yVlLlpPMNPXnJSHTaqiWyFnsGv8u/x37XkpctoWIwphMaK+EyxE0qaC
CTdPmpTvhtLvpN1oUx38g+1MpqApafgUoCaPfiqW01zCbTK5eILyc7p+Q2vpmpfELIGN2YXjVnyH
GJqEA7+tjaymb8rnEhHDvV6aT1Ld33TGeqGQWGhD+NT0mU6WFWJ1J56fBvDAU+18z4k2bko43ltm
ZqBqK4K3gHDLmRfbU3NDKKni06K9g0lt1la2dnpTxHH+gP4gxK63yc+GgxLDne6YtzMxyF2zyj80
YalT0DQFHMyBipXMF7/GiitaBonxCB0KrJ7RSEIu6M25an92ydSdPbqCNsLPPTot+12SzHQbKbfh
ADao34YS8LjkSbyPcTJxX2MUmys6fu0lK0/0ig85VFA9v7Ft1xv0nlsL+9wro9RzajQNBU2dd0lc
vHrNtDA41skpAqbD3rk32l019B8UBt6O5mwBmZevFR2Q22ywaUp1W387Opb/lkz4ii04qDvCbMOW
RJzzTLWmg+0rl5dqTm5SOqQ75Wm4N8lT65pfMF2Z/2amoypW1VNSy3crAYlsDZX9qYme7UTcWjtl
lK8TdXhfSpWsC+LKdwkTEuvbGpOCgbm45RUiJjueOqb8q1N+9DGIHgvANAzAnIN5vDaE9/CQ+BH2
BgSIce9oe2ZRU7I/touJpBDow2vFC4uSZ8upXf56kdezP086+ql4BlyRQxpCRB6XNJ646kRrWaai
zSpz1D3MBUQCE7fuRtLhTYOoJCkaDn5h6rAXibqT5BpO/A/+VV75XzKWVzureXn4aXKmOCo/zw6H
q2mNP6Nc9SDtjTwOJ3dd0XsZhJViOi+pR624MF9bjqRtYZLd7eWqBaqKHW8A58YzXZwPTseUxwbg
IB0m4VhLXgnu1A7jMavBTQzNB2iQ88QHflukCqtDbNxGAWakpcCJThLurEwy66OVe6GXu8VZOch/
xJP0Fn4y9BhucdvIbm7aeHgMMv0pypRPfDQ7uOCqx8YmcoQw450qmxynZ3TJgbsLAiIVb/cs695Y
1+hLFxkgQqiE28aFBXhbqDhM69I8TvSa7Vqn1yfwbQLloqs3dLB/4pQJHns4hscsIrOV1PNHHmPC
kt1s7dnvwH/urB+RM5hPo+/kO3fCiLYluT3+crQ3PPHuI1/lApLzRNOf2wYxSrBdNKnevi2AeaOz
wH8NW5Hnx8Ctbu2u0Ntosex+J9ORGjAvNkv27yLJz2vhgBks9T5PZ/Vdm3X9DmbLWlsTluUna0gW
8IB9je+1W7b3nigor+PAo4rI86ajn2ctKymuSCRysmQ3pTFeAzsOrXKmuTcqeLRiUEQAmvz7erSo
IeqS/qeRul948WZF+7OhARL5weMysSJ0Um+stioV44s/Of2DlIm93LWTX6vN6JX1ARW0JGfaWWpN
uAJ5JULj4X1Lp53ChNtu8dwp8sCsT20RGXdm2jrkQTgMjmk0PM+x88KE4Dw1dDvs42bujjwHOCtb
jW0l8F9HH86GSir5FAvcFjqx7n1qs76XU2XA7o18sgUS317BJZ1WXclQcwOPWG+abkguzBDdtIdD
U29xD7v92a54/2xctpgZEPxxWkWiItmMaGHMNCVJhLXVlfFurKH/EeRoX1tlNxd2nz5pWVoWxKYn
8XOYVRZtZ94L726Naf8Oc4Z4HvgC7s5v+uWtz4Gb8hhHiEYI1Am2KeBnVq+AAvHpoUlajeQgmyol
jahUu+PACjZd28dMTEQUNqbsiBC03ToJ8ZZ5L3PX+yDp4PNo91l3VH5CEwKd1Aytvk1wMDboRGSd
Pz05vaLSoxJYRzZcw3x+E0bwWvx2IiaEk3cUPrHKQ1Obr3M+TDBqedDCpVkjp57m4j3R+LxlBC3V
brDUF8GMKmRF8AgWNcMd4oqzwj+8c1QP4SWNmscpHuRbtu6nd9jMCYK0jvmgm9rEXkJB95Xqec5T
3mX1QwER4M2w0/5sJQ26TImj7badje4thxN8B18MCqsCic3lVVuPGtTdNTAiri8t6ZML1YTyx0w/
zLnT/kAkw0IMnWTPU1pXvFY3peOTdPR1gnOT1g4eytHmxOpHVMGNRflSdofC33GeBC2dkJkpZ4c4
0ejwmy6zMOraONtNuX5YYm0DgZ4VPFhkqGdBjcU5s3lVss2cvwqKdt8jUzOoLW7n71A62rskwAG+
ibO0eetdp96PBqduXNscZnykdlx20lDEOjsoAyPmBmn00kaTdxpG0YVw8/IbZRK9Y7I3xU0N3fGl
y6oOGNiUljssv/bWbYHNWYThH1XeqDtnHv1jCa8j1MOiDqPG9GUpak9IWo3drU/G7RvqrcEhNqpn
wXx309IqT30G0z9ypodKYyRXPI7D1g9imETsMrax0uVt3wU/jcE0Q15OJPwTp9sZJEVug4FHw8pk
gtnJOtWJ6T9AJplO4+wMZ9fwFsDKcPztjltHz8S4RW9uz5q6w1tCuvkNRUM/gBlTHhLN5KP9+Xs8
l8lW2jk3Az9DVjSjEq2snV9hU0R7r4Xdq+RihQYf9EMygNYbsAOccl2j2dR5RY0cLUW7xJrMnUvI
gRV/zSwrlvY9LWgO4KqwHOd2cmlfNvE1+V6NDmwGBS0TjhyK6+QQFJoTDpvMWZ2VOUGaG4Om5NFh
fYPGiiNirpO9iV+VIsXlzskX/rmIHjX12fdjR52nHPLXQMtvVszLmvhLmAI23KGUfA8qMvJBzMJj
JFS000YhdjSx1Htp5vZxtEuyYNl18RVXBcimMMfgd8Txcg8LAKh11rwpTesKobhjZMgjg1V3GBZ7
+DAm1iCSiLAlCCSKhQl5agwcpwMHNd7G72WQ0UPXN4/Yz2lpFrXP0W6uF8GkMO4p+50J7JE0aCoh
b+zB+KQnr7+tZdVuWt7/m5Q1GEJPYH/rRsxncTndsFCfTm3RvP13bf1vra1duTYg/+9r67dfuvs/
r2kbk1j51/zOH3/yr/yO9w/2SK4LyvN33sb6HyOXT/GYw97axkNl/tlk9lfWVrDY5rPh+V7gWr7r
sXP+c30NtJfWAZfuwJUaKgM3+E+cXK7PLv7vTi4OnjW2C7ufpC0Wf4oR/mV7Hc/2WLBmS0669PoL
jbRQYyps/hdrRqqhahloD8OyedUmsfcyBqDL2nOHH2U85kmLCBlFvbdvwek/BT7/TUBFySs1qwVC
P683K+2DtQ+E5ifSil2+nfLEOelo8dp9n/XRsnUMe+Q59J0CHn/usEUM5pwzrJyODfSEys/ZELcz
G4K49OMXjJ3kGgZnLSt1s2/BOL5SnBmhX0V6flnwfLB8pMUyHQyx6+ysf4zH2jx3dZXy8OEKZc+y
Hsn0uBBenJv0hj9COIDV+HBgJf+YRirTu2TKxmNrNfXtMs4V0qgl3qCCDZcMZfg5Uoygc6uTBxlo
F+cui/4NEdJch7J0U+w4WbF3PYfmwQQK+FOcIMJKayIBq/nXzKPmJTDTF/zirDX8brj17Zn1StFt
jYagZ0xGgwBnandPucq8B9R7arZsEiL0ObS2uYcjvip2vrHsgj4KNr432KFUKBAu9ChEI36Elu7s
rV0HhPoNz9tEk8X4k6ujSRCHFZ48mH1yz81g6HZyhoiw8/DIbG1nRJgo4sW+6cg2sttB/oWpunRY
dymBHld4m56zbKPSxQyNQUIYzWY2pa2mlCLghXSz+PLYZeKdwIWDHZctTB51r1E1i3Mwti+gjmwi
PaL6WKHPZzNRHgxavIFOTleR2TnkHOP4qm2YTbvBg/znZ2VzV1Rw9Pgpl4m3geDu3se9dpH1KeRB
FRzeozaSj3Bps9CJXQx5i/rVSQu1HVS8G0ZNGj8sY6bPU1BQiuZaW8s3JzJIeKAL0yV7XRnRo2l1
32Jdo53gKDphlI3iy9iJYnicgrhuvkOM1XR/NljSSYQ8uqVyLlncWE+5axMQc6r+xtG6cbcdVRjd
ZlRle9tL8TFOdn9nMPGFchS/7Kr88MaR0AVaZ0MjjU2HRAo5kbyFqXdlO/vvfpz0z4uxWoqHqAhd
ypdA0pfsnY7C7h1EaRcDFi0f4/iRxEstdlA+Ulzn+I1xd2QtsXZ+y6HjdWWYAg0VcK4XQKUiETeq
oSkRw/6M3Krkw+iY74sO3kXbb1phBWHrMWRyKUrpYrK9pGkPyAmsYmPpvjmR/xxH6pfg0k+ExStU
2OJqPzpEO/x7rBkKQYrqkCxx5THmnXPlK8Q4z3Vyp6EkMmiMp8msyIjVrOknBBY9ylsdaJbTfjS1
8bZv1XuZGqq/tpT68C3Rc2300QPBiHrTNjmJ4wFRTg+UsveCsd+2khPl7UPzKBdJZpl2apx1mNKy
C0lcGFupBnu/mUjA3mpIkKFnIXokZWSGjVorJzzuoKZy/TfK62Zn0y0XGNsGVF6dHHLKsqhHk8be
iYisBGIe95Wdsdsme/6NzsB5V5JUufipt7fxWm5UNJuICYh4m7zNnEc4AKj6LhIFIfdy6w85FUw0
ZdDSzCxCpbQ6DPSjbQezjG/HgYTfts9W/mQhnJPT+e3thM3odcSz3hcXIGvxriw0PUkpoI9wMqxy
n6mLO0/fyKK5u7rV8jQReAgd/qtL4Yj61iysJt04tkH0o8H7J3YOySjvBPjM503VNo8Wc/ez78Bv
dQGn7hIHQZ208jIfIoPVyzYo8hzrCt5Te/KovLNN3EXt8EHJFSwo2kkmzClBu5dET1dLyF2xxPNX
nxD7TAbPo5ckBkHANr4/TJH+yTqbMJZH3mOTuDT5AaKm6xp7x7YGw3uTFv0HBwutGMAwj9XS0Bxd
IFgu3N7GEYJVmXY/ZcVpE3q2p2+ofIMyFptPsef6R8vARpAKD6Jb5WeHwiMalFA4DIMLvZUDFoxB
zQBaGUBp20qcxLzmJwM65NwRRq+L3eLidsDkOLH9vVbMYT05PJDzXoqMXFyj1Xbv6dg7jCpgBYDx
4gu2PcmlGXDuplS8eym1KXaBJZtTExAF2WQxC2gxWQ8tDZNETOVqLLHn20TF6V1KVGCbFwr5aQFZ
7WDuPM9dE+2ZEy9sQxoAu5P+dOoWi02pxjDDqnTTWRb3HApsT+0S/ICsXZ5iBw5RAKmhz8cfZQlJ
WJgzI3/PcQM66eS3Oj72Y2HtuKbfDWZ07WjUurNKeNF+PziP3MvKfQsaKp6zay+08Tgm2cPEz/Uc
TY7kaSzu2Lkt+wnqIEdjGjti4xLbhQqt253NfrnaOAPk2dae5hc7Z7U99vxcrw15d/e8ZN3c3wI7
iutQcnKSRfgdce+ENRO0tH+H35G6FxEmUaCWJ9SmwPhGARCR+dTzuFJwg4SZ9EeqHmZcAQfZ60xz
PuLWeHJYXWYkfBdGGQ2G6W7ITdzjtUN0EuNohrpktuWvGaMAAFcSwveSmp1kp7J2ebPYZr+VtZjO
Hhcl0iWVPjSzMQJ3Lr3JXTWe4SzcfOTVX1T8DIakozVQYHEveWP6oP6+z+y1KOrss/Mggt7aOOi1
V/Z16blcbUUgLkOiT+N+ZnHziUvPAN0DvEPPfrPH9WzuLfYuFU0kvF7zxuIHRDJv2tMpEuOri3Bx
ZasGoXKiJkFpIdm0XDuw3HMXGOuebQenG9e92lbWpVU9m4VOtgoXopz7gKReNggUUc62jT8nfrbV
/5e9c1tOW1nC8Kukco9LGp0vsqp2ADsY4ySOs+21bigFFCQQEjoB4unXJ4QchG1yEBfUrq3KTQC3
Rq2Znunuv/82CK1vZr57nSdyQFzQTJYZ0cs86/vurNXDtYFATxoSZX0vKar1UYYnPG2H6SbyLilY
srqhSYtSPL2MhCMwXjA98Bl0IEmYfjbdOLqbWlPY0Cw998BnWBqAheH6Mqaq/MNGdtdL4D1QsNOb
ITaS90acpw++ZVmdIdmrm/nUnBfR+3X+uFE8uK4T7UoBb0HyeJNCXWYGtNCLZt4Qwg5ALbCkr4CU
Q2/fVdYtQP85YMLiBEQScK4LswdjifRAHVzhTsN9AbMFGJBL4GYBiYxZKlECmaaPGO8N5X0JbPaW
/I3oAmlbQ5Oog+a8RXZoVgQ4rRiW6VWaTXNwfZpop9CfLNqq7s4/BlFiym195oJ60dwBvIQUH5LL
vFllhtbTXXMBjkGhtinx42zWTbTAv1IpAO9Cbq9cg/uLlh0/UPPxemhCV8yZ+yv4caM/VN1AbwPx
Nm4SqjD0znAiT6zBHIL4tsiNxxTynId8CAG0PtFUgNubSVusNakXi3xDKQDY/7+VhUrNcQIclIYb
BnYA9vGBT/dBR9Desg2TsWxjT71rb9WC1IuOtY/L5SzJ4TGfG/D9UrdudlKqT0FcwzueB6lyB0mP
Qs3TCo6o3Jh1ZyocAPSpyboaUfn+xliuqKOcrO4SAreARlfrNi49FMGAzm0qH+HIFmGoXsoeqDdS
R4u4G4llCnsLOCNlmEYQu0E+LpaSMRaBWN8sEm9za0Lt+2Wxgjq2jT2fgpiTgfUEkv84kSV/0oHW
yroOid1fe4YvXUuLYUTgWIv6UjTRPyublMpraRH2xAZmxdamyF4a6qKbQ0nD2R8+L00bZm1gB+4M
0zwPLlc67FhTvxX01hJn8QXV7vdhDJtIS4q76SKCd2dCrGs6nS9vp4Yh+hiJZYcFyGIxSAglULIO
FELXbbcVLcBY0to2JzAHin+ZR+/BarLWY3XaXxBh6UKpGnGASv2RO9O1zQcIFVcEdzL9+zINV2NQ
/VBgL3xrPVgKsVYuV7EaXv7f//81/98SYMaP+P85VDvBpAZch1WLv9l5/tuuHxr9NnSJiAD0xfjw
FXBdlunJQ6T/R51W5fhrF7j9ApdfNWgJQpvDJ8dflS4wecQXJROeDQOmrd9x/AsKrf0CLlPSJLDs
ELwJFcJSpQgL7IHWIdWVqQuMVrfZfDxJfOJO3/a08UKPRB786A0O4grxWvHnizU3MGks6EIxnlm2
t7z1LDAt4+O30g4Q+MD/TROuMuhOoI9QtUMWklxOZF/zVXkw1QBTwmE6bwlWLyBCU8wi7Z9kup6Y
I5da51QCPEx7iQ3QLS33gmtJwRTMx2FZuDPhICVZxhV9QaSr3Awyx6PZvDe/yWI1aal9SadZhZ9Y
NMW+N6dS3tfVVji8z6P0cio87TrhyPBpigcKNnI6jIK0ja2iW4QSk2cUS73FHriCnosQvT+P3NmX
yKJeOG7r7D1G2GEQ7OsgJgSo70xcx/LC+5qvfXbhYURd92YJmz0Ezh50yH2DeqmORuz01pShiviH
bsTgmVsToNGUhsWQLmqq8pHA4WLTn6bkj76swHarQVdZTmCLgrYEmNJ6CIY09pKr/y2rsWMaLFqT
drfW4HPmxPmdk2SAJ6pqkOLbT6EXpPcgNAum89/90XFBb/brSUdhFqTFCMD2B/s2hdW5txiehrQd
yjEJvs2Is7Hz7q1iUUCj0JJIAbdXXFD6+fTd2X3dsmhBJBMFpE0I9oWrvOGeil5TwvHnK7V5/De1
J7DHGNSORzsRb5TWdEBUEorCmi3ejum5Fg5k/NACBbAk6oQKg8aLWjC0C6y0hGu60wL2ihuelRZ4
iw21wFyAM0qF+IiWbMXF9rI/F6jnJSYNfAOSl62aSrWfkRYUfUsH2WwuwH+pWLBbssGWV10LJnSW
VFFrYIae5sp5zQWGRpVZIyWQR6BujcSEbJUPyauuTwWLRgmGMChor5R0Xkqglr1cpGXf5iO28VWr
oNAWmsQCDGY7q3CoBIlm0ypYI72kXT2jhSDLUlGJ2GgOCMjlmOZY1906YFLtzwEyVKppUNJYnDiL
6/y0AEFsOag/nwSqeqHQlM+gfrNUwzOjiL3AFhDyK+3vGc0CobJjNZwFKr3WcThMltNuGtRngSwg
BdZMGfJMDvnnZQMURRKNN0UKgkmkAlMs9zyJZVVbBfqFQtVvYQzLVXB2myLtWZ8lq3/7gCRd4AoW
B8HdAejQFlgX3IbeliZ7z/Y6u7mgwv/UcC0UByQBIk8XeJHFdTAXZDx3Yv9CkNM/u+cHb9jYFhgX
tC3AWwB4sL1Y8ftrobQFOvONYvfi+o218Atm88n3arueP956XZ6TvOR3vfaDyt94/v3O1+iN370t
nKraDwve9fLeP5yyv2qnhq0nsPdl5Rls77P7890DPr917V7VU1UffvCc2I5HsCJvnczdMG/tOb7b
f3z7m11vjYXa2fB+jOTd29o49+b/TwQnM7uSU+iEcBUkP43l0i8nrPPZUteAhW4ueGYHSZ0ogjwB
06+p5Lbte9/D+ADFU56wG8sO/TC2x7XO3eWxtbnkIHBGqUevyEoFxVskbcTppanwjuPbKzt2KkmF
ZJNW4NX/X2xT8HQSPTbvKvf+Tfj9DSG2bP6tDp6y4BBufpdLtO6N69O7PC431cyVE4L4qkvmVEDI
pKnkD2jc8yo52xWp0Lmu+uDPVd4b016vErOVW56Zmw6458NcHXpJXfT2INJYdDD27AMrosLvUt2q
gTLCVf3l0faaLa7pgPvPbZMuixOslz4jy0azvBri9v0V22/1wZ+r4ibMIDQ5VLOFr9dc9sD2gpr1
AFFxiu1lYMe5bwfjaoSFOgSE5id4hQM7SeyRmyVOmtbmNPR26ilU4o1cb2LXg7sgTU6wwgceewGY
6trMFsRtTrBgBl6SFP+ovKwpXdaKo3HTdVNIDykBqCRt36dMTqr64M+nN+240oPJLWTDtJpLvnW+
xfbB6UkIQGunEL206/sWeaoi6ttU0bfO6s0He75I4OGrLUzkF9xYp5B/7cSJk1eytq8S0POJhA+c
tTeqbWN0ISoCYKcY+d9hPKsk7cZdRFUai4be+uUeD5AkyCe7wXMuUcSLExxJPrpeXeMqs6W5Wo41
/H09Nf9Lx8uPsUP/zmqI21dZBsiavspPP2ms1XDcd244dt70kmd7m6HrJ3iRX37abKTh+MsbPJ+I
FaltQ/H3aN9JEqdmuXahv6Zv9lX6wYZj/pra7v5EVMroVNPh/teJaViV1iSzFZ/AEL5Yy0KO7ATz
78Fm34EIvb40CSUW8aqmGvlpIU7DF/ngJaMwoPdqNdTCrOzSkI3H/jqI6OioX4o0PSWrn8efqlT8
S39WD64Vvxj5jh3/9S8AAAD//w==</cx:binary>
              </cx:geoCache>
            </cx:geography>
          </cx:layoutPr>
          <cx:valueColors>
            <cx:minColor>
              <a:srgbClr val="D6E9C9"/>
            </cx:minColor>
            <cx:midColor>
              <a:srgbClr val="85BE5E"/>
            </cx:midColor>
            <cx:maxColor>
              <a:srgbClr val="3C5D25"/>
            </cx:maxColor>
          </cx:valueColors>
          <cx:valueColorPositions count="3"/>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_xlchart.v2.8</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Calibri" panose="020F0502020204030204"/>
          </a:endParaRPr>
        </a:p>
      </cx:txPr>
    </cx:title>
    <cx:plotArea>
      <cx:plotAreaRegion>
        <cx:series layoutId="funnel" uniqueId="{72A0A01E-9B2D-42A8-A5EF-6C6E55ECFBCA}">
          <cx:spPr>
            <a:solidFill>
              <a:schemeClr val="accent6">
                <a:lumMod val="50000"/>
              </a:schemeClr>
            </a:solidFill>
          </cx:spPr>
          <cx:dataPt idx="1">
            <cx:spPr>
              <a:solidFill>
                <a:srgbClr val="70AD47">
                  <a:lumMod val="75000"/>
                </a:srgbClr>
              </a:solidFill>
            </cx:spPr>
          </cx:dataPt>
          <cx:dataPt idx="2">
            <cx:spPr>
              <a:solidFill>
                <a:srgbClr val="70AD47">
                  <a:lumMod val="60000"/>
                  <a:lumOff val="40000"/>
                </a:srgbClr>
              </a:solidFill>
            </cx:spPr>
          </cx:dataPt>
          <cx:dataPt idx="3">
            <cx:spPr>
              <a:solidFill>
                <a:srgbClr val="70AD47">
                  <a:lumMod val="40000"/>
                  <a:lumOff val="60000"/>
                </a:srgbClr>
              </a:solidFill>
            </cx:spPr>
          </cx:dataPt>
          <cx:dataPt idx="4">
            <cx:spPr>
              <a:solidFill>
                <a:srgbClr val="70AD47">
                  <a:lumMod val="20000"/>
                  <a:lumOff val="80000"/>
                </a:srgbClr>
              </a:solidFill>
            </cx:spPr>
          </cx:dataPt>
          <cx:dataPt idx="5">
            <cx:spPr>
              <a:solidFill>
                <a:srgbClr val="DEEDD3"/>
              </a:solidFill>
            </cx:spPr>
          </cx:dataPt>
          <cx:dataLabels>
            <cx:visibility seriesName="0" categoryName="0" value="1"/>
          </cx:dataLabels>
          <cx:dataId val="0"/>
        </cx:series>
      </cx:plotAreaRegion>
      <cx:axis id="0">
        <cx:catScaling gapWidth="0.0599999987"/>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_xlchart.v5.10</cx:f>
        <cx:nf>_xlchart.v5.9</cx:nf>
      </cx:strDim>
      <cx:numDim type="colorVal">
        <cx:f>_xlchart.v5.12</cx:f>
      </cx:numDim>
    </cx:data>
  </cx:chartData>
  <cx:chart>
    <cx:title pos="t" align="ctr" overlay="0">
      <cx:tx>
        <cx:txData>
          <cx:v/>
        </cx:txData>
      </cx:tx>
      <cx:txPr>
        <a:bodyPr spcFirstLastPara="1" vertOverflow="ellipsis" horzOverflow="overflow" wrap="square" lIns="0" tIns="0" rIns="0" bIns="0" anchor="ctr" anchorCtr="1"/>
        <a:lstStyle/>
        <a:p>
          <a:pPr algn="ctr" rtl="0">
            <a:defRPr/>
          </a:pPr>
          <a:endParaRPr lang="en-US" sz="1400" b="1" i="0" u="none" strike="noStrike" baseline="0">
            <a:solidFill>
              <a:schemeClr val="accent6">
                <a:lumMod val="50000"/>
              </a:schemeClr>
            </a:solidFill>
            <a:latin typeface="Calibri" panose="020F0502020204030204"/>
          </a:endParaRPr>
        </a:p>
      </cx:txPr>
    </cx:title>
    <cx:plotArea>
      <cx:plotAreaRegion>
        <cx:series layoutId="regionMap" uniqueId="{C5A5A6F1-6CB8-4E57-8C34-1D2BE88AF11F}">
          <cx:tx>
            <cx:txData>
              <cx:f>_xlchart.v5.11</cx:f>
              <cx:v>Sum of Revenue</cx:v>
            </cx:txData>
          </cx:tx>
          <cx:dataId val="0"/>
          <cx:layoutPr>
            <cx:regionLabelLayout val="showAll"/>
            <cx:geography cultureLanguage="en-US" cultureRegion="NG" attribution="Powered by Bing">
              <cx:geoCache provider="{E9337A44-BEBE-4D9F-B70C-5C5E7DAFC167}">
                <cx:binary>1Htpb9y4svZfCfL5ykNKXA/OHOCV1N1u71viJF8EJ7YlaqNEipKoX/9Wj5NM0vE4N4ODC0yAyaRb
LZGs9amnSv/+NP/rU/1wZ17NTd3af32af39dDEP3r99+s5+Kh+bOHjTqk9FWPw4Hn3Tzm358VJ8e
frs3d5Nq899ChMlvn4o7MzzMr//zb3ha/qBP9Ke7Qen20j0Yf/VgXT3YF649e+nV3X2j2lTZwahP
A/79dfL/Xr96aAc1+BvfPfz++rvrr1/9tv+UH1Z8VcOmBncP90b8IKSEMYkl+uMPfv2q1m3++XKA
sTxgmIccEyz/+PNl7bO7Bu5P7mr1qE2r7r58/9ye/tjR3f29ebAWjvPH/7+/97szPB3xk3btsJNa
DgL8/fWbVg0P96+uh7vhwb5+paxOnn6Q6N1B3lz/cfLfvpf7f/699wXIYu+bb1SzL7ifXfpBM9uT
l6Twa5oh6ACHBIuIkSfBy+81I+QBJoJFVNCv15+s4kkz27pWrVYgqr+2lef18uede1rZHe8fqJXk
/CUZ/JpWInEgpaAUkfB5f0H0gBIOWou+LPrZUXStzd29/vLtL7jJ1zv31LE71z9QHWdvX5LBL6pD
HkSUEUIj9OQE4nsnwZgdMEojwYX4Et6+dZKzh/Hu/m+Eri/37Wlkd7R/oEbW/8WwFYoDKinF7HO6
kPthKzwggkckFNGTA+35yRrcRP0dlXy9cU8nu8P9A3WyTf97XkLIQSQk4pBO/sJLCHiJjLhA9Muq
n5PI/V3xN0LW9um2PU3sjvQP1MTZ+y8yeS5m/1q8IuGBjGRIouhz+gDr/xZucXrA4Apl+HPSZ1/W
ftLH2cP06r021Zdvn9vR80n9zzv3tLI73j9QKzdnL8ng17QS0QNBQinR5ySBwu+1IthBRKJwh4O/
Jv1vs8jNQ9sCsn14eGlLz6vlm1v39LI74D9QL+dXLwnh1/RCIvAWwQDksq8Q91tvwSE6oFRgBIjr
y6pPfnJuHnLdfvnuf+8lX+7b08XuUP9AXby5eUkCv6aLCJBWGHHOQvrkA3s+gjE+YFyEYcj2Ytab
4a54aR/PO8bTXXt62B3oH6iH2/9iwU74AcE4olzwJ58Ay//RJxgRiODnEO/tnS2Arhj+jnd8e++e
ZnZH/CdqZvuSZf6ahwDKYpGUNGKfa5F95CsPeBQCNpbPI99bZT/p1qq/Eba+uXVfL3DAf4BeXt7i
twTGd7/8VbJLHlAErkMi/rX2+NZ3pDxAO8Ilkp/RF/liHU9ZZY+C+utt/UVI+57B+u4k/0f81l9z
X19JwvRuuFv9wS5+Q3+9fPWP4wLbuXfrC8TT50vb+99fY4wiyCVfWcvdQz5ffpL618LuSd7f3PNw
Z4ffXwcCHcAjEMVIMBJCZMSvX00PT5c4+GQItY3EIUZQ4UB902ozFMB84gOEMGg6gg2gEErS16+s
drtLITmgIWAOgIMMEh6T9Cuhe6FrD8jiqzw+f37VuuZCq3awv78GCqJ7+tVuq5RI4OhIRDDQEPBP
hOGw3ae7KwjC8GP8P/k0o0V02h2GocuHpK5k0yQkLOQJcZG0MaemPamYAw5YFqNIv5HVM6vDAb9d
naKQiFBgkI/glIXhbnffrN73+SLHZR42kwvHFfcNW2EV1qnnqjn8G0sBOYYQJ5B/2N5SJipHjBs6
bAg2alOHeIojW3SrSOD+b5wKRCkjxjEoPQLI8e2pFjxXnSdk2NTzrDZztPSpGYYqGWbuICJ+NbZn
BAhR+wcBRnAmApEjBLZ171TzOLiqpiBAqTIZjz68bI1jj/PI0rzNyoTrKIj7LKuSDhGdvLw42OAz
i0eE76wYS7p3zmEusizqhmETaMJiXM7FqsWkB8rjpSP+aCMUuhchcGSEhcCV7a1icxHZsc/cxkjC
DNhma4eYzj0fV2XXtM1PDgUIZe9QNMTgW2GEQzATsjv0NyZJ+zGMCjy4Te7ZEBeVeYC8+Shy3cS4
bo5ZVnbxywf8UYwUgKmEToeAPgZi6PsVs6IqJxFptykRpUmbyRqUJfXq5VV2YvrG0cHVYJVdHSk4
kkBJ7sT8zbmIy3Bb9ZXbRGr0cRQEJ3lgzz0Ow2RGDf3JmZ6T4rer7SmNEZT3Oa3dRowTjjOt4nxs
hrgrqy7WUg6xqaqPLx8whED6wwmBSmVAqDIJBrkXynxRMTFN4Ha4YOScaFK/zZHLtkwv4tDpvEpd
f8VHL5K+JvaeDUgcdTQ6dLnRm9HJceXmcIrNxLtP8xwFWw/NjzjMhv56MT6ueZEnuOqXnwQm/Iz+
I0Q4wowKHv5gccLmLNQDuJGaHKliEkwVj+eZjqsgiFCsLO6TTugpjUB6q7CeyQe08PnCYdGd8WGJ
krzL5Tlgh/wnvkCf3RrE552HU/hvzxlKWbNqofWwmYdiFWYFTZUp5qQXbFjZPrdvZhWVCZqYrFNd
L+3R3JbmxGbNWKXNPIzxiNq4IraMe9+iOMJdlmatQHEb5v44d6E5C9kSbJdq0mk/DkM6cdol/WDk
Wzep4O0wiiyRkeoTQwK+BuZKxWNkxMrp+WiojI2noHbJkFEZzzU9Lkj1xk3CnlXER7GPlmptIqfS
KRjOteTLYa/4EntSR/Gc1dkJKjy6DUw/bsq2CpKM+sfKR1eDGKpY8rw6HFgxnMOT2/XL1vqjg+z6
NFEIXg85mPM9Y51tTh2ddkq3xVlQuSJRAm2xmm/cknUr5xr8yy4JKwIXwSiifBdvvg8A0syjkEs1
bEyWbbElqxrnn2RLTkzUkqSS7N3LJ/wxbgvKIdpg6N5KgD57Yc3mcmxBN8Om9HUXhyOZtrmeopUI
jU9fXupHMxVUhMBNAhODIuhJfn+03NGxnEYNWVCM9FgHPd7qyfGfCPDZVQgDFkFEEQD1PQE2KAua
YQIBBswgE/dcBoeuz8XFy4fBP8YxOI3AWABaBFKP7q1TqWDBrJN2M89Ypxrbcs3mJk+ZbXVMMssB
UoDhIx7lR0bcmjDfaFKpn4UlIHv3win0biOGgcKiEcZkT399r8miRm43ZK75auplvc6mcliTaVAi
ichCtrid5cog/VDriV9VQzltcorG02ZZoiNa6ewnGgif3RPn0C8QkQTMupdWchIEQVZEdtPmrt0i
Q1cSuSle2qE/y2znkoK77n1NwZXrPvDnrlM+YQqFqRStTnlbP9R4Hs8qMafLMn1wZRAmvRq6a986
FXeDooc0L6aj1tdnARp+Bi6eP4AEiiQCSA/+v9P9N1k4w0Y2Xkwg1MJf5YZ3azeR/E0BUSzpel6m
mcUoaTgbIGOZ5sgXy51Q/MYaJreuy7JkFmZcFUjLS71wfSPI8rDQrD2KRCHXU5f7dKrKAHLFUK+N
6rufpAS8U/v3OGLX0v/zBHvWOQ01bFh7u/FBmR9li2yPBjq3aRmgdFAGgrxjPi5LtI20HxPbkeYn
VhA9awUSWqYUnBHzfXcXHmKJp85uyqAYutjVgn4EWHXBiW3jWqJ7XY/zLQ9x8cmaZHBjnpQ6LNIq
Ktp4zO06RFanhhEeTwpPTcxD1yUFLLiZaVkmpMzxg28xhlDJr3lUrSgqdcoCeduJ0hzikaKTgOL6
cNH6jo/omnlYKCfYJd0kLf2JzH+EboJBNUgIIASGoFr63mhoKHiVlRAQ+rK+bbMNH8s6DRZUxHqh
0U9w4jNhmwFWhMqTcHgw2qsobF2x1kDQ2XR5+yiVyCBrj2VM5kX+ZKXdk/YsCVYSMpSEMI72gX2f
5a7jGQVLMvlNhaP8tqyXrI4bD9UE9VVdx4gF4ihjuPiJCT2TfRkMSTAeQa8XCPq9Qw656sOsRHbj
uH+fDeJi5v0VItljzYePUPKynySoP7DnD2eloRQ4hIKb7cd0OQZ2VgpMFsrw9spFgHt8FqW+LcYk
GpcHlDU3WtVzmvsOwA0RKhltblIEaOXl9PKsMcFUAmSWiBO0n5aVG0ZajOC/k9BDijrOYlJkRRwo
nSe0KB9fXu6ZpMkQIEchMdTeUOR/b7tMllXeuBmU7M28yTucJYsTxU9qxGflC7wzAUvajVyIPQRQ
WpxrTDq7gRrZJGKci3RsS5mwTATbyUbgnSNxaeD7ejVleZMAG1Cv5jE4Xhb2sxj5Y1EuoBsHaBmB
Dwm676+Td3QpbAWbGQe0KnKer61ZTv3o8yRvcJB0tmk3BR/CWFcO/cSt8HMeDGgIhA24XZB9Wxvy
MQujFpmNx6T42HET0Hgy+XBuFaZNPDHNWKIdPCAOvAwAULO+pikquyqMm54XVTIFfjodiyjP4nAY
HE5oTu39y5bxzDaFZIxBjOGAc/CeZRSBUJ62rN+wOTNrR5ZxRWwvV4Dl1U9E8sxSEuInhykDoOGg
Z/e9EaoS2643vN8MS9Y8ksjzy6UtGhMHDP2NYwEGpQTtJntgwb1jdW23DJ0g/YaGylxKmEVZa8+z
49IMdy8L8JkgBisBLQIQkQOptWfz4ZLlpXawkopQnmZD2103eR+uILstMZobEhNd+J+Ej2dFCfU1
YTBEQ6jcO16eo3aQBe03PsRj0tB5ilXZhKlBof3JUtCc+DFDANKAhgWXMLQGEet7vYmKaJcvGEyE
GNSvmfeDSVRBpiWlTdbWCTM2TBlg8jrpo3EK1lA5unm1zDxqLhtBwblUBBzjNrO+fht2Y12kpq2E
S7u6Zioesr640xMNTqtIULvOizovY9tiVcQtHClKONNCpHKkE15PEYr8MQ0KuVHe8GWliSnKOK8K
fMNcuOC0JjMN1yVuZraKZFeE7+SEVfPASiBL8riDCqY4ngsTZalRlSne2Fpjv61bYNc2hcINWQWo
w0fNMs/BxrpqtGe0aZ04JYPz2SWzuG7X8DmY1s1kbDXHjsiqTdtqJPmp4C3lqaORLteO9vX1GEiW
HZk20IfYVG0W+9yEJpaFettYFpF4dkSXW55PeZcIp3W19pXy+arpfGtOyhHKSZUw2U31xtpJVuk8
Uj+nevQZOm4CmyHgHZouTLuG7sCVEiK84zYDvoRnw5wsgmhz3VEV8I0ebOkvpoyP160iZlj5oJf8
CulG5Cvnx9xtAcTO617MUq1Jm7MuJl2+LIm1pdy0BlLUqs529B8KQlnFvaXiTVn0dTLXjY4SS4oR
x2XX0cNGuEvgeddupN1t1oX1uxqY+quhZVOcNeV8GPiyXkW9PHe1X7e9Xc8Fb68yDiQqKfJVtbRq
E5JqSitZNevcjUfR6Kck7OxdWTESUxdmqSvnaN1E0T2Jgmk1tt7CHgzfMDuhlSSKbYhcdAyIeYnL
VubHlnTzRz70U0qcL+OWj3dLz+jhGM1LPM4+pqp+ixBbsYD1F1Q2ZoVRqy6qaFoShxQ+Fk1dnEYT
6AOqBRVblb2dl4huaIAvlSq6uPBzts0kqZK5rByACsuTGrJEai1fLqt63vYDGWK1eAp/VecVsEvz
RMxRNc9huqCqX82DqeOyyMak4lVzPEVFqkCzF5kgV01QzCs8iWK9LGZJfDC4NAt9uFkAul5led19
aIVFJ23BReqHnqUzGswjC/o2CYaxSwUQ1huuNd2aWi4xb7N5GyEVbq3nYgUkxVGI57WiHV5X1L9r
kOvftSo75JRcK+ff0TlrVxOSQNS57F3DgtyABzZiOzrersegz9KFBjeVFNmRzSKVslyLFSpJAHro
l5iUckkLqBuulAnGiz434sq6GfJiZE8Gn/G4nhcV+wCGavqpOxTRoA6VbZrDthHjI7GDi72aFmC4
qlENi0+c7tslgtI8RCbPVlrJ4abSoljiEIzntglRNKe8hzoCkikEiTJ30/sOZH/WT2Blpc/aWFR4
i1zuV4Ee9JrhRRzDP/RqBodYZTSk3p4IP+WTfe8Lw20f+zAjU5UuNjTvAxytUZmLPA5C2POGB6H+
NPOl6g6jqg5d2gjDx9hrzMVJELChjCsuTB7XfqTBEdCzyAJJ26tDY0BS8VC1dbqIZrwpgNW/COsy
vMmatlLbqWRmRaXqz/AUirVW47TEcw9kXKEs+shQBngS+N1uxRdUH3eQZD8NVuRstetcJeVEVXQy
z5Zdk7HKHiWQ+y4BFNBA8Z2NKF28mN9An6l5NJ1hbewbiz+0MzcplGj0XLZh917JdkptYf1mAMRy
Izwp348WnuODel7pIeyPFg31tJpbsoVpN3sLLBy0QUpbLOthdGAJRST7d0Uu+k99R6p1NQf9O96H
6rA02VBvo3mo1soje0t176E+1NOUsow2Q+oWC85RhwFNKkSqNGeMJiUArq3raZVyoJBXUJVKs66g
bmoOm07D7weVj2/7bMqXlaAKi1jmU6YSjUgvkwZag9uuLeqdDQbTUS7L4ho1RR1rbly4tiDO4G0r
CRyRd5UsjvNwga2yanw7hrObTvMsy8+V6EWqUbec6kGIE1IQeGrUqQ1Bil2PQ0iXGJBIf8S6ojgv
J9t9AOouXAFxRs9zA666anWzrBc3V+tJz6TZcM7z87ruRp50tKDn4EQ9OBVoF0j4/qhqJDnnRdF9
NGNuLsli8I1VIG9VVn6z+NZvRAFCDQzxxwGY5mVHTfeR7irMpGVLN6ZVX6oNSFYd0rmBxwZuvsCG
9EcdLuXJMtru4+A7824sQK4L5/0njXPTx4srQKx922RHObARGycHey8nS8/J0gdTPGqZn8+Kqg7w
btP4+6WMiJghA08RqeNowpk/wZCWu3SSZZ4Ehej7OG+LsoUI5TIb9xrhmw57eq6ozt50rMjPGHX6
A8tZlQ6uWIo4DJYMx6MAEEldFK7yQfRH3qAszQM3HpsGDk8kn9+IoIS4mGfqMOrg7g4F+bmTPVvi
QlBA4C0S0LGI+nprqqzJ4kECiZOqasqOimaAH2SjFHGeT/WQlkunXbyAnwON1dpb74G0Fny09zwn
NMkyX2+xGXZW7orOQc8lpNeqKca3RA+OJ5OGTdYUVVdiMN1dVBbsOpBLX8ddOxXnnjUtji1pzbu6
X+YLwax7i7q5ulI7dYcmEye0xNlVT0ZYqAr8WnKOwhhARnFOLEhNlIW/QHngH9Gi1SaYCW1jIO2z
q7ApybZHRXvCogmeqJfqCiD7/EYi6Mgs00iCo8UAJb4KmsI/8g5oviRzRaZj4FusiVsWTG3CAs1b
iORLEyQqYNkVKaDkijtne79txpEVcHawpCXoDYReRsDSIGYV53VVapw0eNEXQVQCiTv6GnSNrCjG
LYu0aBNph0ctAqiZRtSUSd9M/WOgS/yW5N2UjpPFD2wsnUvA9fpLiBbLow7LziQsbH2VmJK6h1C4
hYLOONh+14FYGGRyu0FThU0MbzvhmyWsgys5IIhmnI0Pcyf6yyFrgfjvw+5sGH33fi6z/hIPIj/P
WK82g3QCXsMS0RbimDQrL8C/2yAfbnulWnRpAmEhxuuqoVvtNQhPRPwUauJs3bnMQBBjIQfedIgc
NIQj8WGxYjjLmi7fjHU9HhLWgGogbZ5EhlQupjxXF4zYbt21xL4x3ZjFZikeh1zDV7brujQbu+gj
lTldk65eko54nYbR3CZ0jNgGg7xi6GiStIJ3x7p4iBp/hRszXwAImeKWlNnbsM5JUgf6epDkdOQQ
EmeEFNQyxqSTk+VZD/wPcsV4VDadgWUrdo6mBp8VvIG4ES3QXkcqOJ1Z0J23nmbXLAv1Vs7K5RB0
myXGLTQbe0zRlqrhaPS+ThX45inKJ3PS5rw9yovWxwD1AQJKaP8BhXonadFvK97OV5Ueo/uxJke9
QhhCmoC/ItuvWoa7ZB7I8TyX5BbwNoo9mvVHOe36THpYF8Asb/tMc+iWFQBIx1L7WzFP+RVqi2nN
5+6Q6bpP5RSoPFa9PhTTcgf8X/O+avjCIeeAkMKA5BDoocJJuPekSMqqstsqQFE8ZgE6rxrSra1z
0PjCrksBoU4XRFRoE5WlvXZ9wCDUyfzKWVjE0YxfOCTbGIhpH0NRSu6kkuwts0N9qBR/O5eo2QBd
WgAOBCgXN8rrWKupOFUCiBuNw20WLfhjgbJpPYoAbYYQL6lQLkqnEZzRdsUQTxVQhbn37BjABbkt
Cd20dNZrcCcIwLqE6jRnvdzIWsrHsXLh7dwRfCYbucDUQkNuumIukxkw7JpC7DpuMlu/xZTzSz+C
luho537NARfGZjD5Kp/n7mGBVlOYdPmgzvoSzEC1da7iYG47CGudL2LSlDaZu9Ik0ECI5TKEieMM
AD3Jy7vSz9VRPrWHQ9XXZUxJcKJ9OV8uKLwdVNCswRXXKlpKAGqUAiDj7qwhNHtTVxpgBhnXFYTA
Mu7EoK4EMktaNZE4tl5B9ELFqqB1FVeRoedNR7VOikliaFrUy9Z7PZ4yGkDaaURQgcOx9qjL5/K8
LqNCx3251OB3poWytA5KcCPooY2nMhvKd01I2IZiIOCBWtOQsZYOKA2ngvlCZlF/4oHMhqqOj6qK
nSmrIzkpdAUDaEem5PNhNg7JKGx1WoOWj207cYj6uobm6DTE7WSHE+B9fcxseYjnQL6T0DOFOufO
6NYlTUGXpO/YmJS8LUQ8jgN+N3titjrkH/HCHjKj+w+AWOsPtW00BC0bvOE1DdbR6PLVwF1z6Rkg
ltobDE1vOSxJPmdFB3BoPhzDZlRHQaQnko4cWX7IK4whxxCmz4Mpr/K49VyfA32jURyKMtfQBqgh
CGlMyw9NU7aXYS+aS6aAR46VhwBaFtNwX9sQfWxtWdz3GVq6JAzggT1MARxRU+prD28GTe8MIB7Q
m4IipylYDVkiYNG27gRkFDl37yFbAne21Dh0QPrDJZ2p8AbwMVSmVVOQo7ya7X1T6eHeOgskgvWu
eaxIC6yCXYbsA7Il/lgVBjK9Jn6+sP2cfQgrA0U4yVQgk27J7H1Au6CJw2WUfLVUtL2u+xkCgy3m
Sa95Pox6TeQEjIabCzCPInQAcHRb6+uCuYoCxtTZB4op3CO7uTYpL2VFU9IiMKM28kOVjhZ2uSop
jEulLUxpcShiZli0VKS1x2qhA9SNqB1xkUzdpPI1gFd48hKIWW/JBPRjWhDpg03gdxBggA5pFkMx
JU/KApE2ZaYB0FpnDLQULJDqknp22YfRjEUR507JOc5y2jyGzsGqro88TicSyQ9PwqRjkLs4gvak
ShaLYDKN42XWMdQTehNJmidRz2yVABcEoo8waa8pzI+1m1qVQPfAZIGCArOaq8MOAwt0HvZ0xuuB
LvTYm0Ff0wkmKkCF0G9NpqyH81WcAh9iOlSVxxamGMZN42Hw41SOw/g4MuBGYxfSrjhlAS5uKj+G
m9a17W2DJb+suOyzpOsEupmKzvrDGWj47Jw4OPRhOCLYI6By2LVqM1Ae83MbQP9P0zoBnYDvAvdf
+BR4GZDiGAzw+6UN7b2C6kXFsFl54u1oH1Rpy3ojnemhgSEbVW5QpcI5qRH4TzyBOpfDFvi/o0nZ
AMVgh4DoaEG6couYARLFQG+lhOCiqAFXJ1BwQxKG/JU0DmVV3AoHY1XhMi/1eTFGKOl3ELLmbTjE
NcwGvsElCld9rdER9KTN4dS46LLJxXwCs0zq7bIU05spJONTG+zz1OfFU7vkaXbxk+68UXnx+X30
rx//c6OhD9L88Zb0n1/uXmf/89Ppl/fgX/zV5kHvBjjt/o92u/n6LNjM593t5j6/+/DDEOpfjJk+
vVb/Fxf/dzOo0OIU0GL4OjP3wwzqqW6HuxbY4z9nUD/f83kGFSNyAAiGQa8NZouBSwSi9fMM6u4d
VETg9XoYDMcwGhkCx/p5BpXAwDFCcClkkNVg8AFo888zqLt39hiwv9DkAATHwIx/ZQaV/NH2/qY9
Bo1cxDDMGsBYBcyD/tC+6RZdhVC4FOe86yQGY2yCMp6KkCa0Z5U/5LqK2rWr8gI4LxV1pzng56QG
C7q3mQCKjedNCLkOFf28LZa+aWNtOfu0mFCumlYJ4MKB0jzRfWXqW7XAkKK2C7ovo3yWMXbV7ACq
Yu7TJhjHaANFhX7Dh4EDLdXLcTyaI2WmU9OxdlUM1QzERFj7uPKsOu1gjDfBLoOhRB+cIOc7FZtO
wKxY2S5h2nvzYYRBp1UYFvWWjDPyiS8FVBEUOQojSjlZA1dVhKtsammREFao03rU09bVjkPt7Mx2
1A1MHRrVzpdjH2zC0oWpDuXt1M7RpghqmFNocr3blV/K25naLolc1KXOzyeFxMoclgs2GGJrhTPg
MHRdzjDaC4BkAIAMxHSoa2OTJciqBcegeZAyWhy+UKGiR1Bn2QvbAfVzPGFOP4FE/HFlZZmZG2ie
LdvBEBuQY27yuVqV5v+zd2bLcePY1n4idnAEycufzExlarIt2S7bNwyPnEmAA0Dy6f+Pkvucsqrb
FXV/OqIrw1IqCYLAxt5rr7XSSaRvxCKvhkgWzdGFVHfXV35T+s05bFYA/+4kdnTJSY0PEuedq3Ip
erWkYy1B8W5AILoh3lJn5Mxfjqao56rQnGfD4uqL09ZOrG8a6vYShubiQJWuL3lkhaE8SDrbH7Xn
Og/jyMHaqNhavsVdKKsfMV2gH8DWIAD3cEiD1nkM28w5iakMyZ5oRYcfwLlnP1FtrG9JMupr0c2S
iaIoL9K1matL6ceddxya+o3j9MPxKWoT9Mwr+gs6scuyYlkudX9YZQ2q4DrOdVRxxNI3AVkpy/qq
phx0Srk8TGL2KXXIWw9lPBQdjJUpv46iKfRT32O2U7eKsrPd2Xo6Nt4aXNrFHk5bvI2fe1c2X91J
gfvF9SiCZFDAEVOURU2ST9XgJd0YO9ejNxlytryhfKIJdva7+VNR+SR+W+8Hry1mMCADkfmnfPDt
m7zy21O7BNaV9ji8Qy531whPXjlQmt90/eRcFaaOqlecaiGdwsjMSe3a9Y3r5IrKyR31IQLcuWhj
B/fllFVuskyNfyuiarvuss1OtspeD7DdPjPG6hTZrXOaG4CVgl7HYfbFLb3C8UOx1NmnYoDQAiCl
ryTYzRHuanc9O6F8RwFxH3Rh8GZf2a8yZ7QPoe11R6Gcu60K16Qo5ZRGngxOUSlpd/ietH/QZ7Ff
9UGdf8jBXm8G5ZvbXtfNeWzoM6ylyK+qStdXWTlmSabk+M01tHClGOJHeEdBIrzIvY3q8P3m2q86
r1JpaGXitt50cCtLZZ0pucwfgepNkVT1Ym7hRrofW9olNGnWrc8T09jeg3D9+eh0o/fDCqOiTSdm
41Rv1XSZp+Yr/dw4HcpsjA7WvKo4qbXwH6VnliJ1Q91/9aM1fxtUfm5T6g/Bl6kFYeniceQzpHVp
Isogz5OQvmfgGWOLHmBftWlUVdUx09Vy8ro8Oi+ByCh1Ox0ls1gqcqLcYaHPU3njxMX8diqGOm2Y
n7cUWzQWqv4hctfb2BRWGtRZfLbCQkZJ5KnwOqIxEyex30TfFtEVr+MmKs8667tvYWnHh8Ze3TqR
7d7WWHt/L5SdSyaqh6kdosvq6QVizho8OlYv4Vib1T3Hs5elZtreRXblHKhjcurhUJX3VaOJ7LPt
feqb3CRtMVuHxTh+RZdBBB+DyMQHSKbbQ08LKfXDwfxRF5CCAq/q79xG1mOiw+UrdaE+atebfuS1
sdI6UPTymgLGne96H9xua19tThm/0ku0vV67oD85TT69dodB3mSWsR9DZ9jqdFRDrU59P+bHsVf2
50jOw8Ff5v4BoLSf0tUUXlpUs5X4zpT/WLbcPne6Cz969AGsw8bSOm6EnLSYVi3Iagtz6Hoif2QG
KwkjLe5cteUpO9I7+bnjvstVLG8iExTXfTzI18op9GFStmZm42L9Tldyegx0rsCtYOuSuq+NSgpn
bNNsUVD0He1e4DKvMzR69b1tS+/oLH1Miu32d0slq9Ty1HC7db1504QWXbk6vlPaDcij17LILp6w
6rvCRjLhuKqitNPu22ps5F0oo/XRNs640FQv4gc/Xqazjqbl0i9Z6Sc93YpUF6X9atCy/qONe/VH
HnXD625usveyzsqbeVFLUphoewcCvO4ctwpqkF6PGX0kqEDdWBx87rYHeHHt6UL9rKmHw/md79v2
mpTQvw5WGYAPBn5/BGa0X6sxzL1jGGX9dWcsf0rb2tDCrda2TssB9DvqfY95nMwHfwmDJNCFuFqX
VgO1qGy7dkpHfHX5fCvtMxpx+VSYVFR2/Me6BePZ9jcO+qiz5yYZ87E8ibIWt2Ep5VvanDRYLLhE
dZJnUekfIrPczqofTnDigDWfMr7/S47/kzz6T4kuyRUUhf+eG/+/odz6X3Pj5z/5n9SYLNe3Aw8c
ngIRYcSfUmP/XygyBHRppCAxLKb/SY0xprL3v4rAUPffuIzhZ2qMcgu2U2TzcRBnYT39k8wYWvav
FAgbxRLjQuyFBobhvdQSQccZx6UW5pacodn3cGQmHMLAoaipb3qpIxcyk0IGMF/Vbtu09h8TIkLn
WHeyHd+6rT9tQ4I2gIqtGaqBNC4Ndadk9FiKTo5iSueqK5+Yi4vfncg8qP26Ll7PlWWMVaRd4ILG
XIa5aSk+k22au0nedc0KZqVpC49JHMnuNsiq5bq3Wm1fyMvWu9XPsreVp+R1Z4kP1tjrK9PrME/t
JT7EIFO3VTuWV2CCM8VpQCOvEOXWQe+YjZXErQHjgeoaH42n6Jc3wwbGIxqxPGy1Dj7b0t0r1WnU
d6VdZKTXxUQ6Mui53JLYy+3mqlt0c7XooYkOQdyXFwE7JrynOamrdFzt8kpZVs9nynW6moZaz4nV
0DYsWh+8IBvMqdogeSSh1fHBO1xNfawz/cqFbvtxMqvzYETRaXgN1XQoxlHnSS5X6vAxX7dkrNvh
UCEn+kB6vL7Pth70Y8iVXC5LHy11kg0BN+pn9ux+yJpK3RoYpVejS4PVd2p9FLlUNGKc4db0vSMP
oR+aI4uUEp/GUHARMMHfx0CXt+4E6fSqrHwF7jwOdpNolvrB8ubVfkP9dHQnq2uvvKnJUtEHO9Wg
mkKEJRXZaqBbHSbI2Ib+YM9+kADqtWfVc3wsuZ6jk2uMOZqp6qkxXJ2fVneymehcyoAMvTE/gO3t
z1vggJ4E7MYTsZzMuPPXz6AisXuKhza4Qq8hH51uKG5qMTUfersSSWZrx6SSHsa50UVuH9whfEWz
bjjMbpEdh6IPUb4U6BRS21kcTRbdqBNEkeVYhEP8agmUvFLZMKez8vPrIs6WMOm9tn4UjRdIII+5
+WZXVn/ZU9HL1IbtQQRh9ondMOikq5z4C1IVh27/OJH65ZOiz92U88UMbXhyGx0CFXfZ+Bj5+qsN
TQiEPdoOWTTQFGYHlJc+lF6brvmi4zQXkXPbCpoFdRFEHzGOcK/0WJBoBeNG8RVoKq3RbS3vMGbq
beA3w72K7O0L9RtcEpWv7+dStudsy9iClmXHIMrW5h213JVa1Hf3CnqySaa+okBzdZmlwVhHB4f+
2DuRK6B3K+4uXVzmf0yqaZckmrLmofalm46QAa701F5NfcQ6BPunxePX9htaHXTOp8Uj2QYKMkSW
zMluQLEqOgaTfAVKGZ9GYTffO6deLyrG+24pVLXzVeKky6avlc3p5tF7SAPOuXMFrp/2vvt5Mesf
QTOgaavzeIFE5VJJHZQX8BxNIumLzOK1Ga0s57J1IOZ1eKaQ/d+p+Hwqfv2zCeEv8M9OBvzvh+J/
lIrvemAyGT7m85M6WYh/cYZ5bAjOixj9B1S/Z9AIIt6/AsfFkSb2/g0M/cSMQk4/NEao1JH1/ulU
dHCmQ0LGfkfJCRbqhv/kWHyhANihKMe1Y/AiNxSYsLzUDTdONXSOqYPvtKWmOT660peEblvqcnsf
BLOsP/vWAKGvU+u4+ofJXQJ0a1af2V/ybvA70jl3qcNrqIzrDMfL6tTZxG0z3jVBK62V4moJdqrC
VC39wRKCdkyaw8J0vodLv84PTbGEzecoCmT21WuBoe9zgdrCS1oH0LVJfRkM7avCsSfTHfImGHbh
owna9haUSTHkvG2d9cZtva76YY16J6z86ZH+REv/rOz+lR7qi9jGyglRLvIyHp9rv6CHhk5bzoUo
ou+Z6btKnafWb/xz4+txCM/bSKvMpBtJRfkD3Lh0s9PvL/+Cks31wxCRi+t7SHUEJM4X5E0IFxFR
Q5TfKqf26jKdeoB84mnsWqo6DbRCh+kwFFPuQz73rU12r4H+19FNHX8TxrtGeteNddL3yhtoDwaR
4ne/H+TOVv1f3BHNJUIubCp3mZOPTO0lwXQpSsuFjWl9E9agUQnlW5iH6gRfbkJ52Q2TEJ/qwM6m
y++v++LZ7Nf1Y/QV2NWgCfBeXlfOax/2lhd9y1fWnIBqIBtgDz9zO2CCqpzLV12G/ysC5KLH1OY5
LD67i/6HpfFrUrnfdrhrjSOUF+Ct7KFfebV5oEvLXgrvmxU2ofLSAJwg+MxGsqZLT5umuS8tp3fu
vFqt82M92jboEs4tDZPy+4n4lU7MSAIEr6DLqHaR//+FKj+hzapWiKlfs3jrguGqV7LNYMFl7Riv
V2s0LDyV31/yrzcfIRL2EduCbWOm8ULXVoQF2dZqD998Ydjlp9URm1OfgsHMiCIRvPji0zAz6yoZ
EW6KT729aip1XUKuMn+zEBxqiF9XYAC1hV3CRkXV5kUvRpPHWxXEcrK+FOUQttYZoe2+IdqlLzhn
Z1Ohs0vLdlxdmcBP8BhVQMI7P7ZSVGvaWc7QPcYtPLvuoIJ+cB/onHbjl9/P2a9SHT9E7mVT5PpA
4MTwvwgsZ0PKY8MG+rLQcmcR2HNtM1n2YrzASpbB09ajdGu1b5rJ9PtLCXfnn04WzYqQfioyT8gt
PqHt13UbKXec1lH0XzoaycTwiui1QfZa7WkNbrwsIO6P+TzUn9sqgBGQDnTEneAM/crS8IULou0e
+VHVQUApt0bf+Hg19H8n83NerjHnyfwBfVFEw4X+yAvBwUIRJWNIoV/GzBVWe6ymUTbza7VNpexS
o1bF4Kyw1fyuX1XbrwCn22o9GimzyxgPDZw0VJT2etMWqpuypKMKzajVAttqHkQb5xsdOi9eCImu
Va1Od21v8V6+1GVmoLL9/vm/0KQSqYSDWCPe1Weol1isv848K7NTutPyE/3RoAowKIgClmKWzXE8
pM4WWoT2bH2OnmDo/G5+CicIfiJ+tZjJE4pmp/f3G9p/GcVdso3YptZ28IcgkLxYFvR3xzYrevlJ
DuwidfRIiv075H+w9b0RGFUlcaab7X1bLOsaJnAHjSpSAr4RD7naMus8tHQ53g/WPIr7qBR7ggCt
o23iq3oO9sfTj17MElp1GOgHCZtie78hjjd1YjfNfmiVzD4PqO9iMPLEo725vY/aZeHZeeBNvNBw
giB4kMEIi0XAFOWv6iUvSTDU0+XjCM4cCXi/VHxET/LAyEur23ODSQZt/RniLKX7KdaDox99r9+m
24HmxJA0TTsABFh51i7n3Odw/dhFXea/19RYLLIwyskztOp6UpTfr42XIZzZf1LwRLsRCK34F0vD
y9Yud2LZfNqcdgTyWqAR0DQxfdXDpJ2VIVD8/oovo5GL2MXGpGPPSjm7X16RCncsTOuZj94274vR
zP4e/twxrDm8hVaB+JRV3sYiNO48jfkd6qOQdfr7Yezp7C+x2wsFnDkOrsDdjWxeYjMbTBaFwKJ9
3/pdO3nUZXNgfe9VoYhGRY2M5IiAtC9faxjQRBxZBD18pWhyNRyGMDS0jCY3VzdNFonHxQOpWJPR
OEI/TJCrylQFsB1uWERIPSvkifA2fNSQ+2YvbNZhrwuyi0tW1dO+8zXo1iusRkKJwUc9eIu++v0d
v4xr6N4xRsFDDzcWUvy/aMJrkRWdAVN9p2cwz/gYDINLEqu3fd0iGfL9c+GYhWW71DG4Dc2op8zW
EnJf0t5cGTd7zBaxL2lXlVs7nGnReHuIVDA8nJNqtAQW2tB/susy0+45tbNGLbszdBTb6Pe39MI1
hFYzIB7HJlGNJ0jv8UWoVl7Xbn3Vue+iqQCtOk0y3wcwgZ7sW/dpH2O8SdPilBXLvsWJlXtIGZCU
1Z+twiGNd5Zg/xHt5bH+3MRV6J9LA1yn8L0wvbjP1MK7SpTrfMyat4J2jRUO3kkCcXkjnYJOcrt/
c2svskxuLXbQtzpsFTSu5Hu/Bu1pqZ2wmfv1nZfrPVJNg2Jpbc1W9l8nO6pdGsZTr7b3odvt52Nr
9fAzYa20DUqErRV0LU6xZ83mHVnqwHSYsPJYfShWiSYdTCWWmG8auUe3mbB5Ll1pCGsTGQkXpAVo
8y9qLIepaHOfqaCpXlhTijdMxZYoYrfiX8/zs4fC+m9Eci/2KJ5BeIJwfmGtwpcI/CXVdczmC3hm
1lvdhsBJp+f01i2iRdcplWWR/0Ti/2ty7b44jvZL+h6JPVgc/ydr+nXakYqTQsolfDvOiK4+T+s0
saA4+5kfv5J+H9Dqt3o68MBUKxPe6KwjZSHoMUtmWJrpdSjGKKtO2eRHBAM2pH4YMIvjBGgtNv60
dBxUPx8bvdeOqVyaqGOvsIv2xwEFbX8QUAYdXuK1ivUDSquekQR1zdkEDLfXqb9fcqjEf42J3Px+
CBAkQKvJgl5WNqSDo5Xby/q2KFYBdRF/Kk+mmbGz6l64mz+sR1UMgt5hDBheFckwqFJd283sLWCP
ZDvWzZC3ln+XtUXopQolQv7VLhv7bDIaxAdouX3zzUcqPjy0vWj5AozNacwrX8Mjh4uKzmp3kCF/
HOeTMUGk7wdVZLDGREu7+Rboz4kPHQQDJ62WaR7g4C2R2iDQdXrwF1iItWYz6G0wa5MsFs3W6hS7
zuwDK06rvyPYzmzmK0k31EHvs2b5dJmKkMwsDbfGbBtlLUtRXpZ6zWBbj7ISJ1h8uYds0Vq2t0hw
3fL97Dd5dvD8yXXSlfq0h2yZTyPoeEnrOcU+KT8j4p4OSBHMdpPFHQYFjnEK94R1U1TYR1n3rf9u
peNXW+/i3l6WtwtI3nRnjVNn7YL2cP5GB0oM77ZQ59iHSKDkYnwTQ+3aW92gGyeoAFHbJ3Hde26R
hsM2quiL01ZR961wZb+3Z8W0qu/xPBljp3UDBb46Q1ZXQXSgDggacZW1Vi3uYye06vpKC+mOTfG9
iDpvYpYXx4sG/w6JlGZJQ0SBJfwGOtIk7GPX+VKGlznOyqK5hSZcq/xY6XwyMDCCLC/LU+a3Zg4e
ss711EVUqPOiE2tFIKeSerM51psxKk2c5JYvFEh8NmzVejH5aBXllSlbThvsbYxPgNWynIMPvTWL
YLywOIxFn9kjbXHuZ0nWFSfT6kWLeNWguOVlev6hVZbQTRJ0Oj6X2/rRV1+2WcUuvHQxyNzdGbLw
TyD2BPWMPwvQctuAr+r9XLRReHA7uRdwqHxeshWLzrQKCviLr1ZolTJ8XWVWZZpTWHuWKy/1vGJk
80pUXkBjXcXxjkmEwxQU9fsQrY+13fh+g//SET07IfuOqK2K4MbysiFs6BSp0mlegxTDHzmaikCQ
o0pzPMZOyNqHtGqroSFk58VaqoMt62qAADrZVtB9cHO343rtDuO+m9FI4b1EHczMImsoOUFSRxT7
hzB+UpZEqXjP6X0EWXthUDidJ06QbfcZ85qp5qUfi8l67NpwD/nQT/IoTGHK9ywACI6uQNwwtLxP
Pt9qAUOT6VMV+qOQs2TMuFpTOBSZKHP3x+NIH3LYH06z7PPc+THqaggT1sCjsND3Fv53pShoFBYo
JZlWaiIH6RMeS0UwWzv7ZVbz+6nC9KVjvqxi66+KefOd5S6qwn3IEH0GuT0KVhZX8PiV+pJZy77A
xGDtTx62Fz9r4nafGq0d3soRGynDGDROqtzjz/sZBs9TXwDcCn4WLLIXj3XgZ7GX+iYGAIJ7VDjM
xc/Vk21jzEeGlbXfXDatT5OBXp/n9zPHjaGw7v/yxqC+Qz05WI8/p9p6fvu/J/n5fSAFbn0XurJl
AE5nFfpLXQpZDlclPGBuWkH25Fq56+Wl/UgBnkMKCJ4fVL/piaVG5T0P+QWl8poFiVPjISFexe3c
M0vQtRve4sLdY1TAHMiVktpe96Q3b7HFYI+Gua2+wMbaZ7CX7CDi2vM9FS66Tho9PeJc57ziDsGf
2c+P9nl5iKxumB/hl/zFMYBGzicuYi1Yp7kz7Jcp/ELwwxUeRli8g/jrzxOdx8Lbp/d5IW3zSpPl
yE3unwJ3aOTv8Hmic5GMU7EP/XlCrc1s/KNvvN4PEWQHXV1dNtya4LTlO6JlH005w8O/RTq2Ix8j
PcoveCW56osj8o7lMwZkrNz8oEl2X41g2fsHunp/8XUe8dJ09r4d2i3Yx9/NAvrHO8hQCBdOUHT4
3EJ5Tu6d63ENnekGIce+ViD/xlN49XPK40oPDAeqUc2HcAL0XLySZc05rx21CfsdmVsV6YNU1tSV
qT3mGRcPqoLvTTpMjQTbRBe7Izc8pmK+hH2+b+eZ85Wf1essquhUkywu6zWGoM3Snye/37nYDZSf
VifZmAMbOrEz8/5iUiMvJI1Bc9+qmf+uLTzxTwHcEKAiBZbf3Ot6ygAFzFBxdafIe/1eoAOmCsjW
bV/7Bv8BQOLFUy4RJhqKZo6OTcsR2x4XC4vE8QI5ddiWjzbsJeJN3qBdr88/4WS8j4oBCXzRUO9+
Xf2Rrzw4y6pgOq68pz2j+qhhwsbM1Nn23iuw15veKc8URpyRdO23vsT5yBR5ctlq7qhGexscxWY7
RDlauvv0OQvkzyEFr9qX+DN+iqICn4DEmd39fqeydHkZWOC8X5VAoVZSNhu4cuy7dRcnQBaraO88
6aDyOIjV2WtYHcwj6+oZZNkcmmjZae7UkLmXPFPom5PtGXrL6OyDGipaeeClGeR8gfqB2qlLJ/QQ
1KFtLfb9NPmmBITPa0R/08ETGbKL+3El0kDD88Q+eXPp7VABMoIaLL5qupw/H1YMs+RHQ3qWWdcm
G4ehvI+9agcp+5nj7g5vIk9Mb3xgrDU7LlllrcVJGBk0I2wmy0EsHwICiU9+juWmwmjGxDz8zUIv
mp1E1+7HRhtk+5xjTuCw+J5nspp6kGivtEtPX5sNxwco9hvsgEfYjhOowiZVLD4Rb1lflpEbM1D5
9n4PmYR0oE6UlztK1WAAtmMBcdsb+UnEa6GcL7iaieZeCCXX7OS7/ThZP3CDqpbsyInmNUEyNuDf
Vho1Tji8B5HEZuIttpZVnu8+gV6xPJiQ3EZ9i3WplfsRJjLQxNVQz7qNU8vdxvr95s+ujzaF02Gh
2Ic0Sk4ZhkE8OzOrvK1iN9X80EK6Fxo6U8vh5508P0slKwDiNAi8db+tp3CDWm+Pf/Ga79GE7H/f
vCjU93d0T+g93e79Z3gSW7xjxcmUl8wDnWiPVO57b6NsMslWzskWs/ttWh15rNio+66M2/03P5cs
OSWRKEZ9xa+e8fA9nFp5Oizr4IWJ4w529Hou8JDoE0Pbnwe9blnsXozq9l2eW9sOB470iXjxScum
i9ps1jesKh4wuOU+8rqEgv7p54WCIeZIUywV6/G5YuvKagtrXBTk7L+pnwNW/Qw0qsjZwWgLx7d9
jIMYfP/Q5i0chqRQYrYeZ+wEuOfJ0MXT16Wb72lc4S9cI9TNPqz5acNZfc05kmTBvG9y6e5txkNn
ln1Nhtnm1qgwoBO27bGoGnYjbfG9QQAOvAe9mo4/n+uPjlXdFK7X4Gfw+/LqRUEPlrMT8THDJbgJ
5y+wcjHRQwCvdh+LvheMOszzhd2wK0hQSvr7Dmo0wEuBEYfax/77y++F65+6ZfvlofrDS3/+CqWX
OCvOKr1lxhCo6jk0VmDAjII6gJ30+0u9ANDZTTZKBa4FZMV/xV7W/8knz0S1ghPvdP9eI3a9oJtT
MvNRnMf0rIjIotgf6lxCsHzEicXnkf0Mjr8fy68QAubKrJ/dAzHa7cJY5+6vY8m05wLfVvljTFdN
fCphuhCixzEKvSPChb+f579eEJtegINdrwG4+NJjB2GYjdWwjcR66Tgocrj20yVca5baz539+xt8
6enHHYLdPtPcMCL3XwKZSwOfuJsa8fAzYphi20H7VcDLDU6LP0b6VMlsG97MxlurQzt3ezz3BkKD
NW4+59HfjOjXlc6cU0rtlmFeGGPqRavu1zlfY9sy4eqph+Z5UxnyOvb4MteIoU9lpEseQeFDcMLa
EXMURqAstFW4PEhPzVuqFZX9KWi9PuAoJ7TgA6mk4u3sj8y5L1ePejI1z/0s+Rxmf38TLx8jDw4H
MKiFAZCs8xfjas5dNaGm0/d4ge2RaXtKhOQYdPOb1Ypm/29M0P7T9YLdSHj/H8ZaL+YsRAcLj9Ge
738ee0u+s3TsnsjaJwMK4H8ErWHm5kS7UTYbg6+MwJvwBc7lmQwkWpfV/fOxRJK8P42wbtgX3Yjf
yd+59v0af8BnY9pPPjsQPgrky5d4plm3pRy2oD6HnTXUQRq2beh9EgMb5p+Fuv1SPLrdjTnyqfT/
YjHZZm67zrnIz8+piMbMlFizuKrl5ffL5EVvjU+HoRHTjN+/eCMWGIL9utY7eyrgTsr4q43M7t/b
yhX1nioOHqS7szaRhhJmt/7gwoQfGjodSUMqOqaThzvKu8rYBMG/GdczReR/Az7+xC5TEEPceSIM
/MU3zbbpF4UlvPgBzUMxHt1g2VkSs+27c/9j3Doa7Sn0dzDfOGmzjSo2QUkwOZgGxS2E2Tztawki
dev6YCL26zaD+9WfV3KWoL/PlrJ2ljXNXFphH0elWsqzAausTh3bZt7cKbV7W4ztIRoCIMBbD0Nc
T7yOn/uM2H1ry3sFWc5Ryx3aMB1D5Zm1KB2wmgoKyZkCKCzbA8ppyRL5mTiFFn9WoNQ1+xKlcog4
xMRTeH0ugeqn2TRF63KkULLu6YnRLqK0cw/1t7nvdr3qI6mfmMN7b2z2JNN6zrkkTVuemy0jBxch
FMGYTSDGGeIOJyIZNtWMoP4ZilEc5wVGbU8J1lNmR8fPML+bivbkIlQaxIuapxbuEQNwLtnWVDv6
2qaLUuYIjdqROo8+Q1M17zzS8di7FyteCvJSCTyyAClGjUVauj7Xh7FZR08d0FOhcHoAGQrpfuD0
NEV9llpYpBu7TRSWc4H7OkZqAOE0V+gAISuufE9D/5Y+yN5pIzdFNHiPoRfNjbelBAXPD6xzaA6n
YlCOU+GxQTL8Y6UkHqPrQCzG/eQEyzpF98B5mXzTxThDuseqQ6FKhU5AW6aUr8agx48NzcqzPZjF
RauA1xeIiU5JGZ0gSld/zcxtjUsHNgK0yU1JlR8jQUmXssDQ07ebyeBD1NZrcch8CoEuacOuHT50
IELWnETPrcCfMVLRp8/FbdRynlQnPHgEmu6f+R+A/J6/rh2Earxenqrj5ilL7UJcUsn00U/NMtGD
LXDrHsa8DxmGW2OjaGpLx285XProUXax1ZzaEg/FpMDD5TFYy6A6YCKVXZW+9s6l7W0XjDH0GYSl
fwgHgSc/HhT3YTk1qG99PbzNWNRnPw9QqrH7ii8wuZsPuV32hyV2ME2NGg/jexDY1LhdcBNJ+1Nf
sx07I8WtMOXOHy4Knq5tDSfk//6x6sv51VY1WFRSLUzHaLW9hhUr2q8QMx9drENuMF3Pb1o9Tsdg
BBqHIJOfdT/HhyI20ZtQFgq+gSy/lSO2W00hc9wDuu4QZLG6jja3PeFtRXe6k5BdyY/XDm/dLjwZ
PvISUSd+wbhgvoKPkX1TMb5g9eI02LPHVYCBht0/Sr4SYksaoKMxwQ0gf2eWLfrcWB3qdm9u35rI
LY82hORr38bULulxzL/1gQ9PwzRi4FWF2RtAzRIe1eTF3xxaUNRZjnQetFsV5QmXO+uIPGZ6GLUP
EEIoOKAbnK+9cVjrJGhNlGZhnBXRh1K78XqBGTF/HV2/co79LHEjzHHWWeFbB9H3aAogGFuZNVy3
MTSJg+9M1ZtFezX1W9vfBOOE11oWFf1nuxrl7RKiuRuFs69QHJDo7ebaXC+k2Xd2WOsLqLx1XWJa
7B4iot83xxivS7Ytwg53gu/40UhlvkNiX1K3dLbPuOT1LkwHCa1x20ZWbtFgfwGTa8DvcDP1ci1m
vpYhsR1Z3q9OSCCm1Eu18Rrvmu9MaeT1sKjh5MrZvQl2/jAI9PvArF/5GoXs3nfYPnqcpwOQp803
OiCTCQ/B2ntHP5y6e1n4w8dVLuSKNm33fEzmGm4G1iVlDhvbmj3/Mx3zPvHcprvC3sRLXLud3ix8
McWbscCPIK2nKX/3/9k7j+24kbTbvsud41/wZnAnCaRPJilSpEhNsEhRgg0gYALu6e8G1XVbqv67
avW8h90qkmmAwGfO2adJ5+a5naQwN82kphBotsw3Oa+PTbDPLJAbb0qX0J788S4wuxT7/DJA8RBy
2bB8Ek8kTzdgPwbjU8By4yjN1g8VWKaTnVX2a+e702U1xA6sQ2zFH8W7GyutoVNWCWZFjbiK0iiC
11aj2Ip86kagIHnX3LmjW+w46AGoBtniHXqjTu/QD6E5GdP20awrRNZqMva5HNxXMI+PI/37I4bk
xd830gaM3Yjk+8wHsk9hYKgt5en8QNyBA+XDbtgkFwl4w3QARxSg2G6ojw08Tl3wGADefLMmaX0G
Ula/DQvYYMUFDiCjNm9sBA9gAFwMx1PTP1D3ahtnrIaLBiXy66LX1d4qgV6FFWPuK6kHNs+yiRNJ
zzOfORVQroPHwiiUXZXvC0e1j2jOLF7/YJ5w7Fq73LW6F+aFzV1Qpe3BmMvgQYh2OSddDjPQ48il
PRfZtbL1/tQqe7yrAEF+biGYfrOKgcPBbObhas+Cm4dZ261h9eo8td54zMYJgF6t/GofwyGKaNtR
fjKOCY6L1saXOE7bT4vpp48+I52XZvFB7CVpcuBm824WQ+vRVrnZrgxi58Lm3bDCXpBJ4QMhs7je
22q3JFp9V7AauEumWjYhihV914558yJ7ZSc0/ctyIWJGnRFQYdnSRP05sZZAcGaLaWt5hX8w2EWG
g1zsW39IcF6rVnvXYhNt3GV2oOUH4SwmanAwcIza/UvhWIPXb3UyU0vQCYGML6MmkzumP+Dl7bl6
Kvv2lZ/BF9BnxlMnqGBy5eXXKciRhQJBzE5BLc2vSovVGJbpqIMR9tRjZg5Ds0/N0rLDIDW8sx3X
rb8LdFEFJ5H6MmK/DHVyYA8fEfsgvE2+9MGwEVZcXWsNHcIZ/KbHZ+3qY99ecLmzgDKm1hiPld2I
W2uytU8eXgIZuhNWjG0ayPY+T7JB4H+u5/QssqLOIq2tHJSacWxoe2/ouuV+xtan0v1aeuhR0Ewk
iBd8ajWO6lPBrKAtQ8OjcgkdoeLhhikOaB5LGcnn0VvqGSpe6V6QEcb41Q1KxHPPgKB/cjK60pZz
pJW9A+FLT6BfxYehd72TY056lX9erDk24RxOjR6oE4FWjX70gYLO+6aEZxqlQ+eoh0BLCugCZlIG
7abFfVAWoYZf8SGzUPNszNQuP9WzoS37kQaYeBPIgPoFuzlkK7Nlv3DjlRynEcK9JaqZuJ1ys4eS
anjFqdfmqQPeM2tusABpEhUg3oj5kShW9Rj2dHHb93bu99Hs5m4J0kZ1NfeDz9o1VMZsCtw/qkwv
RcrWeCMqxs/h0k8NBDUxs5DyVF4c4Kc6mMpHZ7wpMsa3UT5l0wGUgOFHLhQEj1EdRvxjkbSSNaly
cEWbI1t5tzf7q+YEkxeKPLax/NpwicKZWeKTIbX2fcCaFVktPqZ9XceGtU2G1FRmSAmXanWIZgCJ
3LjxUvd+1uzaozBT/pyVISdpz39Q61o2Zd84hBrf3aaS6A8naQxyIsBaGV66leZUO86NoQ2uemTJ
LOJD3vj2azIMXyGHJI9JKr8mgXTyDW2CeBjRnGxjP273Og8PXM/KbVnLecu5hMFwba1M7Ya0hZnT
yEVuPOSjciOEIx7aqnSjtiWNQGFL4XzF/vKtT+Jl59Ww5RtwQzdsPn09NKZubKKFh419F3Sp9QAC
vm2BnjKD4nrggtmg0xvfjVoWn2RTdf62A4146eqqhrLV9fBrMUsRNVQJrMqamIKjqPMmMqum3BVN
7DxUhW5sgz6tz0UMbtgsJvtsSpapddKxVA9oiyLTjIfXSnlqv0ymCf3e4yEc6cHQdFtpuPUVXePY
H2U7xpsAxCxosSIhrsDt8MEGhojRtiLUVMfO5c1httaMhyUm0DxmH9+saQlD1HJTEpgxF+2VpzwP
/8wtQKLl1Be8hPiepw7UXC9wQ1XJ9CnPEuMrE8Fph5go2Nd6IHae9PI7DXpeOAg3fdYr8VjmKNQS
GredB1f/pR7Nvt6AIa5fLD1uT8q0Ykg/7ZT7YcbQ9gSRlzed6Ezes2kIacKt25y25DSAS/5WpJb3
tYgT45lUgPEysFGOHNnUR4tR9hNLAbNYz7RJbmD4NTcuKWTUrRyO60Vof7OBb+Eyr8T61J7M7q0G
VZZt4T2zoGXIXbvHyqmyOuzabOrZgS01Q0xvzI3QKjlHNq6W5c5NKTvzLYVPAba15DVsckBAfljw
e4FXwp0FtSuBMrjK9CJa+AFQlMbj+wTys/8i6drSsJCWpX/lwTsCXdb8cThofeFGvcy1Q9Y45uOq
Z9gZwGQVkCoYdo4z5W9qINiJE0mbdrWKUWnVsWNdWCm2ZzkjdlnNd2Z7mTol3wqzn7IQ6jCFbTaU
07cehm2756akT1OArez3gW0a9Ix8GLZVPlgnhudw3ccMP/phlbN+B7g0xDvhpf3Zhi5LL0s50kdl
3GjOVmsEWmR9GZynvivLF08OU1h0VoexX2v0qxo944Gtnx+gVqKG27j9mJb7kaLqxOlXjdupSaFk
N1NA6Ym6RKuvVjpCwVdAyuDYCt2R21YOOB9QynARhXYqoFQUwy4ZXFY8WLXB3vV4PNc2FjIXNC+T
mtqCKPFcdaoqbs3aGLuIriLG4c/FW4P2ag2VlPNe0828sm9dkAL+pjCazHotgUxoVThAscrjHYu8
YtJvirR26yCk255sMkWWVHTgVnngOnOUsleDrKFQmdtzVAG/FsV59qG+6mGnaMDkXTkwtSJUCvl5
oHatkk32nCQAzJNo5FZhvYNLyKpgiUHLdftdQq1WHRUAA/Gja7ppcLYpuixRbZ2GHeADnBJ2QnuJ
gKuvona2NT2/y5Us+B6AC3SZwp6n2E0MyO95+9+FFng6n2OXV3MEenxynp3WMdOHn0NkTa6LkL4k
ieIBLEk8yTMJvqukAB3Dup/hPly89wQ/6uTu0Xsv3G+N0QXZi5JQH+Ch+wzgNDrbOB9dHhEcx/2T
Shko+JeegnK66nmgz3aokk41xX5h68a3xSMvr/M3C6bUICKyxNRcnS3F21s2WY36o8Ou31kifrB6
R2agrxHQZtZJV6qZa/RRWU+NQ++QNLsPU6KJfLCOCtRRNyYiM0p3GXBizgE07N6391nviXmWTIch
PDQZXmasy6O9TarJzsqtJCKuBjzdVrV/WSj9/C0MFjdmOzfEAbxUEgwDe+vNi2Xv2UeKJ+mr8lFD
9dPDycEUt7EV984WFYx416uCKgtVPryMbe12AbkTLfqZabOYDUvRBVPjh/r/hClzuHNQ7R6YT2eX
Wo+tsDBddZMb8yy22EgRkQ0BC2qplQ95MI3esaGE8zZWJWdI7dVYVPu211FXTr4cga3rQ/EuITWu
XuIVGQZOj4yL3lrm+y7TxokCQSu3VKB0iMQWOs6ezJteRLHwpzfQtdMsN0YyNsa9X2SQ4casqr61
ONvbTZcPtAbVog10I21upCvXp+0OKnWK4T3RSCHSQipqswqXIk12+McAUu6EMnxEQ2YTrOBDG4C1
DUX5YHS191KC0WRg6cUmIGgGiplDh+rN3VWQfqMiU3dU/4wkAznHppWo/0K0Jg02XWWY6J0Ybl0T
Om+xsRvq8JuJReC0Ga3C23qFW560pKuR2CsH0weaPymQlJiz6iK/cgJWZVqf7vFT8MV4U6JtLDR/
h0aWoDIUA7O3BSEF10YcfFKaXvM+FwmGW053M192ZAexH2xzNB/fNURVDA9zmVw0juHuK83lmH7y
ctGuVZcF8pcKxj21tudkbxyR1ry3Bju/J/ssvkG+mbwnrcEnD+9zQkYXg44oliUDjZnp46M/Oepu
bMuUt4C9jq21J2pOU09goiic4N5gfOhFQQ4mxGBoQbQdmp0vo2Xjb3SKzj7gVAf/MbbOAwk79a43
K/3ZbTuDPDv0kWCTF5wD3TJv8GXNV7yeZhaZqiN8b1MCBNgE2RAMx8RtUc111YJMNYlHrMRjUK6S
DbrhUFbebO7YXLH/1YHzdVEyWANHL/g/pjA9LCWwfUnXUBQAxb+xlFSXxDQGP9KdRHo7BBry8zh5
PWrovuJdolLwvpKmAMJcUIDfNtpa8XagwqoNNfWcbVyoM8hkiiZLiR/wcxRhjEvuFsEEYAOGSrrb
YkD4F1m6yLZLM/EziYPMDzmLAI1qyR9jl1akGHYTbBlnfvE4LYbz1FetjMpmAAMPDk/x5xynoSHI
mAIJsChWGZtnPy0LD/lSjPG7NeIAnHVqvs1lVpwmTXZ3aAjzEG2a+YpbR1XsP7xgDjOnAzjqjXY2
R2qc825TtliytyrN/JLzt7XKc26Ys7Pr3dF5gkwqpyuTq8JiGFALMielMFbeeTJvBAKRa43yRd96
ozPTFAQmbgswlo7YCiOHRuhM7Rjy3KSqoz6PUqtt/PVzc29Ha2QMbZl1fPVLYT0DJTOSzaDKFws4
53MLan5DMDuzR5SeCLiSgUu+bF8SYDcJtdWkhRqVx02rsB11zF2AWSvt2MLjKdckC++2V3196h1I
Q3TkxYW5AOyyWPefmBhnHpdB4r5JEzP7ZOvd/dDO5rHoYLWH+eCPa7WmCyQ9FSMer+v8Q0dUlxst
gUbhJMBEQpA1h/IeF28WtQy3opZL3Sb0w1FbyhfjXM01tM58NJ7TeJ6eAaSCIeuUjqXTKbbCL+Mf
yJ31yHbs/tGn3N8bdmy81Sjjn+FHzA6wWD44rAjPeIH8mwnxwV4OPXedr14RTvd3UulzjKW+1g3u
g+UuSDQYFa0BKJ3nQVvRZnRW5HuIZvjpy9iY7RdAM0bkTzQqDQHNoPJTo37S/NJ+yFMwjyEBJ9pR
yspgRYcCtLCsb7Ni+t9uC8k8qH3jAVUI6NU+PhvvmY62FvK+tTv4Xbc92Rec8p3vr5qptsGXjXhh
mnPRsGtgEVrf2jMSn3k/mnhIzMiq9alPCRpIRb4cEZjP/WOcTaPzzansujjktS96O4xJW+m1yB8c
e2w5vApUNuza0G3kILdcPUIQaCyUjb4+Z2FbuK0+HWHNMcXcuOYEDtquRv+rW1U9h0oj4T2XnGNO
qjsRdR76iUib3SRBaEOU3IBMmjIetdeMR5ubBnk9GIp5SGX9XSfFz+siFq0ICLedHOcCcuiSJQUq
JpkA/zJDrsGGNUiSJ4vefBosv6eFyazJbdun2h+BXkUsiH36PqxM2ZRf87zuVB11o0uO01aXluqa
NwXIy5g3/JY1M3CsbUqyzQJ9ohkOMfZNwqSYWK/vxHYTPSj3aTINXvNFacliEqUR+wX/hkbfc6cz
7E4a5nM+d3HpwrQmJnPY/fV67vcNOVtDFCDwGlfNwUpvWY37vyokGJX5vY574buo5eptGn5qXCyn
almUd15qKyRpgz6RcJhmOSu6v3kBv6+b1xeAUADzLjRJtoQshX5/AZkz441KMu+9+PkCoKWuyhNR
wHWm7K7Zi/3clP6X5vA3jCOHwMVfLo5/4X+Gr5j0aVOy3xCgP3/qD8yRYf+PYeEI0lebtUOE4x8w
B80gUN7WkVxwE31Y6oz/jzmyzf/RgY8yMbJXUgvb/n9ijkBAWPxCz9d/QpD+IwLon3bglL0gAkxE
cEhsdCxLK9Pp16uZEGNmsiD7r9VoYbUeeRJCckGKTQTNOHxyNWc+5dNQFVtdL/qXvraHx8KGTbfp
gqr58sun97/Y443f762PV2MDLFgvcZ3FvMsn8uursSvojUGqhqvZVMY1IQwIqrFX09ATuI4yehht
9eKBZYH0Kfy+AZDb8ihAuA270Q+86j3oe+jsQZpS2Jal8YhABXT87DrxdwPd+PQ396L5J2nE+vnZ
OG8QDKGQ04FF/ekVZ4wmEDb2V5wRCVGx+DseB5unxq735posg3kyCJTw6IEXz6U0mgvd2guewwYj
IUDV6dR1BmEKEuBzn9V0QyLV2ZW1EBO3SZ2nd4ViskyD00UsRYKnLm3OeEGgocO7cG/IhR7E/q+/
h3/9GjhidI8vwuXawMb1+5vyZo0GRpbdFQN08FQnPgRwuzC5NGRFusM4gWaUsVE+//Wf/f1gW3Ut
HtIWz8JNDx/AtNaX9Yv2jGFXYssuqa6VvxhXlO7qygIf70CcPv31X1qPyF/0FR9/KcAoturG8Er5
f7rOCFaYl4bZ+pV1rf2K1akt93Hvz+amkOlWbxBhh5Y++wTnWM4o/u6iWS+K3/88F4rpgOiwXVgq
f/7zCG0yHiBsbLymcLDMK+e1KNfXgP2i29IA1LAa+er3Y9mMLOOK2vvOBAHnTDDbl8llBhBaY850
Hwi8eGRqbFpR6s/zd6mR9KRrrB1C0Ft2e3Asd1F/J5z51y8KURXHBnIgLH48C3//onRXOZXjxNoN
9F3xmlE4JxtDK/rK3lgzruTTmGbFG2J7dq1LgyiZh3oW0oZ4P3pvWepwJpuREiwfvmdIWd/JCku9
019/xWjV/vwp4wbkIiKaGrsyd+fqmPvlcnJbP9PRpVs38LlkHPgR+XnLfvVpBbt+IEiEalH/NAgS
baF9pB6Dq2rfma3clzbgpqJsxL2ESjNtvHJMvow5NH14Vf1Ggr96ZE/mRzFK21B9UKGYltAaxXlX
XccVG9WsAKkkMWBJ0fEjIjKHVBzYp5T3Zp7cJezHpg2g4eZKFt7n/oNO5a6gKiMj4S9qbbUQJjj6
+aVcoVbQyuxTuoKuFsqfIBz1lCqWiy47ah9UrHEFZBkjqKwln77Jjl2kQuZL5yh6bxd3jTpCOTE/
N/iEcaB5GvStJS3it+CDyZVVjfZVCfbokvHrER27PBpNUL5ngwTTypSkeMg+OF/DivxqV/jXzOdA
NW8Gt+wLpi01a7MzPnhhJWQ/FnYjJqZwWJFigiRQpqLBbRqzKI6QY/cHHjXmCICdbYvfe+XzJPT0
bLaBfHCYSO1JIdHIYHIFQcwuyN9On/JlNxR+stMoql8ZrY8/kEBBQ0OwBBmt+qCkTSswzVrRaXMy
QFFrV6Ba2VvEiPGfIl5deWuQ1gYWcx8cNi8mgMH7oLPZK6jN+mC2tdDbklXm+Gm0QLpl3Up3yz9I
b1a/Ut8my5suLgOEMkac2fRCwLJdl13vKUxpc3npRm1ahwdBy1FefzNnkfcWMRG9UlK/9kWPpojh
VLPskU/1MTqUDClCbhIjoEN1OOazBcJf8R2QHshejQFKym4zquKY52FfFmOzhYOQ6GFb9tDu00Z3
URYUszemoFvLoL+4XW9xRY0xscJjqHgW7lwtzePbgVvHTcLGB5e9MSwwDruqzNpgQ9HNyGU7sZ0g
ryMwAvqBGG05YrMY50kaQCTZjaVXim0XUxXsnCoRS+gvDidmZRZs9UXaaoDwujnp7piGodmuk8z/
QfYLVNpIr80e8Y2v/KvDBjA+VZbXe04eVlPXLPOh0zndWFYlqYfsvhuWZhe0XZXt5tIV80HvOiFD
x2QAEHqTM5d7orYzLeRrNb9oUpDyxji4ADdXCF0jy0PXUEP0BAXkQgTiaLVBX24LBN33i+otluuM
0oxzOqYdwUZeaqb9Pm4HWT3wMLZOdDZmsVOSV0C+WbmmiBnkMQP1neV4I3z0MwTHVbJFmWWoUwu1
q4yS2EoUkecDX2fmdWtkBkym5TtNZuCyP+nZLWE/JunGgN92oJIvQE4XRWNFWZ2Roqdioh5owGWA
P3HM7dBCVL4wiMgX7azHpb0zJOkNvNzAk1sDqEp9JMNyJD0xsFNwB/x3G4OEmYrLJ0FsO41E22/Y
V2hfW/r1GScM95F5NQhbRCznk/5kfZ7L0VRXVwaECVX0tTeOqngkJUge+YGAIbq1wyxqVC9sQqr0
1GCKmnbd6CzZGb96/9nOTeeVlEAGor7BxYtxBp3btnMXyJAMKHP0gBZG/ZDWcJthlnwpx5HKIk/y
4YG2bXyTbWqxGRkJ8/OhP7Gj9WN+j1PW2GWrdjCu7J4s+1PXO8Zno2fDsBldHLlhj8lwAiwscpL0
WOGxSveYWd6Sfhk8VXqzXpx5TmqDV5Jfd0deSu+HerOiLtOx4oXVaC6MM0+w4InmmqtbcEq2kW8E
5G30XRCbd3mLqube9MmDO052PqqbfurX4pPgxzuC710i8EbBn67rZWE5YIp+QRjirW9+fekj5xOv
i8HS1XYq3gW5dXxUaVEXSxgUA7eOLJMi+1ThJWVpSrjQa8K/caaafZXeNoY9M+uwJHzeY4pbXd2Q
CcncMNNVw5oQXb+1nYcGHR3/m6U274gDhCXJWif3lXhibRKcUHBn8KMZJ3NdsH1+HSt2AOwy8vne
6ie9OyeUuTmEU3TFDz5Pi31X6ca1CZLmBTqIC9fYTjPzVPtJoM7gX5hZzWT8stxEOL6XJh/rurqf
vxVl4dxNqmOs24ByKr6MkEC7A+tS8QO72XqGZA0xKvQBvrXNUKN1Owli54tGKjcxqzJhfGxzzM3t
mJJZ1ndndlK5Ezlma+KDKR3b27AlD55aMEPJtjQrbhNg+lZwtKvaALTMgTyffINLaovShWskd1iw
7Fi5DFseMmNzNlplumEclP3Ak9YadEpvAMttgIxQmynTT0vQt8Y7sra5AzJneAOqGZNfNQljFUON
qJWPkq9lDDUGNti6yeS5mWaPZcLQNRvf6w62YKhxWMZV5Mg+ulv2kgSj+qZyJ/ui9QzstymZesM5
wZechr7TifQzlUj3rqNfRenoZd2wgag9MiYeB7/hKTA3DyUL/uzZqBfLHzaIcYr5UfZoKfhlCIBg
dTInO2mxHN+AfGoDXtDOLY4Zau9PE/THZd+yQ8+22bKyWzOzz627qSgX5ypcYnoZIA26e2MbKQrE
meqmIxFA8q2NfkWqFYNGwdnRdSUoa2tqo6FEkLNfsPTzUu0p8aI5ZgkRxpK1+BdGp8bnPF2jd3jS
BU9c66K7qwLYljtlygA3HJk/0BTUC3bn0Tc2RTF4jw6b/DEa0TbbSK1KoAxNDKaJhztX9FaSDdXs
aByAsWZWX9QXr5WpdYcqpXSPsAfYN2Uk+iY3RauRIic61nsbqjHV35RlzOtv8RfuutQvUmSvun6c
G5v7fnaRL4N8Sb2bj6r0v5OUv5mkrB0dXcS/J2Nevw+v77+NUf7xI7/MURhQMFL+OSv5JxSTOQr9
1R/RKQxOdM9iRscog3txBekgd+/T//t/LId/chipEOlomr6D3P+PdJh/jCZ+RuAk3+v/bVRh/g7c
YJ5Dt8qfMQOLx/ZKI/q9vUh7BpVsMKwbb+UBz6PtHGd8nO3GWRh3z6lomggB9YkGtDE2nEbDVl8S
7iHXL/fK7BrIzboyn52UQFq0FRB6GzSrdmjKZnIitcKL2V8Nz/0KNO5XtHH6QTkOBkRwG7nCj6cP
DjIbDuNeWV39Uq2Y5KWlTmdmutKTiw+SMqjecZeteGWvzQWKzJW57K34ZZdYLeAUaT7BvUhqeP7a
bE13TK89d5eyb0gOgW0sKlpHxW+5Kjt2I3NRvDee1tyiphzITqX4v41j7AhIe2Leu2AHiOADBZl3
rOfWJoDDUFi4ecbyr1bnSPOk/GS+g51AbmSCqhhrk5gn7eTzAms0dQupVHUjhPXJ9GX9KbDz5H7J
i+G2WQG2uUccJzYBEPDxyrfOR8iayA6rJsztGnUF8pLprvUVAd2486ZeQlQ0H3spaT8JHo31um8O
seFkao/jJLG8vY/XPIH1kOmLHk3sFCt0MpU/XS1vIZczJChAO+IwrBWyrqRJ3TBnRFsxF2OjRPzt
FzhzdmfdD0VVbFqLDSY83ywepmvxs6QWH/W1rJNW7ORH3c1qfS3CiTWnIo+ZTu3IblgLdfTKa9ne
UDH3l46DO40Q1K3Fvd6Rn0qPlJZx1NjdsF443nJYphzltfZBLyuEC97q1P9sM4x/dB0tlOxxEZti
NKGIPCc/W5TpZ8PS/2xfnJ/NzH8PvKrP+vlvDjzkbhwI//68ozWv29f3+ld48M+f+ePA0znK2OQE
jPlX3u46JPojOkoHnQ9tz3VASwUmnOB/nn8Gg2PTWqe6DD2YOXPo/nH+gRUGRxsw6sW17Bl68J+c
fx+0zl9nWLA8fY/RCqRFwMPYqH4//ohJljpAFO3MXrXJgx1zbH9Wz+0QkGB7ynXhIQUn1dRP873X
wRt1LhYlH8YW0mwdj9CmeiYA57Ru+AvrptJ4HqAYRC2Q6GQu+WWbEbJW5P0U7wufQOHs4iTjwGZ7
4f+N1QE7Pn/rEWEH6eIQ4JUgjo/oRIJfFiTMvkcOr69RlA0uYscTZFaq4cIaSV1keUvm9YtZETod
IgpCdfkABg0Y59a3k9H75KeTSoPbLOsBsAfUHRvhY0MKaYlwApSqhbu2YUwar7Sgmjb6vwuXnxFp
f3PXGLZn8Jz997fN8f01/e2e+cdP/HHTGFz/TFUt22CAzZLsl5vG8P7HtCzDYR6FSpX74o+S4S/S
1gxuGe4lnUsc9iYN1H9yy7Cj+dNEcv0NrHugqDIzYu77p2UBGWANiuDYvZIJqAGUqKbmjKJjJrmc
jpng37VrJHDtxOLSLR+ARDvBG1zv72m9OA82lCLI/7X1maHy9KXwtOzMjT4hH4HtETObd31BwmoX
AM5Gi9TfE3FFC5Um49g86lUTaxuGEqUlzkXAzTUMZZ7DMktR6YxN6e+If66OUICt0MtVE4rZSKJK
lDbjOh9fUGaY+MYC9amQdESbXB/jS2lJeekUM53ZHZoTXq3xnfHAV1v0/ruNZoIev/b2uszk11YU
emg7wj1iaHi1EDfxfsldzDceT7TzMqfTQccYwrbY165VrsVESLO+TTGJt3HYBmYyIOqQyhDDzukQ
tG3MbMxvtTQ1v7BnudiK6DUjm2TYYUm7nzt0Fb1qSMvo9S8lSKfHCSfc7bSGt0kz+DJNKKUHYuFi
axCf7FxrDuxuzWuLu+KoWPyHeDSyixiQ/CB8z26wk70GfcO8WJIY7ZAofm5Yu+7LWhveusKLjyB6
rF1RGSWtJ2EMS07eHPANxqC48upDYGbflSKTjkTY6dkxfNRkSZbzrF9z6xpR+l9NUxVbxwPQNvn1
F5GJL/irsxvoo4yD03F4idHJbFE0IvEqMsb80iN0D4QFESFQYTCtWFkgHrxlstegh1Qe1yvysRk6
dwe0nSRUhE8UgqZqsk3qeT2vHjcRHELi93Tyo+eIvBNKR7cwknu7MIo7pAzLbTymepguBPillslQ
LdMnh79i1Vt45PYeLhyWQSIWsofR7coLMPf5AonOujEhDe7cNB7vmA+3u6rr0Mr6NlEqhm4B1i00
+YMYLfyZyWgbe1hV46VdSGyfnKq79B8pg5M7JkDRSjLeGOKCuuwRrc5KemdDBqT1Ij3UGbDM+sYl
vw6dbmXqVQgyCziZ36kna5rViMES8RRI9GZGGeAhvsK5ioSdsMMCi2m+qYUZnAchphwl1ZoUNDSE
BgWkBzF/Gy9e48oT+q3uMWlZu2wGNmI/arXUW6ypwcFbE4haB6T5gvPdQnrL5D9OCIJuNZY4iH5F
aDEn2Hm5HnzJBkrkofXOck03Yq6b7srE0d8G1yh3uMrcb6jXlxN0KBKR3DUciWgq4uaMfnxmsWPd
aUXsRToBSzsEQEFC1AP5SvVH1JK/pi75zIZlxKwl3c7KXO68NZppWfWBrjsBIJosIhaJvr0vdfSJ
fjmqJwdMKpFjFb66PC4IwgqS7KxJa8aPF/hEmQW8JXY5PsgitlGh8MZms6xBUQipczYrAMSzNUYK
qe3ErrYxdqmjk1QbwF5pezu+gUzX3oF+ieDStJ8zhmb32AkPbWUtt6PS0ZFPeEoUtzWib3M6ZrEY
Dz7UvrtcmBgGR4OYK4rn+QHZubwhF8f8bK55WJlOMpaG5GqjxpYcr4/MrApF5cOUN2AYa4wuk9Rv
BNla+hqylaDxucxr8BaHp37tkPSGtVOhfVyzuQa9CaLEGvXj0hj4/xz3Ku2mOrLCMo/ok91Nhnkx
JOWahDW+ZPSqbBnAxH7WaKuY15tW/7AEJIMJXUryHb35gDrI/kQEwTp0WOPDwGemKNecYg+RWEZZ
zEGum0sPrVRNj1Wp27tGVknornFkOom1APk5iAJoVVFMYfWCqCg9MIcGaM20f9va/axFOYPUFx6C
y8EOAu27kTdgwtc4tNm11Q9wdzXTx6y+7xrXCCWiTjik+muyCERBRllGJtOrvT90WhviOEtfzCUB
dSzK+66uFUkvbhVaLWlsBMj3d5Dj6924ZrXpa2pbhxa32fQqXrY2Msa9sGu2fgg+I3ZlQ6SQxnxn
7zVswfd8w2ozhAVnJqS1YkxB3TnaJdXsZlNLZ/wiP3Lk1kQ5FwEk2trafQFQxr1huTJCVVQejayY
bqpUaRxYZNKNTmZ/LdacOn9NrDPiqkJ3WhuvI+bTaOqXx3hNtzPXnDsHfbvA4Iw/JMuMKZL64h9p
IO/xOh+pHoCctOCPt6DU+IIrBJeRlw2fRrIlv2iTQ/CTEh2YDkL3clriaqM1yfikJ25zgr7rnRI/
BbS5KicPnJvEs/f6pWOpc78s6k4l2GKbUi/P8LCR03Ptfc7xH51i7I/cEhmxgkb1/9g7j+7GkS7b
/qFGL5iAm5IErSiJ8tIESyYT3rtA/PreyK9ev8qsWlnr6572oGqkJAjDQNx7z9nnylFRfPA97S6b
fR61CUfzyrLCaC2WHMFEOsMWonEedNYAocALr4hUznZIoYdDqKceQwcdjWpdiAM/qHg7LHmFUY96
3ZQ5tkEvLK4iu2X5nsLpPU70eqfR7jupsXM/wdfmH21Xa9d2114Qidv3ymOvPYvuOvNDIpMmyz20
PVYtD9tM0Nju+EjPcsBxXrzjvOwPcepG2yZLKnyZM4wrlbsOUM+oAwMUoh1MInHHrL+6VY2Nq4Q3
18h87WJEtfmqTeV0RZT6GJMtHY7PRpJoe0Ln7KuiTtIjCuYtGpVmzYT/JnPEk9QmsdK9Ig+S0gqh
84z5A0zvejf0XnNDODwszK62tnoTfvMywLMg3+Kd1/mENscdSZRVrq5iIaZTveRUjn5H7B7RIJh3
82ZDHaa+203+EBclRrQsde9JWkI6amT9mu8HPTS1ziOragCE8S3shLYqKhHfpHV1lU/afJb4XufQ
EI/5kqXZpJYIhNaOO7Qb/jZZMjeBPskdQ/L2Dcqas6Kz7gfVSOgq7phhmzvd22SwrmAzNLZUQfRX
oyLIifPUBmwS7Yzvxl2yPn2fuiSLctS1J3QzAt1GVWD9zKtoHXsk+MW6mz+mmlPes6nKTuWPLFF7
iRVNpiVhtKp6Ywcxtb7OycctHEJIPam3Z3TOEJkkEaU4RIqtHpvRlQvyNWgJxd1H4RJoOpKdetvY
NUnAIje26DfppKagHCYxvXUGa22FrKXeMfVRNzX2sjW5VcaxQsK5JUFSvg8/clSZA7JJwQ9vrzI6
3NiCaMpu7ErJzxJz3pszj2t9CWMtIj/c8EW+F0PRbFMcmCgLIJQwpdc9bHaZto8UKsk1MosiXRki
K881mIC1lQknmMYCFr0moq+wb8FogvLlleYQzE1yhLzLsvSGfe+6T/R8OxFpvtXDmjco7sijWjJm
eQnXiC48fR9amv6detle9UsY7dBP1YaqMgJ1SLY4Ww+G1wTX2q5CX0w0pDyFId6zpjTJBedWv9H1
ifamDMPA/ZF7G81ddmy7oVtHsdZtmn+F4y45uU2st9Tag4vwUemAAHghraY5Sq+NqTc+JaCLGyUl
C8Jo5msrzMxtWKq8NO49GQ5puAlHbPCfyVCM4OGKEormgysxwGANI0MKy6f0/OphIhZz7aJOgq46
r/ySnfIqbR1DWREGbbyH5bSMYXw6fHQ6I7pscJr61RjN8htygfhr8vmG7BHsF/5N9YaeKCS/bKwP
4RxKYvFGT2506LHHgWHGuan564p8CVTRCQT1ud1yRO2c+X6zGSIskYlr06eMall+taFunKtEegfE
SxgPJ/of1+7gPKgYgVLT2s6XwEIWMo5SpIba/hTYUCXv2qKxVqlTtEeNBuVFn+J441jVHAH8n4a9
yHtvWQ1g1TYVKc+CLQy9smIVRUm2xzuLNQXeyEkvO3Fs9ZYtgM3AzSOPaGM7c4F+miidk06qxaNM
RvHc4V2Sq45gMewJhoaMR8fvii8rvZvAjeHH6+dXULs3UepxWfXcl/dy8qPNiNc3BGqosBxjy1qn
fYfsGoccmjtcvMMqjGrvxuMtvESBoetIO4Mk7q6myyGLNH2IvBylHltPaqZuvJ5LFd0Xtuq23nKx
MXikO83vqb5ss4ivtXBE610R2hc4KBMOqOWb+zAs9J5xNH86KN9GMt6Wd32Eb5eRU/PUxq3xYtRe
81JW0VMIH/JKACBHUVLq2t4ya+w8BGdg5xr1kwvX7n5E5wa/BCyIe6ZPIy5l3Ly7ikDnVa0AJq20
WEdHMOnExyYqEguIFP18ls/5c6rX6SPGg3DnmT66khljyo5SqH/M2mH6GjVc57UpolNXRDXow6jc
pm3Kj1C2KL9bB8/BitKDvQ7Ea3MTxvb0gaddZ8ev2d2qrSStaHcZAZV+nty1kc9OrFH48cZ0MJF5
a0Zguso/TJlIDrFS6ZUdj8mhsHz3mkAUClga8fi5tY/cq9QjQTKLINtwODlrZtHQ7Wx+zlgqTJ58
UM6EJasbba7UJh/qcNcvCnvkQN7GUjxXrRKkgzd6dAwB363BMWjrJPGrfZmGoLMpy+jYl8tG1rDb
KwCFsElLFN6sYFHg491F9NMlaNFfqn7yihsjSzsryJlpWWeCa9m9jxUTrzUhVR2WVBBd6kvDBzDd
Gr6W7p24KvhACMrPfSlr+aAmGMmCzhwFb3876B2xSsEwuKaL+dVq5XTikgAb2FY/+uLWv5rk/1EQ
eBULLFDXKJZ2oeY2D4RlyH9Q8hHr+bOWzlsUtOhqXXZldHd+HcMwK5nS3DKma9Dc9gZAcAwZEf2k
LBBGodCK3szC2o2pebQye8s0YGvHRuC5WJAHRXxwH3CqO9KANjhc/kFH+atO7sd3c0zdWCSi6Hh/
0VEWBrkfemhO13XdXrs1e8Vwn4z/QOz7u4OQ77AIgoWv/2UOZdMhpegdp+vEhC7Jfw7Qm9Kt/iVa
/L/J5T+2JBFa/7YlmecYdJLuz518+vLLP/qjK+m5/4ldwETnSS4EJthFzf1HK983/hPVswPg0f9X
J5+G5f/rSyL01gmT8yC8oVPVl27in1r5jksDnmCgPwJy/41RJnLzn39DGBlMVLf8johGo2Po/yK8
TZyE9o3RxUfZGMy9pxrhMtE5zqlmzEedI1HALT7A+zprmnzVA82hNzZ6ttxEHQXkvsUDH669KneO
SrkiDPKxWti3ui4vjLkKsTNS2uWXDF74cwOq1F6PtYWFfsamgbzB7BBfTIUHMhYGlLkaCl2JVQhy
ANIzgy/CWVp1UIbqBemhFendsO7aYIQaG6+tqQqPXRfWI846rfkgmtX95L1MQjeGqgBzCj17hAs9
cR+ebdobrJfCvPLNnqBuv3DOE0zMVTEOd11ualu3M3gds5HTMb87RnJfp+l8kbHeX0M5L+6KlBTz
gDBCInpTbyG5lLYeUe2l9V1u1+OOj2/oiFTzPpoc/2jWLQKp2NvJxCRdPK6SCtWcjeSrizMu5mRm
xkbaYbMVvWs+5z4UqwS++71hSifwY/EWjTMG9WomPUFZ1u1gpu1hZHqCPdq8jR1MWXbpwMueEyos
TKy3lqvB7y2nO1tnT2vnOSznWrrxpxOa9U64lbWmg5WdjKIAQeDIBl8Yizr5TEl0Ztsprqe4hEnF
HmS40qegMSugcXVbfE9Hx0eDKeZtZyfemkZYd2c6/qfN/JemjkHOrRYDdUOkvopt9ewLDUAXHUq0
TfZxnEj8ctGl3acts1JL+vJkATu7TToMRHUGXcu04ne7cqYNL40Tral5AxGHrpMZCt7ktXYZK1nc
521GVnKGQt20MsSQXBEkPNkFLhmUDZkNa5R03WMmVbgSnSmvZzC9m1raZmDYfFNNTtFGH8PoQTEn
KlY59LNhnZYVlTZCMVJ069o4WXGjH2d9+Mr5+5uI2IgLCc4IlmYZ+ncuvp+LZ+LwB6ec0n6PlLpG
SNeTjsYbJdNltVPaUN7pYDzAYwz9FfpIcZphj9SthYiPx/5cSUu90ge0k0Dr+/go0tjY1ALxMcX+
KDZNlk07Nu6IXpvh5AACJ4LIOY8oi1zclyUqncpLESRK9l0lEFr2iPW4kbj/VkNIwouj+ieNN0Lc
qTsvmfVtCLNmRE3aNeXLPA3pbWy1N1qfPxlzSwRGLu7Ye+RB6dWfXe26hyKtnoAuM/Yyu7cCBuI2
Qyo0r4vEPOFTgwG13Kn5CyYM1hGjrxnQ6c9i8HFDzn64r6dRO0/MOYNwqKNNqotXFsPuxqwLudXo
iq/zLEI7gef6STgM7GSK8awIWx3ymMnPSju6bNlWRGW+jm7YBINbtDviE002vkeC3a76Ardg08Mv
K4EghZQQpFeBqxHFhl4ueqWpTrYZ1D08mml3h6Ywv9SeHR1GYMIrpoXWASysvBQyV7uyz0w00DVK
pkyifmrH49xa0wESQJjBxemmyyTw3zOv32vkTV3TtI4RSlK/iEm/Z2whcn/TGNTFtxDzrIIUaQRV
rfdRNQTQOI7yH1J2hVthohSIvSS8nS0vuYFv/E4mB90aaIwY7Yx3px5t+GlYAt+6llNeRq4b6HPm
KcpLSnCQNjSuohwaiMjZ38X57cyyu4rlMqOscBGs3XJ+UwMG/TFkfR4HnsFklvObP0sUXEWiN/dN
K+9LHVVfxJT0pipigc3GZ196G5FHfLBgEHRMSwSbvdxGHdeptDpAQwjpuoOuJVKg9O/61P1eV/Rv
I1Ma2yn2ckKOPSSeK82hrKrBswA6FAkjWgrnwabZD3FAA8ARq61n9vDq4kbyEy9pZ8rhKSbZzRD7
eSx/sCzigXeL1nxmWkpWSyzSAfJ+TFF+k7XgGVdpJb19NtAAuZKidS6SF/a91Yb8RLKJR49O1Wi/
dCQPHGNVIOPD9mR/9Dz9ydpAIksfVgtdgZi0du+aXANGFxp6e6xM3UPnir++99MS6FXTH0BhRDdg
8fN7wg2xYYPidXfo6HlwfTXFr7UnOpSootgbSRS/e+z6QXR6Ld7waO4FaSQtyntX1LTD1DSEh7Gm
0p2scYRUIZV2qVnav0M3YGuOYWs692PX3c4QUPUNBiKKZ2WUIL1Se8BAIKQaniEaNO9NqyevvJOj
EsX/cO4sVdyE8Mq/kzc6YD/PQ+uOrKnxWUPhd13o7sGlQPmGxMb5sonuSVZJbDUDSIUxDyKfQsfG
IVqw2q479g/zZsZCzXgx5CrSqIu9p2Gc7StaU/kXTJo0PBYDTAlS3ZPpEjbCeeI94gdQlKLtwIgT
RI7r1uHayMgdOACAkZ8ZVY1gMYrCJz8rx1vpUvSsijnWbpPU6eqVaRXtazqH2bWV1xG+aWKZ3LXp
F+rgQ7r4En2T3UFkuM/xApAEiF3swMAK7lMW82MFB9PcqMZqwjXCSSLezI6BQjCTaXiuoda8Qtib
vsEFbN48IcZtqaUUuFrkR/5KNrN2bI10vC1t1psVXELtU+gzeeBtCcXF0jygDO5ct3sXcPybH8kS
SKYKh0Nt9Na0SZO0oXXiFulzAwVJrLzK6u9SsWAHNGk1105f5wd+cwkltqnXM4RNKny+uR9Ybqu/
hn4fiqBMIHBvjFHDEJGL5A5Shr5jkOXCkxtK6C6eSHcszzR8bbQPtLZM92qe+uZoIHLHjSzQoo3Q
GHLMXhhZarUGISGCRsdr76QmgMkYRfPK6OqLMXT9pmMSfpVr41Cs3LBCYuam9QF7HdLjIi/b16xN
e5qF0YBrjSTF6iUjIbUMekHliTKrUd8cNlDnUGf6ZJnOh4hi/9GNy+Id4FK1teLFuc4SH+KXGLNK
W09+xorIYFY/JK7unn0l3LfRbvN9jd4tWpuRrchLs2brw52YE/fAsZ4AOsE78ApLClo+jD7LygSq
D+u/Q/M2gIxLrXgGrxE2I2TQ2HiHrWDCT7BhXImwv9h+zygslab+Oig2kEGkTwPPkt5BKi1d48tv
mCsFYeFEqNKqNHxJ/L58nAkT67ZWGcvT0A0zdSU8go1qkVsXrpUd0ii71ZHTvjSlex3N46aKi3EN
BgnR7MBwCUbsRfQ+9B4XcmtEhk1CG602b5ycvaEH4HzXIJWB3dWO4sN3lenQwa2jJxxroMSAKNFc
NjTLmNdGl+g7P4+i6643VTCZKjyYcAF2YMH7jaqtfDvo+nBlMAF0hrb4FqcmzmSSXNxvTkrrGY9G
GW8y5C+PEaqED0dU4XasdPKduJuqW2OEH86xKbNDxDarI3TUpqWTtFEqiDkT6VcNIqtEQsv/ai3O
WVqs6VwxNnrOQ5k/0CCLd3pik/JphMNVy0yHLmzmeKesJagh0tkjFlMEsLTQSAxvm2HvJT4Kn9KM
shcw70a7Ym7MFCBObOgNdW06AVNRdco0oz5OyD+uOMMcyHGSfIYq6YG99v2+qBsQRr5VHpqc6C8z
U8/1zEh7jaWtfccQ4d5aTcNwjPyew4/S7/+q5H+qkpfggN9Vyef3pPz2U4n8r3/xR4m8ZN6TeC8w
my7VsO3TKvmjRCbZXvdwasLbRM/7k3KHutrGAo8OTTe9BZb93xWysFDIEeeB6YH0QSQ//1bs/S8t
FkFQFS44PgfhDsq6X4Hrs4/iiOGq2rNOzIRvzoRV3fzpavyNnvivh4B/jD8cmRxfGWHfz3K6cBpy
LTJ9tR9DmGrKW9GRW3kOl/S/xVL/g6Ms3+JPlsg29CUkD47ilm+d9lbJb729/t8d4hdZtJtUWC9G
DjGoi6tf5mTTqI/fH2L5iD9JDwW5oT8aXYgOSSrgvfXzWTgSowcMsXY/CToGo4b6IUEkXBTNDmHV
P5mh/3JnfhzNNyyE5zaSsl/uDC4z2dsMrvZzRa1PjBOjlwL7Rx7V+eb3J/Z3h0K96fpLGwKh2tLr
/NPt0TvSK9lAc2LweB4kbkOwGKNx1nvqut8f6hcp2o9rSNfHRFIPZ56m1M+HYjahz7RN233ZlsMV
lNRlxkGueSiVRMYti13FNOfffTa4lJiOjIVfYC9RGz8flK6RYcL47fYzFd+Kjj1d8taj0aPxv9+f
32JB/vUZMU1G9QtKAKnsL5cyszSglLXW7tlOMhLOyfmjXPPSQ2bq+G7ztrmtZ0MyYVTxecil/Ifj
L0/FX45vISpd2n0sTb88NXMk8GlluJ08gicDp+QEnWZ6/P1JLifx60GwOOserTuWyF8zPyUuWjYU
Zrvv4cLs8H0ygYlcK7zOTR1V+GyiwqEODyrKx+3vD/13zw/bN9sEofJDavzzrfRtIQ12Be2eeOE5
qC27pyQBGbN2wcrTu4io2OeYl/bvD4sEbHlIfj5pxq64zs3Fvm8A0fj5yF2u1TD7m3Zva2X7Wblg
dAMAXmbgTqw6Nol1d5CowiXZNAQnrg9b2VncghQ69CzHaZfU8GnMWFlgF1SXbtrevVBLjzaYWonu
oIVnXNF+2GCHG+nShOF9Qg8nXrnFkD7MmYchPHXTU+eMLnVp/VZA/U09rwvyygAlTy8K8FlM+8I3
iE3Fgw3SkmTorBnIQk3a6uS0Q3qIIeucdE85rxqcfIN22Ryf9UZzTkTRzWuFczWIyZw99RFl8yqT
FNvsbIergfrnkX1OvonrmPGg23w6ZuEew6RgHqk146bDs7ATZncFtKF/lOUsLmS4GjttcPOgQnl5
EIVOkMVgiC3SHFx2sjbOnp6RBm0Bd2MRGu/w5fIhmddfudC9gkp5Jrx16vIz2E9ehSnLblQN8SVM
x+nT74v5MiqIPmsnBHLrjinHS9S3qXTCl7imibdBYKMeIXnbFlwg41vbSoJb7U7037VG0MiVMPGf
kEiihZNOLy7jqPNBywW2BSPf2Tb7VdHj/3Vm28FlEvaUn6HVkxmJGiK0S7de8/2ytW/37nrIU+2a
uLRvoHMp7ed++EqVfBTK/OZT775K00ZLM2gJBhvJIB6PNc6NmB9SOYlvqq+wQ8dIy/dpw4qR5jU3
wQ7ppmGrZ3Qu+R7kOGTHwre7p2R59JnQuqeCff65JmohsBA37IYORt2UM+mPSgucVFu3qAk8fVfh
EQd07+AA8RmKBx4FULpWuRcRcCnMvTIcDmAqZ900ab+jOQ4mysYpm1VquO/rkD9mvMuD4SX2hdzo
apmYZkdGDWIFqHIIRt8XN57P5UT5aISbAkzEQvtzrzGwp+khNR2sKDkzUardhNYtwT3GnRjC6DIv
aZSEdGbA8abEvjFzI4W7FBGDK9rwI2SKQIlsauG1Ofl0djKEpMNKGCW9mDAUN8BMzc0Sf7am/BdH
quTmqtFc484o1AJYr53bULO0XbeY9VzSAa4mYTNHbtSFlGosMJJWEyzAxjEPTdtDAB1kDv00icOP
XlJB+/VU9RThg7aDiO19F2mGxTxCzt9p3XRqMYZ9xPgcg2hoBAQ+ujCB1vU+MwV/uR4hFNCNoeQX
BCuuZDfKPIijWoeYaMz7glnNFZWVeNBlpshG9AyaM5pt7Dy3bHc2epYXD/DiWxna8UUvGn0/JibQ
YzHAuUiQilmrAiT0p0EOybFBnnJNs2Z6b5Htnssh8m8ksogHLPqIQDvmy6BaDfsEGXu+hfqltlHd
erfUaOX7zLD60s5YjCVxIdcS3d6VId353DW+fQJzW+6Mxob2OffOfU0ncdOrWe2bSfPGta2bHKAx
lsUrN6l6W6Vjc1/Ile4KlK69STyrwnY06d9F4vQg1/MKcGk7pl+2cuBHjixCiGMJosEthd3Mt7f1
XHe7Hqh4selqCIRsKEVAMk1zyidnSXMGI/qgzCLEkzHmfKYdwsRLfRftnVuqI982ejAxrR7nbG5O
dmrO69wOE7xbDjAItKapfwCtjcYrTZ0NdbJ/sNG0g+qTVUDDU9u1McBWTgBNxNqzoEJQIEB7n9v2
oMFp4DQabyY1PtQCgIg4YU3UFWu6R1wHiY5oZeLsui3ZBHxgfepZxsbskiNsRdyEHLxnFXijN6WQ
YLlkDZhwSlyYnFsz8uyTWYIJmaokx0VNvM17l1XGR++WizPOT6Dd+UP+NHdMDHxDz44//twsHfue
1irSJBkRr6Bsd7qZAHXc0Jbqg9HLqjngGVZc3d7bCCOi5fTjkAlaI7YOnRjXA42rbkXcrP4Blbd7
RvnfbUY75k9Fa2lBkjjzmdZgymQpMu9EKcNXKMfV05gUxa73h3Jn2wrrvTJ03tV6sZ7ASqx1OWRH
pxreiY/tD57reED4CZjceGGmL693zDRzO177MDYozWNbC1rgAmcnkyM0cUQhqxku6L7SfPg5Xm1Y
h9a0cCjq3lgc0abIDLyG0w8bkSq173HAtytYt2qPfMi5N2Snv/SAHi6J6Lh18PsTRO0EErh4+1GU
1AOHTbIpPBJB0q3wa8PudhvtgQ7yNNFL49Z7ljKuKkaChyG34i/f4K+zPHXui9axT6FR+bvIQUVj
NlDV+fVr3o5CtKW7rWVPk5/4u7JsnHu/cbTAFjDNvb4vdxE2iXW7vOw634CxmbrydnIQXlgGBJbK
7yzaE468tZgNvBtFw9Ck5gF3QpEdFU/0mlyHPiiEXn5LeYcfzE7vHrrMUU88SNEtYc4RKMHBZ2hA
k8gRnY8isC53Xms5Lz21aE/InonJAnTAvO7Qt+1MopBv+z5TF6Xp47exDLXHYmmrqr5PAR5qzh/3
KcM39X0GJAL30Zq2uqiNazvJtYcozFhk0FgdUVgPgWbL5BUUvkdix8g8Rh/sZ2uYxfPYauI5tev5
mjcVXtAm1kjOSbSNRgT03mXedybZob2jwQXbs8WMTfcHt+Ny1Xu7gBUKHvHGzPStXpYVL74uPSE3
NZhXxdUShoHYmwdxK+0KiVADILT0kY0Wc28FdVOg2Gx1xoyEwMzHAd7HTUh37GAQ+pKRTM2zrDxD
XXxNeOwrPHFSXiKv3a6ENQOxcG2IfmxWNq7OGxCHxYHOuQOcMhx3PXxce+UlvAwZMnP7VaPOIDHV
2Wg6ulKEpCKfA3fIEmgYd7GWfLTZDB40xqtqIte/cQFhoo2yB8bEXT0/MemzmQKrKQ3UMHdb18ho
ofoYW4bMTW+YUGrbwTKzoxgK+5SCn72FSKAFIR2xm8bteHXTIO13blNpkKyBN2UbOlUhDU6DbjDv
pvHg/whbJjigPk89er516ZbVw1DJcgv3mpCLpHS7EzCe/qaJ1LhuBxD3UZyr8zzRK2tCZ9papoGa
Dwmq9tDpZGOsUd2yYxYWzpGRZUOPOn6ayHzSleqWpCRvRDLXQI7c9UaZP+kDjxNZL2yr/cT40CMx
n0XRdBsxTfoH0enmsJJJZa000YXHuOOHmRi2iYlhUpc2c92jM4k58Pq5RaGPGhB11FjDoPWdUa76
sWKlKxlcXMik4jevWaRdQDN25INAX90ze4jHK8IO0nXIn96mFvk1q0o14b4zUvjTS5oTkGCsEih5
ljO6cWNprtGvxaBOEoDXQ1Lc089sA2amJTG2sbajtsfMZAFVfIMV4SGPLpt7a1xUVVminaJwvB3q
2V0hCIzXU6p98xp4SoYoX6whN1Y544krTiODyl6xctpR1249r52CKo/MXRgmgJTZl+BpttthnZNi
EbBDjI81ubpr8N23Zg0RH7Vr8Um63men7BtpdtbWlNMSCWY0By9mNO+q5GGq4E20nhbtWa3QNkN0
MHRkuVFIeedn3otWEikBxQF+WLIEQ2HfBiJrQezUvV4Dvl+LIHdrzrf8EQwF+YK5RF3CdEYOVcbR
OhujMnCSHCV6ZY3QvVUav0UD8Io/EqIGZIII/n9OiIIcfIpTp77FD12/kPIBsx/e0Wun1cNnPbrO
Pa1cEnZzr84OjI0UEm4/24k8HvZajExyg3RM3AoPuGuKc+C+RnMZjAXzlbWULTQfcpsD6eICC1uU
2zlyre3YZHTj9Dw5Rqkxgw/vkX60qjihYrP2KluyyjdThYuj3noDcUinrvxge2+8SsrxswF0CXSS
ieVlhCKogRgfpttQzfBe5thfQhu6bY+FfGMWmDiwsmox0IuWu7iRof0hYtFM6zFW841Y4qZKu6+2
QzK3r1BZIYNLIzavZ2g/r1kO3AzlYPkMSVYPV005WE/68oZ0jKLG1OXFe1mWwwk4sTiDv++fy96y
97JvpmNuR+MJDXn2SXgJ/GswtkteTx/ejm5dfBWdq6/xDBGu9P9DqIzMFFdEutFd0SiwmbOUglq3
E0Mwa714tErYSqRhGBkcoDEmlWb+BmvDezErtwyQViPsiHK1eOxSMMHFvGKPp3gVEg/AgBAxxMaZ
W1ayNE/3iB0Qlziuzu3lbXucqSqYelhqNZGJEnW12nRJ8aDlyYssexparPIreraArPyZotion1sr
tZhD5HQvUEE1A7B6v99VvlM8VFlRXfUqNw8tGdwl+3myriOLQT5weBQP3aQVe8olR/s29wyt4QPb
B2NwvKdeQzlO3elhIpbTytSS8DG3tP6KlyKD8rZN38mQrh7TJmte6gF5zK4GdmkAlG2SbDdWNhrO
jOEWxVRfXgQSw3LdoTt+y1oHgeFAhNFxNIdv0eRNTE0hs0nfK08WO9vPstYdtE0LQFfLriHC5EiY
LC3f9ZlL9im36opcpgk4WFP31zQCo+uUzdAqFXnaYSezm3MbOYwt29S84/f/1ZfkfAy80/wVwktk
pWGP2B+a7i04GeqOKI+fJJoaXlyuERiEu1wwPFQftMHeRNpNb2KW9wrqhNi6Dsoo4BBkZTWKlb3W
LBQEyzzbd6d+HcdNi24ox94UMupy4kHfqhFehM0Tv9e8Suzi2HHRsjhIpxHguoe48KlNUzP6sGf0
tFiXlgwSLdp6kXQfKHV4nzDqelt0wrCD/WchsVrohKbu+JQ/grNEIr7c3GtvgGLOH5EKseZlk0e2
AFFAZ5/Z+g6ZDFes8kj0ilIG4ZrPRbFC99kdY/GQjJj10iHhB9v6YO/A6cAZRK5kMzvtCXO7pQZ5
YkHObmStnGPTOAgBpt4J6rwM3ysfDFPeTh5tQiu9dmTI1HFBlK1MBMJ72TEvjcapvCtVx/za1Og3
L8kB3lxcwkRzbl2G1xuihcBqxaP13Ygwi1TpRMTGkCDlxah0U9o41HM7w8tbp8DFl3mxNrymeLvC
OOt2BcttgDAOgxMkpguIemefT/WwrkDb7ObRygmSiIhexngW+P5IEmI+PEQDKifp6s7Riqp510/t
W+yX7j7F5LImO10ymXe1PWrl8YqtnHucRMHQMGoy9r9V+X3o0zEBkVd/WE1av3YenllKgCbOPio9
TfWTUQ/hCWhXuqFbMvGwdebDYBLPuUZua/vXSY4wbl2R8ygxO2Lf2jYlbeS1F7f+dTm3+UNZ+IyP
ybLcxUkXbWpaWA+O2X2TEhOvrtiqtI3VHnU1fbo2VYOdm8ANbZsiqRlnFA9ZeoBGbgSUE3vNNNMj
v3/7xS2cpyJib0wIV7RnV5hvaHd8dmYybCp9Xvy7vF/nadoP0nl3KUFACF7ZrX5hDwXBw6VNpA2e
8QlzfTqJyrYCpyEPTc/K9gbG9X4EPP89diz71ibV89JJ/3sjhfYU8dN7NE23jTd2V2Gk9VsZbtBJ
kEGEJ24HrW8IzATrMTaQkYEyHYDfN0L/2gU1mTqB21qGUwCyGH39eVRgdWStuMgE98Rn5kcc0Y9Q
aNU+cqhufZdG/u8P93eTCWjuqFAF6H/j1yjuqG10Q/NmDtf19gOj8R0VgGQY6+q73x/p10zsH5MJ
xKimYBvOxEX/xSRPguIfTW3ApdNn96NJP4fDF0gXudK63DjTV9J3jqf095hh8L7H9Po/6N5bCynD
EdBvvb9MD1yrV5AV273lRuJiDxUtPViW/3CUv7uo3MKlhw3V0Pw1/VsgeBpEwQzmxzhkROS3RkUh
MSql9T/cv78bR0CZphCyaM1hvvn5cckkITBzPjFZwum/MafqzfGqt9/fuX86xi/THUb0wOFGnhF4
dWeF/1N4xeX3h/jbh4Pnj5xeHkUb3vHP50F2rTe1Zt/u/4u982iOG0nX9V+ZuHt0wCTcjTibsqii
NyJFbRBUS4I3CZvArz8P2N1zpSIveXTWs5iJmJ6WUAASmZ95v+etOcAuol43j3g/Ui0fxuRzjCPn
VpaDfhU11FoRGONCF6KSev9HvP70gDjY1FH5/nzyl5MGhLDr3tIqXwaRgeyvqzpnPRqZRDSTygNs
hN+2xF5svl0EkmympuGefnuS2MqbaksGRcmshXCmGzc23A/2k9dr0aKHbhs29Z1FqW6ePNjI6BiV
y2WQdFG/bmsmd6t6YMSPgub7j++NK3ETDGwIx7At4Z4sE2Yrk3kCrRywteGlo7VnqJnu6yZ9eP86
b7wmwxUMX/Cu2LleYBw/NVMZ8IW32QBNwg8J48RnzB8YninXiQw/QA2br5uN1i+XOmk2kqg6CIW4
VD+AGRYlrpZ4XEMKVv7AcOxQzp8wsCr2NkXQZiMFJT69keGTQ9y67WZEWCktoL3ZkksXTHoVVI/n
7Gh7aX3sLAUqZIznizAnGGQK3Vr1ESVjgqsO5CEYsKOL/9jliD3wvpx6J8cZwsVn0UnmD250waec
9N5oZVLc1/kADLA/J59fns+a5Zc9z7SNu0cfm7FLRvluGS1Knou5d499zsxTk4dPjVpwWtlE4qQA
fjjFNrFpzxiYUqzN/lPBdPa6g2NbVkCWR+9iDvEfLqpMbtsMf1rcwlzMlVIEwNEIFL0ZTPeopRo8
S1GJgAbXuOk6z4ThnKUb8nj3PMN+mBfsh2vFfr3xo3E9uxEWQtyhz9MysdJC1aR/BfhbfnBove6G
ApxZ6OXMn73Qmn79ehwJbnlyZBlQEH+Wqntm/vtKWNrOKipcrsbqgy3o9TckGHXiazU4o2j/nnyt
djyV0mKUPuhkvDzYS4YIDmNX/qVm+lP937chd6/XNZdBI8DqtliL/sllhMIQsFF+GdAuuanrBNfl
0ftTZp8Ity5Ivda9bX6JmvL8/S/Xevu6bEU8Ub5f52SZ+XUhi3q0y6CopvlzvFgDolnUbmjpokwn
OyQ+lcBTt102yE1eUg5DaN/QYWdi2qafZaejdrD0HoVxJ3DEogS6Atm7R91ArOanX9FKVqtRUfTK
3DnaMA3p7JPBnTeREd4h0wdSO9vwq7pUoIab62ib8nuwLKy/0900rlMPqXitRujEtsE/L2Z7Hbdd
unU113yQmIF88CreeuMOWCOg/PRHrYVr+HO8l+itXZTZUAZ69zwhkFlNo77PjG74YGW9PsQZN/p/
1zn1MxjqocgrfywDz8YBvYydBegcb99/wa+35uUiIORtiLOG452coLo060qiKA2IrBDN2hhO6eZj
leFWyADuB8qqNy/mmabHpBQSrtNYzmlqCtBwYKk0OcVKq+Bti3pHrZOuQZd88Pje2ggczjYDOJqJ
8GP5MT8dOvk0WQwsdGXQpM2N2brOGj7AY5U337sEhVLsfPAkjbfWhUv46GPNI0z3NBiZ2zrn+eZl
kKo8Rs9gGsgpIaDgbSU2laXFgahlt1a1b90meggwJKJ9F+GJdOFFXraDJTN9cml+04gMIyz13n/T
b/48shNDR4JHxnKyg4wqbDUUzUUwyvq75UcPsTncQYH+6Lm/eR3XYwDSQKL1SgnTMq0aow4tAnC0
9XHKu+dy0nAK7pv792/oteSGb3Ah3zHgx3+5J9+hhRmbHVJlDDq6o3FLMXcsb5rKPkJ6usoreV/k
/tn7l3xrAf90yVNqWDoLpulsvQhwFtxHffXdFzltHJzuqo9mSV8sNn4V19CWNhgqRFdJ2nP6+TMv
LBjHdgu2GXP60sV4tyW+sx5ySAiVgR+phvfKumBH3iZy6appxlKDbChv+UP7KJjHewzlIo036c2h
36CjHnfNXTQDJfPKPF8XYevtlDt6D57NrrlyypbSgNaqzZwVeTBX5g99hPXjVh74VP1LynQ/wrt6
i4Xv98QbRgYErGTbF5N5V9NeQEKMC9TvPnHLBGuKIJMUlDR++cp/+orDYpCoqibCnFRrscH1rQNB
nAoixsqrlQqtMXj/gq9XFbQfd/mEfVSsfCm/XlBWYhhAtQAI8zro4klVbGXUAPC3anj0HgiemHbK
vUj86IPF9frDgdtObQhWAm/8lZayQaOuxb1TBpSup8+DMxpfJD3ce/C56fffvklEWyQX1C+XsZeT
XR+tAzWkqedUHxo6nYNBY57ubrvR0rI54KfBQGGLaGbCIpxG3PsXf+M+KZMQxeg2ike0Y78+YZgo
PaXksgxaKDt7OZb3EYTqBeTffLB4Xl9JLDmH4SIYdv1XA+nUdduITyUPOB8ecUMZN6aneoJiy/og
6nxjYyBnY87eJS8Ed3hyT/WCZIrwEkQr1DMw6dBMsdKrcbSdHcXkb7/7AIVucWMmgS7KkNOdPEpy
XHNyyW3ZhRVo9VQSQE30adt8mQ14/2Jv3ZlFpYJM30akcpqNSvReRB7LdqCJ+9jSHuXsfUuVdR+N
zgclhTdObN1Cbutwa2SLp6F0YcUJzBjEVVadM3hTbv3KzhmUGSDJl8OR1sNHxaW3r+hTWfIXPfup
f5vG6BfTbFxRGsMx8+tnPO/vrQWdBZEhX8W9+UE8/daKpI5mvRQRuOJJUGITXDld6GaB1vecjUMg
RHaFneAHl1m+35OzAxYDklds6SgmnAqlB09XCYNOWTBopgYIrRSHWpHgvr80Xm+VeKaRExjszIQ9
p6chrnqKCV0jCxq8JFZUb9d52v9wS+cmlR0iGQ/npqn6YJc0Xye+XJWNA3Qu9B/n9FMLi7nzkbNm
gQ9ddjXmGIytyzqbL5SP8mYuEaa0k89kr1YJBpKBhdS0snV33ykZHXK0IbuRKsc82fLWx0diE9U1
uf6S5UObsc+QujqffHN0gggHww9+/ZsvxsMChQa/R6B4svEiM4pzupUMVDHWvU0nPz1qit7F+y/m
zVXGmISLK4yJpdbJGVYIyTESVXlQYuYDq24I9My499zuoyLEW8vMh33MEeTgDHGy69luji+zLNmI
VG0hTgvjg3L0j4zd3tqBmB9ivMCjxs6z+/W8mFPdVFGvZQgCWzA7LseUsvtuS3z5dUjF7xfFiOFt
bKp40RDqT5MUr0ucARFlRik4/LY8uyZxboomfHz/Hb318UCZwewPqi03dvLsVJuVgAn4ePLE9q6z
yaBtHtrfaKBWuyayvT/HvE5hnTrtB0fVW3secSWxM4fv6xom7RAd29UhC6LIvOpK7XlOo12dPmBV
c8cm88HV3lrwVDFJ+PAL8F6lfDn36Dp1mwV1BBKvcGz3ZjRTbfP+w8Qw4PWGx0N0TY4ji6mlk33V
703V27TRAvwq9AeQs9VOY4AIEzBryOm3u+On1MBDrq86wPVTmV3aYCv2MWOL23mqHcQiKcBaCQ4v
Hz00Vn2fflSsPrVUpJ1C3R+q8vJlWjbxz68LuYE0hoNdwWmjBK2/Tj4b3cJJs7yWeUvvsVc0G9w6
pjFZWslDNg7tIfSrLzEqLdydu2M9ghCkKeTDYdMg/sTcx/sP8o3niE6FEBTjO2z/Tg/E3OU3JIpw
eyxnfNWNbqcz5FqFOZq06fn9a72xEBf31iWuYACFqPvXx2Eak64LrISDOTS+6fQPNoWtP7cTGbTr
l+mWEaDugwjjjY/OoIzl6FwNIvvp8Ts0OVPbUcXtpfZnCBva2kSJR2+yWZyhJ/lJNqPcoLAagt+/
V8NgOoMGEwHi6U4pNB8JsddWwVIhlA6ULzBmN0wZ4XqURQ/AUKLfj9u44FLVN2HdsJWdPF0HBUEr
ZBVoeoQBkTGgNCqt7maUlAAKh7r4+3f4xpnD9YihLA42gsWTLxBIBFZEYFEDNURMZIlm3OiykhsL
lfv/5lK+7lse/Bw09CcHQu2KpCvAGASGX5XXdi4hi7mdc5b0hvHB9vXWGrX4oJaxwmWC6WSNDshc
S0DL5CpFf9+T9to27CwQOIxdyxuvL7vfTo7YwHwdg1rDpIJ9+gEaiv652c5lMIN7XenueNuAbqwp
639woTc2ZkPQO7AW32SmMpf3+VNiXc9Yh+ohKSCs48dIqb03y/sPloTF33EShv5yjZM1AcIsSwX0
5oAhHWPFZDDQZru1b83eCVdhjoNSwqz3yh5xn2+dNPpUjY2LABD9Re/BYx2NHoVzmaDeEApVq2UY
DG9PeYDBUHOchYhvTKb9meUewqeQ4uK+aBFckt1Oa6Tt4SG2PYavdIUrmNGgvwdHZNzOfoGAsjTa
bFcVLTCPQYY+CZSKrlJQsDsE5cmqzJLmKgbUszeadjrkDIFfDlZcXAzQQgOPOfmkwj+NJ5ztClo/
jEcj/g0QHOOWMs41hJXYZgAgG8+hUybrMQEe+v7jfWtt+sukLjER+ctpAzaHrNjiesNSqQEydbMB
5Ek82rV9RpL12CXT+MF399bhsIxnMDHokp2dnl81lPhJ8vSCRPoa4pi+qXczx+XGwmsmhKyIMPW3
b5GWxzJt7DOI8+o48p3JKzrTyoPMj8Q2biYHyjCvdMK9/DFtjDlAh/T1/Wu+6DVOVi3aG6wJXgxV
XyUYEQ7ndGbzIsDv0l8DpHTuRGwA2rQm+yyu8vyhNgtvkwokWy86ZS8G2VP0c7ft0BLttXFEMvvB
j3oj60GVQJi4FLTdV4dlpOy5DgeKne0comezIMKiSrN2mIu1QGIda8VKQT5l51s/amIY022G/FoY
H0Rai1XU6Te9zIUjx1gcT8RpbgFdJHKKLimYW04taimLuDmx8vkGgWVpn/G63EOXIklkzqJdRTlZ
p6EV9FHBHAzXozXquwkfy8+x4Es1u1n/zHdUwpBkSTE2ke1Q9gBB7+PvE4pMqtnDVjhpvEUwKDaN
VnZB7EgX5kzvbrzozKwy6w6fBnVFRZNJFKgQ82Ps4dOc6+6TvvCO338Tb90/JTNm0N2lQ38aaRKf
g5lePEzdPFN3MfO5AUzh5DEB7vDBB/7WpVBfojVgGp2K+sk5R5VKymKp2PuVFW9q6S0jParOjn6c
R4/v39bLeztd9Uu6aHHc0SE4jRdKzcn7sUjomw42DtkdDWMmPmZsAGDtDpvSzY0zo9LD605BUTRN
LboxO81fC3gw+7rU/4Nv+Nf/yHcFszSHj//fKIFXTvdXzfeoKn/mN/z9R/5tvOL8AVQLvCGHgoWY
icjvH7cibO5t56XqCz+BOJ+WyT+IQ+ePlz1vYR4s9E6Txfg34lAs1ivgCFGK0M8Rzu+5FTGZ/OsO
QvGG5Ic6KdVEy2atnaRBWdtzKkLCukYhYKX+mm9cyVUTZc6VH9ZC3AhHsqlVuV42u/Av59txccHN
wqEa1aWk7V+D1l76ZF2SddYtkKvF98v2Bg1fEwekyYpJCTJcGLjjdYfS/xu68ZFQg6kUSttA/xfj
hN6ooN1WsQkSH42ziLY4wabHIi2NH1ZUYmbht9L7qi3oV+UwDepmCxO/igD3UFi5BZQd7qMZdix2
SuDPIawvp4TT9ytpYrGymvO6sVezJTT6etpXb0HTFguktlxwtYh/k0OyIGzVArN1B7v/AmLc3Aq9
9mHPlk5827ywcNsFizugLfU3+DQXzdaqueOVx5HjbVuZ1xvkt3jWhdkuGpJo3VGb/ZqMQ/epHZw4
vbRNpSH9rt2rhEmeEXdkFSfrnNndNTOeMYhvH3kMnV+ChjvXZuBqw5uYPodTBU8fskwPeDKM7qg3
Eim1FRgoDpgY900nxC1mVOozwZ1h7x2h9Jfp2q3vsKuvdZxmjR2xOXp9JJL149QolAuRTOnqu6hL
tbZEoazZHsraIpxhKWcj46tWvgCYUgZFFqAvvLxNardts3Fyd3rq+kk619yJqa/NbCgUpDzIz4ne
43CrQ+3FQCT+AR2PiGEBRreJ6HdjZDkbW6JG7avYvZEzrphM0GXRxpy66iZbYNRTJcIVI6TGjbag
qsuhcI6hAJa5zBo438bahw7JR4NRz0K7jicQbahzmbYxkNlq9bnAL2u60Mted+sj0oXRqxmALlvP
2/IgRL3GQaSsr0Um4+qA4a8BKt9KJjhhwOccDKmLVpyPIZUh/GBKkgOIzLgriU0x8/Ru+hYZMQrc
wb0r6hL5r6spv37Im8FFZ1G1i9WhT2Td6HCD15ZSi+jdBPV0TBmi988drJy/FRJS1jrNXeZOcxTT
2vlgJxHWoJ6qLlvNS84hvcVnTliOzzCpQYJm7ci0Akjr6aAihmCR3mPXtdJyZzG9YHSNXpkOZX7V
GRN4/5FZtC7Qm8LdlVGSXFNOMOZ1LAckBVUTMsBahTB/cc+dkm5DF68f8beoh+F8npNebkxNWOsq
5m1uUEAMBpxujfQ81UqfQb1ST9p1wxive8F01niZtzbS68ztN3GEDIcVJ5jFSd3a2+Sam1xqVZUj
Xw/DPIbKpTvNBmef8bOZtBVzmFSEj0Jvb2fVpUyw9dqf2uyXfFOaUyGaBrxqX3aV1c471D1Ft4v6
qfqswkpnVmfqma1lEr/aC3ic5Z5/iHuQT4TSBexE052Qi2MxwRSmv0mem84+h9U/Htw0tA5WVTc/
UMt+spmQOLcSu53vhoxBrGDMGCw5NOGkNl6tgb5sWx1NVmreiHLkewyFD0gxfUmceuQ4TO6m+1lZ
3jFFFox/w4gn+7kyxurMtcheN1wp22NEAxTBiEIA1ryrirlmOMvmLKwbGkj6sLP6ON84fmqeVQ5e
ApaXYl6rgUyPNyJWxn09i2SjW7nJe8byIP3aSDd9TvVO+wQhdXhqdTU026YSgm9NKOYa0tnCu9nR
ukPD/PY6t3oGKpy4jZoz/gVBvZMOdg753IEttkJEXMDcbDVI6PDXgMwzGTvlAoBmjzjNbB2AdLbT
RBbOWfXAaECD4VHYQa3qVpVd9OIC9++eSeAyzO+NKbIesFl8FCxhJvJaNHDA83UzwMPEvXHsxNhE
mORsOhPzb8pNrr4t587c5pqN9rdSo7oFXyku88Lsh1XRuIVxge8Hk5bd7KR7T1bWZ9mpz2TODILg
qYfduZHgirsGldBhdD6kClfoxWJ6nowWVG0FjALXGBXdGGoIG8y2RT7NTLhDd1hc1wUDDuER9Obo
XQovM/4KJv+Dw/oAh2Vaxvvx1OX38V9PVZP9ElH99Yf+jqjAXiHHpb0L/3lhRi+S7X+IWP4fUE1M
sdQSPThBP0dUmNzSGaPb51DzRRxI7eifiEqHQu1T+F9IRjbMH/t3zOxepQmEdHwP5Mm6jVD+tJNg
DEi9dT2qDrDtiFSyMrKvrGasL19y859Czeu/8oF/MQJxjeqoa//r/5zEbsJbwkffoIy95H6vylMD
Fqiz9Izy4FojK3uYjMu0t/yHiSdwLikObN+/3lKl/CUrwVsTZphJUEqN6lXdtAE7y1auc73C4Ase
9RrT6lTNxmXHMPWh7ELH2lrKM+7R2Jof1K9eFVhsZh5IdKl5OHTRTlMiqemtqnBbOMxN130jh20d
LDcG75wDTd0yleTj465/dMtvPGIEvSjaIQi/UXLskC42o+cWh6Yw1DUTi923ATTlvPKTRl1HOtSz
95/xqwvSwKXSziICcY674vL//1QJTHVN1Wbb+EGshZwZeHoRR3T+tvAs7YsVDs7T+9d73QcBBkc1
lXkkmnkUdk7yWrgwuC+HCj5PpQjiKQa25tU8S53xnFGUbP99Ylx6OV1rd8qMWznY5UNZ1+64jp2M
WbDIbd3bbjIZcm6ImodVXcctLA5ffZ5M74NVAKvudBG6VKDMpWHG23zdTWdiyovSousD26Xucq+h
cgrP2ijX5S7CcXRTyMgYj0YVT3lESmIb93yD063m501ggoh2jknrWczT1zbIw5YIFXEBa6kNzeqs
YHj+UiXMcx4H3cTSvWwG47LANK9Yy4y59w2jghH+dU2y2MuYs7erbWVcao2rNdve1auzWpvUrQGT
4zpMfEy88IGr7K/eQIS1cZqZMWEvk2Z61li2unbYJRxgI0PmB6k+aI9pHvvhrWzIWIg6UgmxmDl4
DWcLc44NPBPhMUMoxvgpVRed8AdxA8ZoPGcMMk/WDvreFeav2Bu9bATNVPCdwv5U19rYqWs/k423
VqGsn/rUrJ/mRrcONFiJidQw1E804IZrvW0JWH05L4mWnvrb1GjsZ6/R1W3V5IYJET6sn6y4U7ea
1FBEdb23SebEfsYq1CwP5eSrJ6fqAIdTtqoQAIS2uu1Fw53C7ECnRslGrv0yCR/MNMNVvvdG+znv
eY7ePPDcGmHc9z4vbfak/wBqyH52NEfdEhn7W2mNWElOVdJ5a19pWNu0Q6hu/1qrcRphZhtbydhf
4ILWfsvTClYG0LX6yWSmvt2345DPa436c3xk6iApDpnUZNGtqEF6PbhWM36Mh9F/8Gr2002X9SDt
ikmwTobSEc/QG+oniDh8/LLwz33Y4A91XhBsijJhZais1tYiUtVZw6BdTmBdqeu+n+pxMzhL7srX
XT8p8NsFeJVslruhb5ZwKIYP0sdpwqhuvdzryOzdyosqSGLL8xfA9tZW75FGAQzY4H8WtzglQUx9
+Xe6MCwxJtVT9o05DjTu9SZ2u2EzRr6/62XLAgZA4zF3l401alBwRGdGO+j1eiCjwOMDfyP4YK7R
WKuOglu/6nKcYC47pkFrsBBFZqo7eNV6E8EKUkyh5iBhVlg88QfKPDH0w2h0LryCqNDK+NhSDdD2
k96n40ZSxQ1vayCzqHiYXkQCEjOpfW7O/vSEuh6rmgk8FxSBdk6ux0kzx8eWxx/v27Ic9q0ZlyNw
nozclKLCutKzhCx1sHnO7X1thfFWJRN5M4PTO9/K1xJm9mG0pNjVXmpd2qCwCQTHIGSIDGpYpe6d
osfyq4Yk4ZjahPMfZlgt00OfkQRJxiYmZ9Xh7nClOXF3O8YSC/cOaPSXTmS+YH21o7WO/ESdDa6G
bMirIqjyulnlK72aL72mj77Jlm3TKRL3WCYxNol66WPCOIvp3Chx3luxdttqRbs/2Zf13H3zk1iO
m1bDBW/D4vaP0Hjxo/TF0PorRizCB6tsqQUYpCl4QZM5NPK5NNz0kj6JLQI5WmzZSAxYdI0+sKSm
zG6/xQb/Y8W+rG455ljLJhO3SeBoIaf03CT7qe3qJ5ve9wNEQFzw3MgrcLkYBkUiFocP8MQNTB6N
+gnzLZXj7jk+q8qLHlLbYcOszOweZk5KA2Dmw/In28Jmr01wprKsg1cvo8i+H5YbjtHq3rGL7Zyk
5QbjJxHtDKvwbIZaZ91/RLFtfCkaTaN9EoveO8C4nq1xbdSt2sEGb4DxUC/9OkeD7dCHyo65X4fn
o1ZH1zBU4kPk+ffUT+RD3jXPU0FFgSVoPLSF32/SnucEZZd93q6N5OhXtfml10KyXXjX+kXtj+4d
1ERsu5IBU1ur1zCiHKWx5rvEFyCsGm/nl2Z5pRZxw24W5kMRg7erVIs2fCjwnhSTKRlzzYVNimKF
5SVWROJrblj8+zUnVvMJwqgZfvW9EVK4lHVY7WYPXtIKqm8vQF1k2jnuuD2PrsAyYO7s6POEJC5I
ROmB7LB0XCy7ZO8a5JDryQzbJ/juxCJ1Z5O1jom2zoyB1yp9v9kmeSvYLEQeNZc0u6fDZKUeHhCT
/9AUVVpsKBm03/Q89c+Z6Gd7g7/DopEQxW7bCAxBpLRlKfXU3jZRXBmX6PbYS6VjsqenPn/PYPJr
nC72z9uRV7POc599EBggv8n16Hgl9ZKFx1nJElRWRNEjr5NiE5kZ+30zMOAZYyu7HoCD0Deh0XHu
13jZph4aB0DuJpuW5UKkYmKfb8lmRHPvglsPqoYLW+EsnueJvsf6ZQt044Vo5ULZYOmPeh5fd2PJ
JF1fj9Rx+l7f41M2MzLVae23EvhMvTKshhVhztJ+dnPOR+Au7NMFKgQM+mSFo0Xe0XY4JhMpyv6v
n2WUILj3EqwH9ShN4/hyG3Z7mTdNMEw9FCKQZ/cF5pxbA4O56WiOJlruVT8VQl0YDnDItd741dNo
yjq+Mm3Sz21CCQns1DBzybJJJpd5tjpvOS2cDqPCVR4jp8lXo6cD3lpHWBgf+6zF6TGR9nSHean9
5MQGG+vUaOn5WDcKx8ycFJ8jw4juRxfXFfbN3DkXMwIX9kXXuMOdWT/Wfaz96BrJBHo/4n7BbybK
STTXf4C0wrLAcJ6TXDIJhBZTcjxFjSqzXeMKuACRSpYnKiveeG5PHOs98+ccmA1b1V24vNE0tXhN
fcGKy1teo2ZIsgbI3DokSbtFNr/NPTvUH2DwoAPnORFa3jlWovV3A0hbaH/JGEexd5tnaPk4qmp/
tmqORjkluwkWTWR8Sj2i5Wivxs5e0SlSmPfiKZHoWFOsw7xINt1IT3R0cMwrNJ8YBHdvHfZIE19a
BerIRIunLf+RGyVsulXpXF/w+uUtPJz4kA2x9llpfnKE6hWCB6fsJmiGBhED6BRjXW1Hu8bmPqSz
wdgqRirgn4mpDbGutm5gWiUbq4n6naFHxqaZjWLVKCUP1QAcNOpy47YUbDErwhAsBIYmAQZORNI5
RfZDS4S984YqDPy5wiK3k9hv8gWOVI7KH7DBf2j5dOUrMR5Y1wQGvdSv/K7Wr+wCzPoAzcxppyJA
kSW3xMbhnXL6aZdyiG5SGY9bJcSV0Dtxocy+vOFtcy6XKj9y8oG5LBa748W7xSsc3A/yi54ZMJB/
8XSlY8L3qdac/qmpTOuyGqiqrBktJoBUEhRNzpD/cG0Vxi2RHygsDZie7YT20bIGCtQrTKVTKmal
O4oQuEQ6f7elwwsBPRllO9u2RurzzLUtcmptqNdYKQKxn3qobexHOjsE5xW7YZdWZ700tYNjTbK+
aLOcRVrE7DZUcVmR87D0w+Gux+31hNtJsh4Iuzfvp1FLlvRLaszoCwkHrRQTQdMrAeE8mKnPiVcH
tf0S9A8KT7tmCXzfv86r7IduJ1PeCwmbzj+J26/pIaQnnGqrrg7ycoHA9QwK3kssGPIV3FkAqmJJ
XV62w/ev+yr157qIGlA4kpm+ln2SkudWWqk6gEXqPHdaAUC4BT25w1SP/asqyunWcWL2YjksUe77
V1+Gh06eLo1XsmI+cH7EqZxpalOqJ4aDUgzrFSiBXmPee8uuiyMOu32HmhF5Tt2QliyRN+QCNveX
n/Cfit0HFTsUSSY1rv9/B/T+e1l+b9vv338u2f39p/7xeTP+QErqUrMRS3Xtn3Kdr/+BMSHjjib8
DwtBMZ3WvxuglvOH49EA8EjyBRrBpQzyd7nOEn9A+KOlutDAUY1SsPgNjzfhvpJFIXd0DJ/ZFItm
KtWlX78oFxMjLWaG9YAJTGvUe6yUYIsvw8mY03eF7hkrfOjM8ZzBL8ydWjltjFZZezcK3UAWIlmF
dtgWWxOtyGUrhXOvMj2DFaYDIAOuiMtvQ+k9ctTngk1fbibmO579qDSA5un5uvftkYwFRQ0+tt/6
su4Og9VGezspweZQK2BSEuU89I8e0o2OnzHyOBIHX7U7O5bFOi89QoOUXggTjd5z2bTFATshfHkT
Z9e3JItg0oFhpUl0BTzPC8opye/N2BqwPwIyHCG2dKrPMYY/e3PQ5mM7IOMnSHOcr/SGatCgBTRc
yu5RdFE1E+6iaeedQ4zRb3ugE5syd2+G3vAv9NSSOFZH0Rf2WsJ+KxuC2e2HTQZbAPWv3uwbNyyD
MSHabazppqor99AQVu/AQYGz6QfjqnT9Y1RmG7tS2bXmhZw/2H2ujGn0QMuTMvWZtO8oXJTbUQp9
DatQYIan2kPfzloQarNxZNRAO+YtMKDMlLS7OFw2bapXF9KJ3XgrPY22L8Kge4MIdYtk0z2HFWfv
gUEWO5MpZf7Wdr6pB7O9cBMtXGW9ee+oQv05Zb2zbceUbNPN2ps5C/mLJiffOZTPQECq6VYkqfu1
DxWmKtMXvUjavVFbKQgEsHeE0OHD4OF0l6ah840+YzZdwC9NLyKbFjUcuAX3rLpii2n3sElizwta
p2l2RN3JZtINc0vhm9l/D/ZvQ+3hq9eU449onPzdrJfKW8sQ7CTfDY37aWzz8ymtP8W9gU+sQjOs
Me1Duj7b+oVWZcOZp3FMVbTjIYn6cb0F5oJTkRl6m3jOvCOMwfIKqGd1wfb7KVZa3UEfFBJhd5Xd
qEpiAQO9+cosGuIdmThgkXNBawX9TeEGvcbw3K5pM2JEvxdZtp57NR5pz+zS0qRTM6vG2sWi9tam
gdsUCEwTahl+VesSOCGEKUFPbQ2OsyAZ44wlYolcckfiIGXOxbWm2QyeULWM+xIymGM+V7l0w3MJ
ADc+q4380Uka97aobHxWPUM7tEkvQnOfd1ZKx3Vgntv/k5RcJtsonOYrqk/tddubXvGnj2H6fC4A
N5dwnz7ZtbKuG4RQDZr0zL0XYZtu/aYHvJaX/nGsXHPxgGrzieqBU9/WSitSYrRpiIJauFnzycxH
gWORDUMJf0V8CSsqA/gWtxoJR4phOxslz70Y6nkXOmnpcKpGof40Uxbo1nqtRZdycgv3EayHKXHO
hsl2Uyq/D7+locTNMJlRouOpFdN0FVu9r+5YuXa28vyiHwExCQDgaliCIx3Xrq+uFuLU5kGFqXC0
ykdtVXk9VL+/ylEhki5xAct4KQtQKc0MGA+rSp8W1mjckc+VcgQV3LmCKQmryyCwKvql7iTdcjNo
YAzpQKMX2ZZ2xiVn0lC0AEoni0CkUZDt5lTLdBzo4GeL5RDPaAuvIPnS4yyiJLVWA4aI1RWJpFkh
sutlbHVnWT7a+oZBEI26s3KjrR6XzpUiUdjZYuR/6vmQrhqbZ7x2GDG/RxFpnjWO1jarrGokHsOF
P+5TBMYX2DvBpUkQuAlsJjd2losOBofl7nvDjPelO3j7Km6y69LMzwG1GZiaGXZ1rmI7PgupgO+q
sRMQpEFRLX3QpMaUu+xpyQI7O3ouQGwNJyq+1ZT9K3KSLWp32Be6C0QcxylE9YiLDXw6bW3laGV5
SQpb3XpwIS872khPdhqClgcVcMZUgrXKZWNsMiWifdd0c4serM/1FSLb6U85ya+cUc3l0lcgJlsa
y0OieytTlzpDxka4o5TrfbKpmN0ImpscDmV+yKnd/zd759Uct5G14V8EF3K4HUweDjMp0TcoUgEZ
jdQAGr/+ezCydiXan1S+39oq2WubxADT6D7nvOlG9D79i6b040Dv8mnGZ+FWRQZm+W58YOuM0KWm
+sfcM9I1wxT/ZTCaSTAPM2uM15vp5BEofmbE6uONNpEuNqrszwQk8Og0CLGZhW57rbJXU6/PWYjh
HHyhbLBsBFfRfAvInTHSDHZdUdVPsydIknMHCdG3mndYnjkwT4wRy5IOJsGIC/cNShosWNvJ9E8p
iqcNLDpnXbdMykeu/zAFuNiaRpqsYjNKbkGzcaOckxwb6SDeudzAFgUM3ozGaCdsjbP9EWofPReZ
cPXr4OPRZHi48A8S7Y9DIN4mJ79z73aN9YGA03pjBgKnNpLptwxrcbEj7O8618fmmTTK5izbvr3F
oSS4osWuwjmpsqs8mZDWWslwnQtnDh0c0ffFPCAottMrZSdIw4XUr6PICPglnUslUM54u/tCD0Vp
6dfdBN8hTHnzbx3Mlnd4YbSvWK6HTefma9Lx+ru2c6ZyZZe+eyiDLoBDk8wnI8vF24ij3aqeSn2T
K6ETrxB/iKAzhZgh6hQPHjMrTVmb1Mxbf4WbGXaUkb6x27g+O2mqnyytY0bF6U9zrGHBhwTVZs5t
9E+aKXHsgQjTdSub0WKwGLp0A27oYQOWh8GsD22xis2ePnjRWGMg5xooZnnvfeYQvNTt0K9FBHZg
Tj41hZ1kjI6gtXK6tXmAl/ngqsR7IJoBsXfBbJnswMfOVXX6TYzyv/r+d/U9aDnF9f9f3z/1r8lP
pf23H/jOb9QDAqV0usNFebqk5vynvDcM+w+014gZEDEtBEd62e/8RhM0nhPjAt5/r+u9P3BPQoyL
QtxZZJL/Coa/wJY/tIw0x4iYdJzI2PFgj79vlMkUTROhfHUOqlmb89Afa6W2pQuyU5aA1flEgkE4
xHF96hy7+2wolZJEDGynmqrdtw2MHdxYpttMStDX1JjuE6Wc25I3nxJKFFMawQiDQS3xii7R8ETj
veapqWIGFgwA9k9JNAVlvZclvDk3HgcC3Eii0G4CEuDLo8AJBTU/LnjC/2rVnkrlnggQiDuH2JOw
Vw6RN2kZIJXfDA/1wEN+0CrqjA0+46a9iTOin088S9uCp0e5qXNZNr1ad3lNTN55XEtUf9+WdhnK
sUivo7JMdo1nzla4hI9gPmlCmoJRteemxLqYpfY2JmX66Gd224SQjTJqPDhXU9scZnhp20RE8hVC
QrqiyaDyTfMW0JGyP8QkHaI+gNzsmdWRHBqkVfEKaulkbsYRUcfJJHsFP6KMhIHrJM4H7TCNYlTr
PNdi9aAhuZz1tR7n6B8ju3ZMb2dCjJS7IdKJq9wzOiNhk30IZ6N8uncLMurONQRAuh8cNE2zHL7p
dv+3I/xmR0ATZ8EC/v93hBukYz/uCH/9wPdmX//jotfVTQzRjMCx6Or/4uf49h90+ujg0KW5AWIk
Np7vOwK0ZljIboClFhsSP/bfht//AwKujlMdfeiyafj/puH/mzGQBxkbtgPd+OLmx0ji534/GrUY
3qfjHBjR1dHazOb8Pinq6Ii0Z0Ai73QfIEITONHSphgY9Rx9LGBfAih1Tw7hzy8IILoPtJ8dQi3d
/A394/2cjU+3qPfhY7OZouKGpvQj/SNAaRUZY2AfssEWrySITLcNJe5V5UwL9pIWakfQ6bAYEWIK
/8O3+A90Ipw138/ZoC1BrUHLqeNyg1/Bz1ePErOoXZk2B8hvH8smstg4ZBqc86AVS2YqfTLJv9QO
lnK902QH6ZORtemf04xAFSk4EUv1rKxjTKO+yV2Jr3PRynwDQOBizugT5jpJzzlEY9lf0RUT9qzX
NhQJufCIysAIQTvLm8RU4NIeWFao+w1psSP451pKIoqhWSdas7LgV6wGyuwX0pnxugf/w5rfhzAD
HAfvsZD3Cf45W8Lgq2Gl9RaOTjGwWEKmUJKFVmrrH7S2xSyQXk5Oc1uE9tzQhSCPrq5b6MigAdoI
tIHb+15pJVE+2mxBgobvvJo9NvMVTkNJWCdVEpbmpD5W2YKbaiRiXDljFsH1UP0HOOkeujq9GHVK
q2QiLQdv171PzARp0IW7m4h1CjXijLsVEtkGDwQtQ4kKf3udxY3+UgjdXQsIke3aT6ZgM0qrTbcD
JCu1SnmVID7hd7iKmgaHjNlO+kcDSvWGvmyUh8AnBnXNeKW/n1Lpk+ZsjV20ShkCbGFwISypoj4H
S3Hc2tA2djxbpwoh4riK49QcVxhUkVvUztA+a+K7986A0oR2B3L06DgfcdP1N4njVrfYAk9bykwT
1jSO6Cu77TOIQTqZ1xglt9u2H+kpClPbzVh6f24wu9rmeroN+mFY86YGByh95f0MRQP2gZDZcc58
YhaIq3qFxVDv51KfN0FR93uVtgICsNnHFIqZSZJSM8CNCIem6nZ0WsaJTn86wgIHMCfYde+T/kZE
t+ckX2wOohtDGBNJhVi9f8F5CE4B8B++iozbaOCNGAcuNcyOtXK91s3WvHsPgO2wCGSeSgC2DEPL
8cFoy3SqV/S6iAwiK2piMq8iwsr8us8/V1kSpah22mxn6mL8nMOLNwDOibxNVnVVD/qSUtSmrwNM
5HofVINt3sCoj46znK1DoVvZ8HHh+QRXyjHF6wwAI8MokND1PaPR+k9VJLNi3QYQoUO3F3a66WVb
aRvI3OoMbwXn1073emMjGeilD8oSSpEa3oDkaREm6CtRtWW8biVMlj/tYMSvNceguVqB31eLmyEJ
NzMTGY6CvrpqkzGt141uideOMJkD6s2CpT4xOVCg1vcUIctmCEmehM60uslm6V2bUjRBqBFKDQd+
uTeVRMztotkYN43TRd0qGewOZaRLam6bDnx6jIdIaBLTvE/FiOF25ICSDku4T+DAMl4nIy/yptPl
pMG2mOQbUnGpnxFzO/p1QKa8hF1Ti9e2KwJaQg2r/stWHnDnSWgvao4epBBoVOsHaF7m/Fx0lrbE
TIzWjM51ikzsNtecBIZ6daRs9fro0/zylxwejc06YgBC9yOMeRw+VvFUpOTfaE71KlXPVEq1c3cS
7exeN8ySgd/EILTtKPs0W9laW+8a3yxuVEWg3soVJG+g08ymO4zQzRtbCF4sqsripkVGXYZV7ArS
htQwHCbh9eZKH/qkvCohmzF05BOwdsvaPlRQQ+mzm3bCT95yIrmuutb7UxuqkWTklD4qLBDfGGvh
uwqT9ET5CGQbb3wRhiauE1cF5dp3cfCKqOLJNKZmy8dOvHX0eMRzuQcS0zJnB0dkvMNG1SrWWm6T
GOMnfkNCtp+WAykRGIzaTCy2htTzM9PliJB7wlqvEuyVH81cTsRsJ9L55MCjwjnEMhLmJ/kmM4WG
wTyg7RUm/+JElklyJb25xYS+8YvDhO2Ws/GnFvK9VvQHPKxmb8UC0h5zzhnciKxAre2gASgEWvZM
WHBd568k8TzZShFApQiusxS73+BmLbmDcxw6sWNvp4gNvyut7sPlHP1f4fibwpGjy/6lWO7Da5eA
WvQ/C+b++rHvDaVB4jEWulhpkasFiZuu8a/ykWrtj28auosg7nvlSAO60EAXtiwhtJd68zuz2/kD
ozoDiw8SXXln+XT/AioCqPoBhIRsDQEYzwiqVoAp3L7eFUcoyxqpddK9K4einMMqneRdC5XRXWF3
2v3GM/znOvByMerURUceYAeNv/XPlVjsTHbhJb19l2iqfqlsYT4qQi6e87RnjoqbSf0Sw9J+DYas
3f+6DPzHSy9OxgvRGgv/dxBzquXG1AvDvgNi4tJBi/RkUCPzHU+6jG/9iUkw0i54LF00s5v++vLL
r/9v477cOWadJug21Qlf3PvLm1YaE3hVWHdFuRDofW0Aw9d7OdfHVCyXm0omRb++5jsbq78uylKB
VoxAwXvvfkI8WSTjOjDv4ByZjxXT1oNZupAzkXXC71z4VXbKSbGShkQNCQjff3ZrWG6FBiktbNjL
d7UXZ9O+09o42sxodV8hXXdNGDmDbpyGOoJNms4CpB6iGzPuCVsZ6zc4+c/sgG+3gX8srHEcK5bh
x8+rxh99S+KSYN5h1cBakQWeiQUxL1u/QzRUpPh/TQsp8NdP72d0/q+rBrweHkMgeOTvFoyr6V42
Oa1xl1GxP1YUHEwZquSrnk3N3YWd79g1KWteQGl44Wz8+vp/fzE9bE4wVwPdYN28f1c4nCrkp5Nx
940kvLwwilrpNh4a4zeOPAb72fvVaRHCs5hRcUHsGn9+wgQVkTijS+MOy0n4z5T/+XYgI7SACWt1
n9GO2q+D7i5vpw6zDSoTL8slIC8Dk/zN1/1PN45hCLslFZb1t1VrkmYaNHqk38m+4SWxvagQVyaY
9UB9S9Tarx/zP70kC4bPe8n/aNbfdc5GnempZg3mHeQuUooUIWrfmM5y4b2XbWYfrKGDCtekrHIy
bY3rcggm0lwyQxtXRjaLk+bCK40bhwYrx8PxCqPqYHNhyyfJAP+1UhlvmePj6I+wXpfF9tc38c6b
6rJYPSYTwP0cFczO3r0iWRFH0leBQYhMhmRg9qDtXdYNoGv90ralFiJJZN9TPMALiy9OZ6j1uNg1
+/rCp09zPON28zjDEjTgun6+cON//Tn/YRf0GKZC8bH5sI7+7mNqkLEG7EuMO2f2eCAXQjm0z/rF
0CHuQjb83cpmvPrzyl7MLDDFwg4LAQrci3dXLPvYzPRcdXcjbMuT05fOK0Lk5Q8LDqfUrem2tVzo
klEawfjRhywBcQF4fkhpjTCHqFT/2SIr8TbT2QF0jZcgxd7gipZenC6PCO0khxfQDITRwROni05J
g+F2IDFmkebJ3/kTcgfvb4s74Xu2WLk4iEAo+fmFnf088BpUvXdIT1UY1Gpu15mnZTdgxKrfVwNk
fxSqQ9avTQdKLLhZGSXbALFytiqWeXWoppo5bWYOG70k4m64SGoTt5OEDWLCQqwfDJAZOeYcwEJK
Rg1WXBmTLecJQad8UenioJh0a2ZmvBnZIuHlCFjUvBlVq+3X1Z1cdL5+V2ZX2JmIa0JPPLgUooWI
X5uF9tFQXk7vqopPet4Z64I6IFmZap6Jdp6G5LNyhHKPJLRV67Tn/D7qAX6kBOVl9TJBAnGdLnJk
e1EmO8ximhVUUq1+llUBRZ+0KO8huKRzNxni/1VrDg08ZidG7RsQodPSZ5r+W6MVKEgqstjy/Qzu
ZC6EYeJbTciY2oEoSvvKjCXsq3ogaRwWz4MaB0OGnj3E7Z02WqisM6evHKArE1oLPL26vvXismhD
kLuEbL6MEX2cSI7dnDXiKUmV7gqEVg0sa/zmCyvYeKRy8OnQErx2gU2ZUPnsNpSAbMTDIp/oUrJj
VsrrINRGVqWFfhcVYJD4z3pXDH1yyclsJAaa8PmbQhzmInJx1xLNFUJuROQkRy+K8jqd/IMdp8k1
Ip3+E+MmVwAtJvpOT2knAovMqNa0GXIEZAM2on4ZdX3+aHR+ejQHH90wdcAbsnYBRN90O8x1oi0z
ePEnOJ3zEUDYgVNdJ59ZKNOXWEbEwM1JXK2XVMk6TCICV8HinHVpeEPIwip1CwlGNU3+StFgrXzR
f7YbctUmRvT1I/L9ND8NOG/m9hGD96B89AZE0gELoFDCW5deiTRx1SPr9d0cbUwQmfzVgKfs1CHm
B5oBG0Rpirw6lK8BwYXJ4Fp83Bw/YnjRqvS3qPEofmb4jSLPedKVNoiTHmM+yG6v2a8Nwl4MAAjp
UqsSQ6In1A58YyrqORQwg0eQ4S1k8UCwV6SKVYnqntjKrV01/A6wdkauMEeAFwwiMFYpOp5Q11t/
PQYjy6uKO776fGDLTu34Tnr+3IezQqATORhsE9NNvYqChd2oRFx0kQeOptl97hAXHFwJMVmz2Yc8
uwTdaVF4MMxJOj8sMb6FRt04fDg6DvRcEL2e8dXx17kqxSmvcvOx0Z3lPyI/46rvITsAehL7xGQs
YKhiGD3/JJ5RK0JhoPAxdZ1/MHu5yLe+w8NpTU5q9DUW/0WbGNk17BW2mAsBPr6oijwx3f+lVdfY
US97JDWcfxU5HKJe1rT7SPjd5yZYHuXC7XjsOrnMP5ZPW0oJtwL9y3QrKDtNhnKpuqXh52/zwrXb
m6rMWywn0bbhWmFcDzaVoTJH43EwUI3SOKt7mdJuWESrPMJCmG6Re0GNv0hKlMmzN0rFTfFKcqU8
GbrP5L5O99nyd0NLEvYqzqg+9XxAOlbAhQet6z7XC0m+CeLmJctLqt8p7dT9pVCY8waq/IVcekGC
M+zqX9pFwgrOn33G14Z8QAi21gHSkX7NWE4LXREBjbdFLq5YRnx35vJpK4G6DUOBFkdrPpGe6RTh
glnUxjHy+iUiiSXFlMxErxfhvPPqdjMTqkG4BFzCpOWTD/zMgLMIJmSEs5PgG14KHLmUKvmc9Z+/
NT8XqqnK0P+vob7bTJC1vEE/wwQd5oyj/KukdGzmlyjydxw7fMDahDVHOnZFIi5i9Oit0BIuXl1e
IQxHs2k7ALZRBnHyYMcw3vn2iIgt6PiO6sinuOP/BmRxtJvKdtjbxNKqMFhMd4YyKAyAQw8u3/R1
1VnegdsRJ2vQ3PtUSUIltaTg0w4yXfKuOHH7ZXk6VWFc63HGyZQTct9ussGbbm0cwOW5HmOSEkoC
w6nSXLT8TI9m39qAB/NhmM8xpCFykj8NP3iehtR7JHCewOe+0VFoXAQjRVI4r0nJ7HU11SX3f9kE
8sKa7lWKHUdYwMG5wv4EM/mAN6x2l8uXI/q+bHnrix7tUUa85ylY1HCU+80eaIJvlfkZxhIc5DyH
kRL0IimEmk4mvIrd1xY7y1OuFyXkzHRGfRgjwLlq245PclmJ9pQZ3WlM2QIcA17FhtwqNh87buLu
NmAYOB58YpzBJhqbrckUEVlTZHw/p/084TNAO9ptZrdfNCS+pAYyIUw9IMJzXi2smB9NzacHCDLa
EPuiirYWorZl4v+4Yp8PYLCnQf3ixjXVe2OMCDSXO+QkokZeLPiAH1BoXRreGaHTy0ygxCNJtOZj
ytatr0Za2kdJGO6jgC1rbfqlSpsBHaCDL0Toy7GpZp0VVRcaPhd+wr3PTh1cVaavIRI1S4bAkk5m
eWptPUzBOhsNZqDt8nESl7vI08h+rWXP+0oSLgHOecVrBcwTrT1rtqCYEoLAQC5mO0oh34ff6NdJ
1zJFJ3wCj/cKfPo+SRd5+Ig9CkN8B22tQy6hcz+1IxPnCnLcIsvUF6XjsrPwXwfP1cIXKwppI9IU
mthA3x2LYzm4/HQhE7N5MHSTuJ0iynnQ83K44Oy37H0TtrY7EaMyY+IOyk9Lbvf0K/BoxOnyAL7t
RUvjPixS2MvG2sYeJ85l7UbxYlIx9XW7n7xUvWFvF91d1qdtymiXMQjYDVVj52dP+iwRX5ftHh3h
cExiBZHm24Iox9L/WntDPoTlonfC0T/YFAuhLgb8e7ysCpekpnmVmxESJzSkuNhV6PidZdqQd8tw
2iXHp1r1TsVOpOZcCz2Alm7XOovOKl1uSMMrrMbTzSHiyh75d4pCiJBfwzSuDZtbYMkZj07iinFt
FDFvlhc1nDBLxNFW1CwaRAXs9lZq3JB7hPlKMrOodc0AMOhHNu3LDmjnfU6GbeTxsPtIW45vqG3w
hz3kX+FyAFUrrD4UFjJDz6Yg4naIto3mI0erLqqwTPa8ZlajuG5cq+n+m7K2plV7DhZpWuzE3LdU
mKaTdmD3Gs5+7WRgKarVeLIwa572vRyq5MZYCL2HavH0+CZ3dDCLnjn5BatdN6K5fewdSRESa3nw
fCEaVpA4uV8vGG9taXoP0p/KG9hjn9Dao51DHrhn8A7DepEWjHmcfY0tCMeeCXvZcmmpw0FYvMAT
xyPcL04klY5z2DPyDKhQlPucZ1jWOynuzbigjPO002RmEfTOEB9ynOjBPKbyAG0sO1t2Zxghp2Z5
oLOf9pUBXzgs6ro6R8ISX4OpoF5wTewyobqwwtrOxGBqmrpePzbL5n/E/Y9BJJbr1FTSFnQwBaQ+
TZhMYZiyocUogLsf4szk62nLmj+bwOAhWQ5R60wAx5VvkX0Iu4p9qRmocUgeme6bxJ/u8xiNXTE1
hFktXJhLo5wjqzqN1pIIGyRNhT8TOiayoRGL5aagPoAEwyclPorfF0H0e4E2IvIv4iKKwdIfMfly
hhuwCp8jP2IFXRrDWI+r+lgUWc2W17OnCXfyohPzNII1E4GSB8fJw2L5dI33YoBUrO8+m7NCzmzl
IBYsJ2tbuSbnZwvgAeUmZreaFxOKATlOeNk3gyxncww4MDcXio9ZLPVmHQX+VdmCYayxPTIex8mu
SaYmGVn07HttwytEuhVFaqTlR4R2WzdeduZ5FpxA9HbJ3nSS9Is9uHp3cmrJG9cvrGonb4Ir4K+l
wmhQKGmczGVe+dgoeLPuHWjYpn7f0d+Aact2J/pObgvcN3x6ld551fPZeEQMxMjOCdiVmPPwSLwM
I4NVFJl0EqXLweIOyn1MmFiv5wZo7uJG0M7xsh1cSmbycb6iOST8NIDvt43z0vM3rurNLVdOHuEz
T09T4s5Xia3Sp1rG+RqML2B3ptuZtxyI0gMVL3UTH6Bau0XLhRkTbhsYM1mtNe3N2NE+ydpyPmeB
nL8UVJVfYUd1z6M54sBAXWUSlNvpV8bi8lQsfk8oPrB+khcbqKapsmYD6NccHWtKr1MPx4s4c9MP
Zd3HDxhnDlNI4gVEocVcCm9mdR1YdfREtF3+STSK3+RcfKhSbfGkmi/+VIUej0bo9XoLGTj4bprx
P4TnNwgPjpQ+nJH/nxp0JWTapa/V64/8oL9+6js/yIcE5DI2h17CQAYLm/8APAGEQZpOBlG+S5Su
v5jB/oXyWNYfjANx/HB9qAABZor/4QeZ/MKAeSw7mhkwkAn+FcpjLQOh/+IPeIsYEAYJenNgL2Hk
837Kmap2lCI12oNTRR7Gsplm3OtJM599mrmtaDK/R0Pu6W+d5kUIzoP2oMoqOmIJEh07xiahV3jG
FbyNapdfbFUHA8NV7OO0R78uu7WX1E66EZDwQyPJphuj0uSXrDXJSU/i4tk2m57mwE/DmNLzjJEZ
dnqV6Q3rJQo6NGK9HXd9qc170ZTuA4Tz6TdD7p9nj8sTsOF4orWFWU4F8B6ByYCHwa3r+jC1eN7g
B0OclZKMwPp+uS8+9w9L5Pbbs/3RxujnyeO36zF2ZNyJ4Itgw3czdVPDcjLO8/owaq3F4VGQcj6i
yY14Br++0s/4yOVKnKUG7FJgJgOC1bthIPgVAZ1ucRhRTED9ytRCeNB2vhWlD4NZ2DuVZNH9ry/6
D7cHJR0Cm8tiIsNi+fc/OfqY3VhWXXHAOQ3Xa02yJ2Ez4TlrCWqifgOf/dPVHJKIgGIJePhbiE68
uAtUZVYcDH108jM0j3k7uVTzN7IIHn99Z+9Th5eVAmuPi3g48C4WxD/fGhVykZQQeQ5NMhVWaCUI
YNZNUxJpRr2MJ2My3UhEMlcj2/h+LqDybNKOePlff46/3zMDcvzgGZUH/Pk+SKAwOEVLaWWHhiwr
kLVOYbUYR9Fj4NZC/83F/r6GHLjLEEpRH+ICbL6bk6OULyww2OxQG/N8J/y2W/cab3Cd1HlyUFgI
ZGuvCnL/N9f9p5skGRIE2nWxkH6fEkY1OqaxSwpJRfR7vUKj9wjhhVlXleLa8a8eKAIKfj/4M+gz
u6D+3uuYEeBoDEmAISqyrHUzMXte1XqrTrEaradfX+vdfnu5loOfG2CHp9OvvnsnMcZwtVZjDc1q
HuGo0F0ci9QafueV/TNK6Xy7DkZXgcsmw3I1f16r8FbwehJTijuJM2Tracy4KVtV5ioaLOchSemk
VlPbC0Z1bZ1FDPvj5Pzre323dpbPYNCHM4dGMQo1/t3agZiFEtLp+QxDt2hIIGQxKNTic2QpGOGx
76w711K/2c/fYV6XW4f/wI1T23KGvsdAhtgdxBx56SEh9ftDm7nlEda8uq6zKtm1Vo07Ra+JCThH
QcEKo5H+6zC61fTZcBEdfaqHoDzmURXtY10rjwBA/EEE4N2vn84/fU6HL2aR9gbwOd575+WOFY3A
XdqeMC33TSmABXh9RcBXVLhEQFVaVnsr5suet9HgDp31wVT0Y1UUHWQu7FPQBxEpgb51HWhu523d
IRHZWiSBN+x+/Vn/vmoXABjDQAgKuPy9/6h6UPWC6XaK2EZXeZjH/pSHVdf1m19f591bz4qBcsVX
RtjFEqz5/mxMNZOHggDnIEZBW84Ya0lDEM4Jdxfn4dfXer+dXy7mEXbI6Yh34d8ixJRPHgQzMbZz
HBrXsR8Na73AC7jgVdki94pDkn3VyYBj8KKVFX4bwul/82ANsgt4E3+owJaPgXSDmEDytLF3WSyz
fzwwi7bWAJ/MaO/JsVUHr8ASeoU9rFUfYlnPdxpC7jcHimWYprJsV6rG9ou/X/RLNCoObnCATwGm
W7dQZrCl65qsbmmGe8lwKi/nM/Lk6JikjXk/F1b0dZhk8UySxXwG0qXzC5rWffDQsh3B4pzTwHwB
l7FyNO8dmbsPblLrewaexlVS2Uqu9TpdYt1GXPfjyJKrAnrfTdkSSFxESn+bYQ+fOw3kEc+nKvoK
+uLUx6psynkxT43IDDfsbptBjksYpSzJGGhzbR2Fpcn4OIiMT3hEWk+jZdUNIZsDEHU3RfbXYuht
3Gr6yUo2HT4lZ1yVy6PNJG5ttEP6JvHDX4sudr7GxOqZoHaUjSHiLj8mASPAjwQ7PHs32jrFUOXh
luZ7UCTpx7wXvxlb/564RtYbbz+GHLkIuHxdt9qdb3bsnXonvZfZjpz1RCDE2Vt+tnMEH4NRrr1p
0rHDZyUttEcc89WZc6Z4bho13lweb+SO/casEv2utpokP4rZK5JDhEzSOpp6mZwhXJZkxM9JVm+A
ytmtpKFOCB/ZoXxj0v6sRM6KFJCMkbERbbVnAsuzU+BfmBLresJ4LbU/QOIsSBaK9erWyk3EqZnN
7xmTNDm7fR2vu8ZL31odKTC56q2Kd8EMIgEsxqGAm5z1hEQWf1jN5NmWlpm+Fahrtgbeuq+oH5lz
8NIULah4Od85uP32YZ9jDYnkZboB2BqSNalL6Z8FSYOHaTaKZ5KWbBIVl3VYjgJ5ARZpcCQSxlfr
eVqoQUYJxbka8OhdeWU/n5F3Lw4mtF5q1XfDfIdtub4oWalzZNLBqs+4gW6F4niOwo4FttG7pH4F
LtX3WESxep0cMKiNkknsZULH4DpCe3STnAemx7Y6x1qRHXOfvIpZy9cTDPgbqErNts88Yx+Ps9g0
wCmh0kR7F/dJetARnp/GeLTDFM+qNUpW/WxY1XzEf8bdw1GKHuPe2whb5q+NW+VnLMrx4okc7wb/
7F2eAlwzQZoWFNV68X1eu9oud7pQSMxz7KZ1bZpDJpRmCPDQbnFvLkOisYscUbVtPgfpcANTTB0z
I9ji+mXBsk3EEZgJL3BNAq2XYwA+xW3hG9SGSZ4XazX0cmV2GIv3jv3Sep11RlF40069vxog1a8H
5eONjKJ0izv5kxu55UZ1tXkiyQN9Ve6EdV+NO4SJesh4JlklM4OXoMYCDPn8fZeot6A2GZaDC2Ra
aa0BJCsI5oN50HT/Y+N2UQXztS7A7IkqjyQuZKVlH9FCwg83U7i4GInntvs4DNEJ2n/8sa/NGRcv
NR2TomQDtpcaqTTVtZta1hkZcHOHLKo7aoOTr+fZvcq9Rvk1SlC8UYJ82UTi7kuj5/VeGSJjFh8t
zFzGtBkmmbYwVpEWe1fSKfhAorAtfTXga/nkzLa1nXBNwhMRCvapN4zmhkLJTtajy36Re3rx1KKu
fZKmPj4o0L8KHUbtx8zbZ3UmPt7awJX3tkyNySgt0/YwFe50SBiic1Gq6HMb6/c+cO29Nyq1sWYp
N8v546wmUQ+EdtdNedv13hx6vGnFAVk7pYCZiyhsFbVI7k+chZXbIUHzUrYiXAJjO+JE8OLA2+O5
Nm8l6484SVVtg1m3d3IcMH5va7O86fT+2SvmZm2M6cKennEdiAv8nta9m9vZFk1+edKQCm+rLHdu
IZ13W9eT8Yc+i8cTPLt1n0bjMRul3jPtH4M/LUwoopVTmfh2DeyTB7iTydFqqNtBhsh+noeShZlR
O9AiFNpdoVoPb8n2YyV8Zwu5ZHiRWL197e0JNwy3MsxHs3S8D9M4B/NOdzB4U3JE7SEk9Vg1Nft6
noPrSWvchYmqQkuIxSep8QhbGIN9AFOzx7Retl9qQnc39ZipY9NbZ6+09XMQtSOgJXoVKAAVJUyF
8N0rgrsiarCwQtVg0fxnic2YojUetVRj+tAXwZEvNXiYHAlRPomKfsH+7U/TrHd3Xq8xNUCJAXOl
MWE+sASwMgAqj2JnN3oaPhl+P2xGP7Wf4BqJ27jvrFUZGdkBs1PzzBPEKqscEHVExm5wHBZ2UJ2R
jelhVAYmppuFs3eYdF4FcQx6Xs/OQ+Q0xhqqFtNFfa63BVDwq+y5JTaaJhy6MbVCoEAk3nnk+Ltk
QM+/qkYDjJpo9+dKn1B36L640eeIsj+whLuqO6CajcqJLWWQOhQ7UC/vxcldhjiiiU8TNAuxjiK7
OCgtUF962vGr3hrlXW9rMDOsmtjvUMsrzvRFXxEiFHGu6djrHRNYjwbAEMcCi37err4+j1lZ3Nau
09+A8k97q+mSIEwDf1+iTTqMfqWtiIX2T6KZonMmK39nx0P5lleN524wRGs+2LHTbF03y7/C+0kj
iAC1OGiwijZ1VrTPXlf/iWHTtEixgKoDZzaLhb47vCLAykY2gU47xDUJPRyuOnptJHJrGyHHCRMF
hs8i2/CNp5u8ND+NWlCvU1lH+Qo77W5TxbE6e4EUbyjeSQaeSJQE8kG5lljzTjkqWmOh3t8a+tC9
ZW3Ont2QDsQYO8D5FOmO7eGt+9TrsvK6T65Nr7jS7WpKvkJ+bsI+hcTDi90DjFi99hUPl+o8ObV5
nY6OfNLiaHiz29R/iWXQ/h97Z7ZlJ3Jt7SfCg6Dn3B3YXe7spJSUSumGkWqSHgIImuDp/4+tso9S
VS4N/9e+sD3KKu2GHQSx1przm/DEmtCodou5Brh1XF1Xfh3TEWlOhucA44PTRbKIN33USuR3Zll3
OyMgxp0ZLwaIfC7hMXhIerSl/R1hJXQ1GP9shIzF5lOp5eQ0hXnrzHm1q8qZZ0YLFwgKzziSCsfm
lIHSL7rlJJJZnfEJyXGniBFlO9Nr+i7Ak4QJzrXGKzfEkx8LukOsS8iJcQq/5n1eheYhLFt+Nx4K
R9uUJE0SxfBVUhtRYZAL0Bg1V4GRxecEtXK1dZTM28yXFqxgq19OnmknjxiH7GfDksaL5Y3zDb6g
9L3bAGDAbiyOi7OEH0ST49sY3f4zQS85x0k0QlBLP3AwTvawvE3Ijd2DZz+muEfIcmJ7haTGoqof
TVrukRkYDwBfCXLzmzXGUXhwmLITlaJ07JRmHS0cTnY+TM5INGBjA2pswlacFptw/qWswLrGBnUy
mgLV8qhMSa41rMPozd/BLoRHankn7norPJQ4yeOSABBrqN1Y5JNAmTYegjTEyhFYxg5E0BYcuYhr
7dbHcRXPq+SFs3YMjiRJ4hCudXV0VL686zyLAIMxSG+LZnoxpIlIDmdy5E2TdWaoZ+4HulnnHI8T
SRq0B6xl0tzP/XiUmTK/lEqEjM0cnjochM7O2Dr7Icy7A4qF4cZUC7wHsRxLD54NaNolpqj24A8u
97NnighHp3dye/xIZj0FlCZyV2HN4wHRJm8WvOXoggp5CNTwXfWMvKXRrkfh5W1Ud+HnHiviAXmN
d60kvYM1Na+KeXg72sZz7jmHNskI3RjDOwR659roPs31ej+WyVm13gfZJ7dsuTSMEA9eg6J+gabz
KMLwAcv2ET+pjJuieg7NfD6uJU1KX4Vf0IoO8Qq7cBcawv3QVjnSz9b6soSCg5WRssln1lXl9WqH
sfVQjPJ6yfw5GlPvK+JfJBE1Xe3IhRq0T4Fwflzt9etC1I6H9uDQ+VU+xzrU6UeTdHiSI/ugPDu9
RCmGXCVvc/so1v3U5U8LaJ7TqLIbt/tgBtP4vguQ9GRD/s630+zkz2EZ9900PhlWz5R0ntQJPXF/
w2jNOOGM2m5zECeunftP3uA0x7zuvGA3ZHN/lZMBej/OTB9jRl/Zcmxn7JAYzLHYroLZmJpcoz9k
9fKwWZi/mZ6vjbMhKxo6URkOgQk4y5rtaxXUWypyx5T3TWX12+tZXVk8a5rOM40LkairlFC28ODP
pewjupoOcj+zqMQBoAgZRyXnoZNvI/27w2PgQ1wx2gIjVUjT1BtmSs4yzON+tJJPQVomL0OCfAAG
zMCIgaQwChGSE9DDWEFLWZSy7Mddy/ZCn2mbaeh2TD6NKQVCYnTUGFvENioCYpx4xj0GXaJvDcel
Ss59Y69I9jHvCsPNpz0p35Qdo8+2NA/4/RuxVSciX6bvxWrN94WnxY0pSizTKaTerJyTT4CgaXKn
ji8exOCqvef2VCLpOplfEFd57q3Kpq3kDRVw0syVw8eumTg64KkwjxI26xVne14aeqSxz1oK9J2r
4Zr5AoGQOXvqMzoQa5f3HP8iJ5Nv3H7dCLggyGVaxJAN0KWWMBbywU7OdubSFBgo8gMsyNeXSc3l
/SbpGHuN9+4KfQozm7Kajmiy66fLvxIGtfVgepT9rU+cIN6L9WTZpXweakUNtvQWXQKm6PfzyrEH
Acs261kb711YcjGJ2XORBKvucGkUy2phjLK0QFNK+saASclVydFDH42Qj4i+FcjxiuDTq93hIxRo
vkBe8IrsI+vbgcbLG9i04gksJr96U5p85nnpr+AdEU6wcN5djQznZjkSwA7vQgFw53s5Nb1w6VL2
kfsj0aHqojtyVNuUFmPl97upTOYyyle6IjQv2QxGlIKJ2Ye71plcIEkJZgbWv7kaSO1SSUq1gcS7
LOgoBut12KNNiEQVKloyXaIy5Jlre4A0Dnm36pR554rZvW6LlQnZ6tK8Ssh3v6w7I2/Ww1TwC9gr
uY1VT3ZhhqCKMmlB9cijQSYvBswImiKUWW+rcbsm1ciUTfCP/FbLXYu+5uzRpIyhVK+3FmqZY7u1
4oaxWW99ncz3l/CNFkrtwXNYAcrZFJnA83nBqvDepQjV9mGG/kFWLf38bQa9YLp+qk3+StkgcPab
7U9bxdUS3sKCFbaP1ZYX2qPtw27azQY5isJ1ih0ymfBIzLV4yAyO1zC6QShfGk/CsJKXFWvC9VSw
muyVFy0Wo32mldjYOx7n0wdlLeImFHNynrKkfU4yEyYJrkiJfI9b2LFHZpOzSs4J1I7n0h/wRHaQ
eSINuA95V18lAGURbvCwtTzaX0malpyAk7k5opCzbqhb+o8q3C5vbVbleWy5TIj0rYe5VPCqthvW
GkrSqdZaouTNeetlHKZzpXRyBQaRBTkGxgB8OY1Tk44c9pMCwhi6YzbfL6M7THEmckoPJb82OL3i
kGHecZhwAZvkOR+VSrjZF2alyahDOhZNeFSggPYpcoFbmxb4rSRl4FOPjNJFx7GK6yq1YAPaHpwG
wifh4FL5uDsyw8Kjabs0PxiLBjt3WwWzpDXnSpeWwoXpUAaKmnAOR1YJ0osvCL3lM6NIo42ZxXJP
tz34r5bq9DCa7I/wgZtj6qUGiVJJ8uIn8P1ROm1rsDc1K8+FFoFjd1N92Xo9GSjAdn7gU/YF5LB9
DzzqZBRtYnka2nz5vEyAnKKBA3lPK1Wm+4xjBU9GWXQ3YpiaO3zN4/scJtI3OTnJS94u4XlyUWtH
RMfN904+dwft+hq9VcMKmMIu+VR4Lnbtobd7ZHgtDe4dIpVW/2g//1fo8BuhA+iNbUry74UOH/Ph
a9sM+avoxz/+1j+FDt4/Ln44ZoXultCz0U7+cLKG1j9Q7vwsgviX0MEBgxTYDIrBkzhb8Dsf4592
VougInvri1MDbf7I/4h8+nrKj40rROEA3NWxeTXxJ0CSJcysBNbg/VDVXuJtXI7pp1Vr5F2qR+P9
0wX6izH/X73hNvViUOyaCDy2kcpPc/CSby0tWV8CkYOdmOb8uG42PQ9s9iklh+Y3Y6/Xo5MfX5CA
TK4XPtKAudfr9wsLbx1C5mLXfpt5z8Wmob6ocgd3yn8ztPjVZMS15KfG+4jzksHFr/NS+AhZOpbC
uabp6D7nPp5cyHFosAj8Qz7GVvXolwVCxU2R/vdX9S++JSsJrzQELvzCl5naT1d17spJm0bvXA8W
/jv4NDy54RFsIMkUvejfv5n41f7IF2UFIuhhkIlv5ddJ4tJWQ+3TVb+eW1zLaN0ZjURzYaL6nZSP
LK7Bb5SdAd2i69ZkDA+IvTaOPqAE/BtW8ztT4p+/PkDoLWYrAHZCJNAvs6JCZAj608S5Di5ZRWHd
bdazkv/6/3svqGU4zFnCLJxfFlRa2IQKaO0QAkgkxugQI+AraoJx0w///YV+PV7c1i61IO4/MEUm
S+tXS2uO7Bid3ehcT0n2MljE3qDU/k/to5c3wcl++V92qV9uSBx8DlSJyrkGfQFKO+BsGAUe8TUC
kfHvbN2/DBd/fCXywYTFaJlL+KtzlsmzmFZD2NeFlaMitjdXoKDtRIpXPxA9RAvo2aGKuLM3Zy2Z
V/YVYzz7B9Tr6/I/6ff2Lzahv1jBSBvY9sztVt3UlK93hcQSVpLQ4L1eAmWdbdI9jYjE+eBG0gGL
TZrT9b4srd6j4TFuAUDbzUttkh/ZQX5ntf+r1es4NsPu7ZfG7P/6w5RV6C11Kbl5twgjcxPkzg0m
SCTbv8sV+6u32gQAWIV5tPwJKLDIAC+B39nXOX2nhzBMuWWJ6WWrDzx+ib9fvq+3encTc5DN5W9B
U7zdn5YvfRI4vJ00zsw/kUIbkE8+NTaOnnXGkTU1mt3h799RvN6Ct7cEKuYDxPe4dZw/idZkSSQL
zv7wbCZYJhw6pkzm+gFSHDO5h3wAfre/yJ6zAJNQnnJL1QvSed9o0C0DYu4A3vD4u+wgPzwtesU2
QukFUXqXb/6Tv//I7kVu9vOgmx1rixt0t6S3S5z865+fqqZwlm3+M1RmfTDXbD20uWccUjGUI7Dd
GjkGo82iZ+LRFlJ7e8GLvYVbhf+BrFc5REmd8EMmbqq+rXatvi1QPD3CpDb5vsV0MtshgcVuQgGG
UF+kyJEv6u7Kw0JmFvy1frMM+Zq/txsKy76araL7pDZ7bpA69hm1CGhgjbD9DeBOTFNkXIePagUM
GzOb7sSJ2p6XJj2pZxgdkgkXV0gh7Sgdc5uU1abjPWi/X3uMx950HQq5yJmI2YqY10JMR6FBgg2V
2yfMiWo9GmiLvfPFhDyotMZw2AvypC7Re9hlu0++5PR8rkWuH5jBY46zlIGphQiA/LPQSCQiRk9e
WUYzRphHsDCsPVV6zyWEUwzrheU+axHiBBRye0JPONRq/GBf5ZpY9Iz87qH3iL5wZ4YHfp469EiH
cHIpIFweqBeblWGj6Ma8gbk5wY9h0059qJDFPDKZzI8XEsDFI3+R4qvV4vqEkMAeBnpcj9YEgUGG
Dr/TBUcpln74VtapZUWeTdIfVbigXNMEi41S828BaraviFDiVerNX7AqrhtkbPTnl6dcw5P6IAfA
PJGus744pQCx8Bb5/qbIZ8SPBbPRq3/OtoPJBUZwcRmahYXMH9vwsq9MA3/UxQnW5R2rpoTT+ex7
jGlpWxWSJj39lyaezIQ4nItm3sDIQ5yag0DnCDGID2O7flnvL/E6Xptx/7Vmqmm2b5l6mYHDd0dz
Fu8JzkUsGj7gW/kH9Vk0Nmt5Qtv+OJhIMwF5UVJR0y5vpNiATUr5UCx0xXM5wjyMkUGCkb5FMwDM
R+R41aeWEB8P2zBskqYPt1aR6N+l9mqd1nWGGm6lnvO5mabmfbDm+rbqJqSKRErS+TcwMB1Ebvbn
vGrBbwJ54lWqhd5ts7YIPOiyYUNa8zmibIQ3R0KsvkOvY17XTtaSNlKGdJncAUcj/s5YN6t+X4am
u4fFJmFHmRsGlzUJpM4cmrd4Y8glKpKxxhnRq5fAWWFwW/54F3ru2DAcLuB5jiU7U7xu9rXZhEaI
RkvLJ6+ic3QA/u0xcvOhNKumucHT3acHBEt0XsNR5jtRtM1xasf2LiwmMYNTH7LP6WY19gkP2Wbx
3hHDJRFwAJK6YzDM3ieSmdRBk0X2GVhpSyOoTjVoG2f93FRduQdYuMaDmPgZA5gmcVnOzedCFr7a
YaJnIGz2jPU5jA6EhGPu3vWwFPYdZ8AIlHJ9AACsto0Ju2NrJg8j3qYruB3yquizgfJ21N+TtJ33
GYPGtzps66e8nBjG64Y+QpMzZWA2QdB8/+wrMqnJvTJ2CZnY8Tj14lAz7Sr6wMBohzPbQdDb0kzt
gU3vtuiSVsXYMchviXo0s2m7/fJyvuGkG9DNE5pOArlfkZMkvJFThUysxjTD/ScH/IdDtltbbeyt
uh0/yNLrCM1rhsPolhpLnPm18of2KaxyCxWAAIRnJPZurPgcIYnIb3kqraTPs73feE6HzCE1+UV9
cAs3dJubN7Bt5Bs4QixqRlS+er74Iw2r4JYYNg/rvpWKwEhv2fwylr1gFmS3Vd/S3mRDatdQvNfm
ypI1kTs99j7hD/sAbTHA5zxjKq/azsQsj+cYQYVrtJ8SgRjkYu25pGmpgRZ2HIwucXiV5bQAzKrt
1cRCXuIP4NAlgOsSZWgs1FE0uTnCeRMOFbqn3Ppj5nYnZ3EA4FxctpKWCR/NnzCIlpiSPlkMTTnP
kTFF6Fa7BeUJhCv1Z7eACvmi6XtsHmqV7NEIM1EsnPk7E12wem5puB/JUQ+v+iwcTlWrmas0S5qj
sxJF9mWY1HOBf2zvOnmaxolm+3iqVmM03iExgW0bWFlwN2ELir0qL/fZPHcnWsrrQQcbcDxMaz8K
fWf+MLl9/YAX88Wq1qfFcsR9qSwcOsTcV7EVAv53Rml9Y+iTflvzfH6Xjj6/HHd8se/I2wvxXCIC
i6YsZ3rfVYN/Jtl6aJGaVrKOByL3dFyOQzqfELOZ107X6ttuUPaDty45sfZ1OYrI41cgfpp+wqPR
TEuzB7Rd3S5979yvgEjuO+GMD3UedHHfiuGrMxnVvmVc9qUNvelaeXLFepRYOYGmgU3+cAYmYh5R
AzA/qtguQvRaRR04Z7gMXxJpzO9mlZYAg0bzts9T93M5e2Ua9+SQ8qxsBB5vbad3Ie6g235xbebx
c8hkbUqHZyuf5XXtw2NocpdJsWcaSeSooe6Pgi3vYHCYJTFcWBbQSQec8SEDevTeK6U8TY29vpN5
ltyYeqSDmJktDdl0/jRWqhv3hJA6+XnJl8WN6Z4xVqR/GZR33oKT7xhm43CiyjVuCpLNPjCpsUAN
liNjPMvwzRIDWDDfzTzhX9DYDrejlNNx4UF43RRDXe1kiFI9agXlRcbmhk8DtvA2MsdVnk7+9Da1
phmkf5EwQ6ar2n8qF2VHG/bwBmwg26ht6pApuYSxtyP9YkwgqbfWrfL16kagYkSwDyrfYUMU8/eW
EWxyCLeJSyoxsjlOZ+3tyltPSOjyh6EW3YdR6OExqLSznxZw1WuxJbgRhxw5Jv6+aFkLf2fL2c+J
g1mzb4hFeA6prR2ZGGAkdw6X6s20Uqc0FV692IWqfm+Z/vKBxqhx6+YKakRuo5MKDLv3I5BX7qEb
fMJnWisPB6Qf8/qSVNnyUQa2+krSkv+NGYuXH0zpjUOMyxcRVNEyL4ATiEGR7PUu3/UZ2JYTwv4X
N1vSN0MBPyFa80Gd7XlhoNW2TbeDfw/F1YG1Q+5D098bFQZ4y/QSpobplvey6mVhTtL6WeSOjgqu
y5FwUcPxpyfwhMR3+ula3GOA880okU1134TVpjxhYAwhzeZXq2ggOadaztUyklmJTuIPPO5/e6G/
64W6poVE99/3Qh+/93XbqJ8tX/aPv/NHJ5TIdse3iSaGLcR89ILo+6MT6tv/cGzH34K92R4QU9v/
1wm9RLZTodM0oBVCofRzJxTwGg9nymbkKBsk8D8A+71utrgA6uFUYxyxbd6EyvWXPkggpnHNUWCd
AoyXJMdlQQR7145+uiZ/0Xn4pUB1Nksb3xESvk0rGOX462IvGZE02yS6nMYCPzeQiTCIgiVpPzeK
aTGaKsCvIIj7Xcv5/jftpO33eiWp3t6cfgcmOS6bz8V+/eZYnpCvEJ9IaRDiKvb7gTjiheKpJo/m
oRBAZpHbypCzc27vhlXn3xeDk+Xe6z17B22KMgAD91FNQRXbBCYTP0kUB6pjdsyiQhmqdC/3A0qR
WyKnkofaq+bd31/Av/wStPhC4XJ0ZiH9cgXN3pGUuGt46lYIpYuDSLY2aucqRz74obOhYieixPBt
EHwY4ymDxANPmyApBMmoiEJazWwYb9ohIOdigjsDD5rhI+lZV0s4wWaZAKDU+bidglcGWkjcf9co
ft2FcS+LAE4dBHJ6p4DOf2n4DAzvRo1W4ZSzl+96k5SPBVwKI6ji5e+v1i8tmB/vhEeB93Qxu/3a
bnMnMUD1550mcBInreiLKi/ozr2yu7emm/6uNfzLTXR5P1o+zCxY4lb4K0HREkQ110bF+6V5/5Yd
hXyaEVrE33+rv7h+G7mNSjLAyfInwGHYs10QVRSceovxQcBVk3aYn8rhdznzlz7gz70Z7hiXGQgb
07Yv/GlTKFJhhTNr8GSh2b5a/cHaZyFrRmt+OF3DdOEEiyijbVX5oCcAkbIii8VB4/FAGtV6Xbtu
97bXHtWrR8WPDDPnFD4Jez2lG26+JRv2mLM2P0wpjNrYRp9KqBES7p6DJG+ySMfai8DKT4PlDR9n
b81Pf3817Qvt7tW3pNuC4RWmA5bbbSL0el/YcMcAXdCMzYWNpor66wqA0HBldH15aEum+gCxXpaq
N7Z4JOje2i9OpJ2Ph0lIdUDD0t/JMp8pThlfo/M2PwriH+/cUDuf/bmuP7odYc1itt4JOmukusyV
iHsvqd5bZolwG1z0Tk3Z8gHiFUlyaa6PJbnQxZR+ZjsrT55y3ft0tNzTlNOB4+kCjkYmHJ/IUzrh
+CbW1s3rPYkY4jjYbfCeGUtxVRhwbhrRZSoi8vQrY3mP6L4yvXLkOt3LSszgz1bfgfBH+2JKPHcv
J8uJPQe7C3SotoqVSNtT2bfloxrIIOsaNKMwj+7dUOpvqJMGknEzJtalso9u4hRkInuZFa+l9HaG
vzpv3cw238txqD/6aVa+SJG1S1SaISmCYZ8BT5hbtGdtky1PPk2FnV9bjI3CsLoqdLHcrF3o3VPt
BzsV5E0Y2XWOSEk13RdUWuABumEPp4wmXFJ+N0ojuDWaytgBKgNd7/dnEkn41J7oiMALr5bJaO7a
RCao2ZpZkeHbG5HhN0dTFjfb9dy1TKZj0haNCInYEIna/sRwkJKYevoKakBNq0vqD0ZFUcSfmusd
jFE4M3rKrL3J8yUGtGUfwUAHV+Pq2M994g1vCq5Tc4WyE2Uhavv3pXNoMsmKmKoyAlxjP7dd3x7K
DA2fLZegjlqr6T/QIB7jtlxmfhqg1nRp0tOsR3T+9lsrwRbC3jZdKYpBEGibeL/PrG9QLIDZeEK+
1X11myduFkPwJ9AsrUZgAyXM6xqMOs6Qs7SopPE9wKILl/RdU+DAS73P2aLNU6aU+ZCIVe+L3kMl
Wj5bddPsoKoUsVF49D7RWR3svhc3/jLOZ/LNwqid1iW+gNnGojMiRZ+MnEYjY4saiTCvG0o64lOv
DSSLx3JY6PEQbfgJfqjmwyzJIbNKcuVLBNxoDLqJxTXN/o7HUHnI08DDtTLn+Q5VnXXsh8G4BgPW
3mDaM2OKMv2MCNCEIj74IP0xwFC80z64X2m0sE0NorvWWjjUOkt1EnZunvyW28UzyIMqcTtZCIb2
4N/wM/hZF60qSxAOFc3XfnLSpyIR4zfPH/STPfXzGfruRCJyqKIplc5NbxpQzQlvi8lwnq5Gwf1l
6FJGY6UxGaBt8wdx1eShv0ntOwwVtZkiDTXW5YMzmc2BWU0GJyyVe6dqnRjqVEJyJMG+wuuam3yj
qDVUO5Hb8o9FM5Zojz1oEaEkwZgZmT4aHqGF3WDiUSsm/TKpfm7vTJ1WED04FKz0pAApWSSTYefa
5SlPDmA+WzbaKOFYztaeb9yffQCHewxn5Q64n75elTl8XMPZuUeaad7p3OzInk6UR4qPbKfvBF/M
uxDF+YkGaf8185f0AE3If7wg8xvXRzJvcr6g/5zd0yzjdDJx5EP5ZkZeCuF4l9CC6aJRECKCTKt8
qFKneyIuu6SXts67/EJ+c6VGey7oyzsdtJI0HB8hhVRXHe3Gbxe1V1WQyFz0fMlOcvzyKjxFa+jw
ubQt72w6bmd/YCaCddcXsWfjE6E7SG5aP/HNaRHdh2Y979zRtvYdzeq9Q0rc/epLSmQABvwdK6yG
jwCL3HjsobfM5Riax2kiNzshUJLoPtunDavKwt3bYebeCzYGsIrUojSuVsYMHopzf0zOnFWw0CRe
GHGO7M8TvTjaQZl+4Qw8Peb4rPY0h7pzoSsC2jjbWDQS6u6YNIZ7rfrWeNC8QXaJro9wtNJGdnXm
fp4TF30xeRzqwfRhyAB2Hx960+p2vZ+JJ5jB10MpiqM/de2RKcc6R5wX7Wt3MY9ol8ZY9KN9N9md
c5CUjnBaLC+eqgJCPRLefduQFJoYVjwrBZy2JOqbCD/sVE04Ab9Lp2MvJ50dufwwSXon6LKbfqi7
idXskuO9NISGoEEyd71tka8dJjV9BThXAwPzwHKyu2W2UO/9mHX+t2D9TcGKYZ1z9b+vV/+3ggz5
mlBy+Rt/VKsc7MgisjgPbT5xB5XDP3U7wkeBw/mTKoqqkVSx8F/FKiUuLFv+dQi0OAM5T/yrWHX5
IxfVC6ZWykuTU+t/Uqxu8Uk/lXLbxxGW2AgPAmcwUqHt4P+T4CPwJ12j/3S+Z5hdihdQ9Ilt7ubZ
Mjq1Uwp7wSOQ41wdBm1XtB0H7bpfl6SSzY1o2UStgzQQhEZlhwAOEWmYbIH1QUVI4YferI1CxxRa
3uoRRbGkkxFP9tRtyUjVqFd7B19tsO6pMSV9oNSkgfghUxs1sAK8BhbaYQJn8QwZ0TUcyTHG7x4t
eeGGaN/mhYcexsZikCAYh4zb+ndj4K2A+r8DrcMkldID+gX/IfjsT4SPdvAE2+PqfpfDPEFKqlM/
46jRO7Zd3oYpRicjXgR+kJfO63P93qHPwEezsrHn+zRiTpcPP62tNz/e+2e6yaWme/WRfJ+SFYhz
QHcjAN/w+gfzmbLV7dCn30RlQuTAapGW59UZGWccMwPDH/ptPwcDylYigxEm8AL5Nip4ypTP7TJo
HhL+SJf5jLpzMLP9mqTruFurhZ9irxjFro8ZR2pj2XtgNL27dS0Rd+3r0BlIzzRTmozhb5oZr6s9
+jVcZBdCBLN9EaJj2/oNPy3CJCvpWNPY/27OcGLfuU1utA91lbTrm7+/etxRP/+evJHNNg+7wN0I
73+2pFe4HlYmH9/o3VjC3ktQf47Jo5s7fLH9wrknqMSl5ag9tzJULEXqTw9l7ja/K6hfl57bVyao
gmQ0gTudCv7XFoqwU22GS+F9m4ag9+54LhdK0bQ3ALOfoTWurvebi+wFv76ngBNBUCZXIMQGTzX6
+jK76Sz7euzbL1mQI8mKikCr9c3gLX1A7olmvDodw4HR750BwabVu6FBvo3H29OaFRCWTqq/jsFa
Fy/eAJlmu6fhLM6UoQ61849VxbmeS+YuHC6fBlJuEoa9tV/y5SZGX5I2eK889pYGAY9KOEQn27oz
hizjDS29VMHbJJNq+bTqbV+MumVN4HJC17FZubDAva44WE7nap66JAkx0/Wcov7uzaQcCqK8kmF9
E6xJ6D41MPbWx35FEsCcSOKUxGNAou4TAiVgFfvRW6r1ceW8Mb2f+s6bHoaC/2eOSFmduCQZhMOl
5fxGIgeB5fY2iYkLWxoskCTgNai3CKTK0gOcbK9xI5K8Lf5Nj7hF/pWcU27tkTq7ZOqtmv2aO1R3
2NlUPPROkVISYCydsELO4dbltuft3YxUS+8OKF7efUIs7U6nhKF4fls5YP+Os+C0f511hh7P4zIu
oYyXIOm5dAT0YkQPJiwomLATtW0EXcBIsz/JoFODFbdOI8vy9McXcAuV8VWRpYdbMJWZGFxQFymx
vh6WdEuprGofPscep7bH/0BS03VBUlzJ1P+P1+hkh4TDpjjKs5gl1+Im5YTocg1GO9e89SJRdpwJ
jOI7pT+uKsHdM1fODSS0hdM8q6w8N+S6GRXO0HB7R9vweRRpTnZcFql9Jls7kZLcQdBUqLgV7ZIz
FJ5o3KD1Q6Pc1vcPhb2lf0QSoy22vakJmUKSOg/Pl2bIQmH6wjxbJP5BpQrx6NnAzk/Scb1MXMN2
QS1QEaWLMDB5F1SoM4sdWfN0h7BxNBPAPExr2wOpEIvNn2l6DtuXKELw4LednUxNum+NfvvdfWvK
+XT9Ciq33rcIxPgkPadB/ikNmJlMGEcmcv92rW4dboWxsMlL4pdXWA+i3moVH0nz7fk/57HYPosT
ZkQxx57vcwtq1G2sFHv1POc0ecS/5ZTLOSKlGJ6DScNkQEDnPpFOzj/Eoa19PlbhkAZXYYWlfHwZ
l3nkcq4BaGiyOnmuOadCLUzVDqnpbUt0Oy9M72XQ8N/MnypuYL/ASnHH8xAA4h7LIve57vW6bR4Z
NOrnAqLYdkvTFOZFe9MhdRmSKw9DpsZS2NN7Py8trgKTGTno07SYQ1HfTugweMGuH1AixSsPmG1V
23mOC0yW4Src0xJU7gJp33xPQZCH0w5alb/tTFlFxO+BSeGBujmVNi4RnTrmjrWN7CSdsBO8cbVe
WP7BENBs3If1jAhgBzmi9eAWuNNWyZtYM80Ye7Kd37cCWOwQcQDZfmEG+doUB4t7mYzRfECbioyh
7+C1xEtF7Txfl8ng8xkRH/LbdE4AhPO5GeCwVdAxCp227+hVJQ4dk6ENlwB7ee7M1Z6NmO1mzyCt
wJaayrENQ8o3LyDWD4S6yk6JXYxuitOxZJv1vq4Ee8OfZbPVfOewQG1HLHWfLVmW3mxOUeETrhoO
2+LJi21L8dWsO3kodbKty81zzhpK7Jxowut2SyCSh84ioZ2wBNdmqxw6OO9ofUt+jyZaALaO3R1i
Dostt2i6kV+pEYjJqWF0PfNa5IVsuyDSBTrekZnLRE0HU8mZf5NzWcefKRIo2ZdKc6qXtwBet8dc
hhyC7UliXuT6qcxgd5i4itwLWMwHFtTU9TYEbX79TrvXuE1Z6UE1rHzwbDFG3toR1LvywHbJ42jS
0m/tXc2AlTsvcKqei6DU2LEcF8bmLZTboNfsDzrIDOd+MZkvMMDUILVPsiOEJduTjkC+wlpbPOEi
05hL/ZV2HkesPw5X7PrbxZnbzm7puvTsquE+zYrZNq7GYoXyBJXPhm+FMybZO1g/undJt/Dl8zar
2O231CM+sV/MBleJNACfG7sgp5bFE+TE7ULN/7Gs6c1tfwbH3mbhrvmynQa8lgadjAcj4KElCFjn
GsN3Cfs5wkOTgg3wjTTnznUQ1PgimjOo93cWVIuCOX2JkAolm9DeZ3jhVf/OrJfqfWhZIVmXfY9M
6+wRJQgitp1G+VXWPGOuezx3zm3CJ7Vjavy8+5yz52JhIqiw+uYU1do/1K1X988zbW18UXilAe2S
qwZ323Zn2USMdEJyADrGdgBJ59klWw67arK0EXCdWtyA20ZHkQRqEnHHb9SzyS9BtxY8hafeWWLI
yROXZlp7uCVMfQl+DCMEzVp9Ci0xOu88jEQOiYnQk0nyCytLJ20k4fqLhHWapOpKZTzJqtjHt7Wu
uzCvVrOHQLQCogWNkIyRp8pbchaEPEyhn9o7twYX8j4trKzlwecp/zzAj8KH7yhLxDS/QnqFGHaH
cIcozy+wK+OVjlO3Sk++Zatd15rzep2EpPscxSwy65DIRaA9UmjMcrqstmu8kWVbOx/IOe2Lltap
r2W3DyHQLO8XKDzq1kCNZTzAqRjWR/X/2DuP5riRNA3/lY29owNAwh72Up7eiKREXRCUKMEmTMLj
1++TpDpGLPWQMfe5aEZqsoBK+5nXIPVarFzleep+8QHjV6ui83w8AIPJxR2AFhRS8Rsck4t8H6Ud
2rVL5QQSGEReCTjKPl6CTfDNkllQPif4Gg7TJvcgZf4IM5c+0rqHUeQDCIJbSRkjKhtX8wpNF1vR
CO8s75JWoJHn+8GrbSj0P5KgBF9orasgx9t+Y7ndvHhbMIfC0BYWfJnsuqqkx740EZzxrFvkzCvq
b2OV6gu1lkLW7v04u3XtbOCjqwiZfBPP5hxvSd8lGovMkQ2jqKOy/lFizYiglKDFxbUScpCwuZtA
h4+KC5ztkDiePuHoQuoIMzXmyIp2VH/GuNBfrB6Ds6WJDUJSN2kGrh43kRm3DBjA2EZbwPf5TIBY
lY7+0IrV7+5n4NfJLzHZLsJ938jU++JiBsurWDWisahZGh0JVN03Lsek27b2cIc6J6O0d2yXKHg0
id2MdTiPNWdZhp4Qh15kjNHIHS6Rod0OVukt4hA6dkFIVNokD8aJ7KXJFyUuQTt/7bpS6QNRFjZ3
9AhjnNAEu5yOAapLX9+cwCAn3lTFmrwPAGPxq+XT4GhVoXWF+Q4fZmZVxF5CV0nx/m2Y6XMyd1AP
AZOk6bHVpozq1lJPoQp1vBpGA6eN3fXK+wbUqayQkIaffx5X2cC12NW1jqXK2tchSxJ2eoww7PM6
6yeqNZgebejQDD3gaUCZ8NUpA06MbWgiNy4vOMNhoG8xHCWH9fAA55b6dYPB82Ac8wq1pW7thdBS
S2p7kcFAgnnJwmo/p5Kko8CajMA14F7hDfrWQJnn8PdILA1baNXXYiEixUOMT6wQCJTOJrfKOcB+
wCj0UkyB95OzyClyv9Cd5mVep5EL07IePMTYuzvYzMjH7wQgJuaoB15mqcsS5/ExuV7grETh45CD
5MwPdCRiOZ7AW/KGu8WHwYBiwVLrjFqpfkiTk9osdVBhdpBWwejbc8qlGHgNi0VShLCmdTqCf+w2
DjrYBM52pKP5oaI/5h7MOm6H4Jois12l5x4YFt5nXvAjbbdCUO6nF5UTZN6h6aa3SCMbncWjw8UP
RPhAE6hZhUF42Fh6gYkIi2Z739g+DZBN/Hq7JsMQc2n21UigukYFiSjQE0rHm/R9WY9RkWVE1iYj
kP2MFr/kL/y7/mmiErVcjwUURohZCe9lr5PE16EhJs6xDuZFrd/2dXvkncu8FP1YMalA7EUnz8Uk
aNkNwUj3FwigD3RpLRvWQoHuBTFBtnOUo9duUdoIusjRioduExdtYPWnfIAUBLVjNTO3vYFMDhjA
RfEVzHpIl4estXRoHeLSMdwCGErV06CAl8sVQHkkmdD5GB1x7oxWlyPjhWdu9hPFap0Egg0kYwPL
qCekdULCSxJP5rmb3WU+E6NN/gROf55AiNmiyZ+GxJoYlOg18mljcyDWaOFv823TKcwJDH5lxPC8
QwKDKY5pcCGD0gj+FpOzqC3OPMb0XQx9s1ybxgBTHFuZhHRkSFTcGgd4NqK/85Cf6w3aVBbjbySh
TrrxsNJRmJosneT7odKBfAyScbiLkKth1jpJlQpYYWAsoI7V4JbEKKFbLQ+Muj5xF6sh5z1pwLON
rc4fWE6ey+OpVyD5wsfWnMneofbdqcMs2p9Y+gfA9AmpSh4QR71uPSTIdGhVGDLEHHluYH81dGuH
Vi+Mcqx5TaCus16SKBeO5ZXpTFPZMCCLzrjd0OgYSMy79RYnW47rCw/qjXb6GrN4H9GP6m9Qel/a
E/CqVnEIWpucgovNcIgPQLoOHJ30QCs+JnQ6xVmVNaWORO3S5hQHn/2SNSJESx/jBBEDi0OKgL/3
1m0/cjpvw3jQWeBrYgHvXL90tSBjGK/ZZTMMgC5YyHidIchY6CRJJqt/TMqSKU2tXr96jxtdLLdT
0kddR9e1dHB9qCmO8IPLzIqCPaEPrI5pNJL1lLdpiqCIkbYL5c5ElPmTqCadoaMqo0+OcGp1oIsH
t16V71fM/qFmBOwDyiNVasRbdSn899JcgLrAiLrW+G2KOp1nDiDxE3djOHNTgO/pFd/3g0ceVwMp
U2Ec5+Ie5yDkSuD09pFzXZaB2XndN9cbdUn6dWkUgWFwdb3/7f58lA/kAXyJroJr/c23j7KxC6Of
J6pv4En1+VR5jsB5auKw5ux6/1kvldnfKrc+YrvCBx0B10+ANjgutbemhcRnkYtvk5C4kJ31ibRZ
iW7nIJy3TuDMchcuXsWh0WPH01JEGYoGhBRtL/JuqhC6XBuS8uqz5/Vk/lXQRQ9Hpwil70IRP/e9
ZuRv77/+H0MlhA1WJrRQ1rYs+xjWNqkIT7/Rd5+61Jp4Dy4onRZyuZJC/WePMuE2wSxzGa2XauXR
mjOo9fgAQ8X3oqedP5Or13rqOWkirvr3n/UW2KTrsLRYHGaG0jxQuuPFZqdIANapaz9PVtymzg9S
KRSGTiJE97LTGBYIJ08xe3q3vf/g4/F8IWJ6BK4m0s+0h46WHoifVuEh0X6fTGBlC6pHRTDcRrah
d/T7j7KONzEbGJIexFZYmbSZzKMBzarKomNsy+e2cFzpH1LoP/eF3dFNWXcgdOL6agoXVDnOq1SV
nrl1h4RyQIbIAOcbgozRhDkHXvXhTZaBcAJbMCAVdZ7jwhfMB45Ghxjk/Zf+Y2KAYrohyHRmx/yT
UG4heQ0PyCy/YwSpeAt8g4k0BmsmcvmVVkRywFXjo8H6c2LAA3o2UZ1lQzg8brBEWj++Vq7xbXEN
C5JK6LuU86gf1IlCYEsUZD8HCvq5/4Rnqb46G6V0LELOSCCDcOfIFYbnydJ9i0srC3cCL5H5zMWc
5sND5XhmCVQAxNMKohMEy/94FZFxpHZJrvEUJoHo50M0Y3j4YC2+vk28KB4/PJ2PWygIkVhADSGn
s0ftPxivqmlFELMrnmon0eu2m7iXrvuUIOg2tnGcmjdRSGpM3D3z9x+F7ZvqisBAuq8N6X9Lvj2e
KLqmQG05IWiTIsZ/fHiPZTcNYxiLr5TvqLLgnUJBNyghSSYfrInjUUYV2eTbahVh4HvieEnk5FCB
sDLra19Wfn7R1YWuYqUZRY0DgCWdYL2/+DVQ7verwsb2mA4NTV6MBViJ+qv/1hDrsmDh3p3VV1XS
J0q2SkQ6IiB+mJnXSDUFJkZJil9MuPZzN4l/KXX8+7H9Y3A9znuIpPCIUZtwhf32DSioJIVV++XX
BvRKXG7pZS05WmZlEmb71wh/UInOInFR16HOr/6RgVIBmbj0upIQanwdHJlBrqC06xozF16FLAWJ
9VLAmBGE3CPWg5sALb5gXKVW3nHU+qOr48oBC9eh2iSRyR2J0xk9dPQ0Uc2cv1sj0sqICedUs7do
qaR2d5LSWg4WBKpQkCRiG6AVzZiAYY9IxwUeInPm1SlpANgxHQ3Xtap5Lf+1l9WSBXPLwNbW+QW+
HC/JkW3pvDLKEMPVGsXxyPgHcaYo4tvDBE/nLClzOhjvz/8fCw5gMvYV4FJD+GJ/LO2eJDwxMEV7
rJCi5WiN605XC8Kl08Hyr+7O+4/U982bJUdUEr6cfGBVA/8Pmw4f/9qmDcbHMPZ0Ob5PQy+/QIrE
zo1Ls0U4EDJOEfbUGyaYLkwEtGH9Nu+/xvE3h7kM2dvCy5WvTeP96KoqQWmNzGXymFd0Ck5TqTp5
b+ejrc7ttvtA0+N4kQvyGG327Xioo4D+P1rknmVixFq37dehwWPrwc18vSwgqOok5P3vZR9taT4d
pDaGHchKEEKJ4zs4HiezKMrBvi9x3Ao2EZX+Lt6hApFSFErRfWUv0PCW/I9PbZN1ObnYmFHXcBEi
B8xIPntGdUD37+tRFNw71uLonDaNuRKB2rErYD8nugI8GbpiFnQgyJKTIfB0RyWXNBLvBjQT+HJG
7hK2xTHUY46VAX9hChAW3u7NiWFwjhaIuYFo/MCw4Gi8GYOQagdobe518Wcc4sIrD6XXT/e9zHQQ
G1V09ZDiGiuKTO+Ptzhaz3pOObwwRtAeP5yjRziJsappP1hOdBc41cuzepcuQz40OivuOeo5gl57
7wUgHUahnFC5Qu/19W9q6HUxzRhNBtclTOHqpmxSc9LZEvPf8cTIs95Yzlu2KiC+tJb5uJ9FT21h
m2MhQH1l4VAbdr965DRWdb8VYWybvbME5sJ/GyqpJ3xxkcX7YrzEnKDQ9IMheul2iOEmeiYziwAf
+XPY0cx7p1Ldg/nVbWZHsnYz2oPce1FEQRDitiVHqoXvD2nwdvp838eexTaBsUNxgbBtHu3Nhm8w
BGYdfS8G4X/JFMzpnQ2S4ODlQe3QDku6HWTx8GwO0iLa1E5UHqSdFw+A+AGrl0GPZFgLijM0MAdY
ga9r7iNKPS3s0RaF5iQYbGLT7EbSlf6uqaAQ6hVekmvant7V4EbVWWKm7QU3UrJot1jwuAb6gZ8X
orPhFAVi1J5rJE8dXJrd/MFYUC9GAXNKxnUbqmuHWwlPYLwr0XFTw6ar52ZLpFk8JETGOMbZNNSy
uqPyXeUj3e7OKr6Si7hn8/RiJLg0pgWyWPl3NvfzU51UlovOu5dQ7Yvbdm9DxrkbfdE/IKeNUGlg
Gk65MShxP4JyxHrVqNUnz2lbwqKoP2RTn+3oqM1oZdJandbTGELd7B2JOlpZbbsxhEYcJFn2uUe1
hgZThP50N6rqbsl6qseOZUBfNQxnjf3FjdPhD2DPXfsVjrBzn/Ruv04mT56h6pZunXROP9KceHNn
sCBI0jjMXEIFLS71wgf4LUypqJT6jRuXz8zXdI0TdZlvAYxCdvGU6d1/sPz+4WE+QDl9zRPDHUck
EYLclK/C8hnNJAlGaDLvrJJWxErKHOU80VMqiSt5Qzfdzz+Ix/5Y+S9fE6wO3U0O8ePUHQk6eE6O
ks9NWVLjQXsE/QApLIBv73/Jl0/61zX8MqTIyIDRwS9HS7kc7bHJBiw6kIE+W8CEB2IerotVRW0g
3WC47d+W6MRp/RGjXpmFi3KyGOoUzkHqepsJb1sE99LOu1KeCk9Lo/HvuW8hulOC7x6kJHixu1Ki
FtdZzg2SPeVPnI6C85JOxs1gz/bnMKOks7KQ+6zXcR5fCTQ4ErD90qPQmdO2hgREDVqF83NWobac
Nb1CpNM1n8ypwySR+fsgFjqS+mFIdBhAGMS4oPVjH4cEluG3kxPMy7PT68FPUpHsRZUVh2mZnkor
LB6FEU6b3o7pDzYoHaGpPLvl5v2ZcfXIv5kZX4M1NXQKpiDX+NGFYuWRpNOW+M9xT4+NyrPKV1Pg
+uGmpaHYbQZHTgcMFqZ+lRq1pDFayQOCfeEFFvJDtyr82LharNg5iGWmxqyi8KtMaT2tVW5cpHPp
n89i3pdCijvaBcVVZTBpK48e8rxeuokOZVa10dqvQ/+WsHGodiM6y7OXpZfCx1ISyQT3kMZVfSXd
rujwPmr7b3OR9PdI6uQ3yF5yQXiTNe6E3Y39SkDQvhuLMIH10eAPDW8GLeKhi+mW+ehX0zPkTvzk
uEZwniaz8xmaCzwT+nPu9MGyf5vsM8WMrUMhDoE1sln/WDuqp3vCvPsRlr+Oe2k0InuoUzHj0tiU
5qU1kkt88ETrLfD15ZHEBqQ4li2A4B2bjQGTL5Tk6vyB6ASWCbB+0UXtZ+OMmn62o2fXcdK7sXqu
0el6SOOpO0/T0LwxhlDs3l9aL/Y+b5cWoSbH5ws51bOOwYBqRJ81iMvyRzzRiyNvr6KvlVqSYdPI
2V01pp1TDJQV9AvsTJN5kyWee0iAw24oKYYh3uUGRh+q8vwvaQfYnS4J3abSaDE+8dL2ADUGk44+
QTTB9WNnhVKEPa5ahEmQQq9N2a+UFVTrAL/Wem8wLLss74yL0MO3C9VI3zh/kduZ0e+AO4Ij7S4e
ub3XlZXm5xJEBBElOvvxqmiKEvQVzgDbAXzAgzuQmhKLtJ86qEIniSyEWikfZBkrkc7q2qNAfg3p
rgSdQJ1qovlPC7aDARSvW2BCF2MdtvDi0toDVxvYlXWidUnU3sSG9DMg/vRLDwXpp5OiAwa5PkNG
/v3Z+fP88R3yBBDXlKE0efjoSBY2oAHIQzlKnNQHkN4Js28AomYa7EwZOZX/vLR9dIKu8Ld5yHB+
mb2hlh+9xj8sWDQNCZsFyNU/3fEAFbayRaLmBzYYyDC/TIi39ElxnuIGg97TEN41qux3yLFE2zqM
psckUEPNOkFY44Mx+YcNqznUUICRqDb/QOwush+HCqfpH7Fvep8az2pv7cJAOZ0eyBn3Yn/Zo9R7
WjulPIErbF10iPHTjSq66Tr1kwBAcjkO56nRi58g5xt3FeD2/emDt3ybA+g9Du1SYLBng5kmqdT/
/bf4ZJDRLMPG6X/QIGrieyILt11TdJ9XfWsOl7Y35LRf28ULcBh0q5/4r/hoq0R2Pe6FX7UPbljE
5ybq2ve2crB76rkFdipTBcMdZ/7aaUBGvE70f3kWd3P94//+9+lZQsJEsUGl37vfSf7gkcVv87t5
6p7+50fZpd18+ST5RXgW357kEdFC/8rfAqkOxq0Uix3KE2hYUj75m2hhBAGKAZzzutmDPs6LWuDf
TrDIApg+tzRdLsejM0ve/ksgVZh/2bYuirg4srm6hv6fMC3ehpBArqmX0mSgc2JTikdB9O1azKza
dlrhGAeUkp2M4iFSvz2Y+g925tv6yetjtAwcWS/trD/Ks4vVqnlYBuPQLo4FfkLOG9GbwZUcAaN+
cCS9PQRenkWVBj6zdnb1kGF8+5WYiwwpMxFpK6DwCmnw4QLgvTh1FrKB2pMfXtogdt8EYfqRlLvZ
1ARi6A7igvr2kfRC3cbyVXTAWDeCmYUJ+nmlABWsuAErxF04nR9ohAh7Z/bxAJILwbt571UjpgSk
Kv3aHQYHQ4EJMn6tzb3BqsKpnkNlfiunVJ03ACj3TQSxclyguXHWYnUWTeUpwnHypkBkcY9uXXdv
dV55Gg4KCGIk08to7tJLJ6bQuRExPohzY+LMHrfzFuy1vLENZwFoBfggIY94gFV2YfZzuh39olz3
dYHKOjLwFyggesE6yUR/Y7e9/Im9QXVFqzu7tzG2grkYFTsXMxUtUjaAzijHg1lFdCAWEBzBgOiN
Ati6tZKpBh4m2jPf6qpLoIojWXAunswiNg6YHzabRRnjoaHZFa/I2CNvHRh29b0NYOZ6i0ZqVkvS
r8xmxIFJBc6ONrZ6THPkevDzSvC6AlAzY9jVPoaU6ecW87o62/mkaOV6jFjna/RXTJIUIctvsGHq
Rwg9wecszO3bMDbDZD2abficBW2draxQ+eUKGyoYREaWYrtOnQFKLQHrtzwpAhfLFae4MoshqNee
E1fnfj/2ZzM3P0Z7S7HOo1RtbLtg7WUAiFcOFKGrVKCYPqVY/UzZfJtAgN62IF4epV8Bv5zMDokG
D/GdCQTjs5Iy2Sdl8n1WWb2JUb48w/y2r0HuABLbtgwOJOviooEh9RnyiHEjynQ5x+OHSkY7WTnX
/2AamxyEpInjnvHJ8VL3JEIK4DCMJdCcmVAJicT+GXZH9y23UFzcLvHilVsDNYlThqCl0u19b7oC
kMMIuEjLr09+8WwKtMe1yGhkdHC+8/g+bBHMb1AS3xs1bh94Ak7rdhpLxHcccx1G6DX5dXeWoeSL
BXIXz4COg+wJbVgw34b/FcyP2CSoo28nmsW30VjY517SXrvTOFrAWH2Hpc3umYDmXIgc5QBUH39M
0gdnrYzuIrfL5VundeuZWfdbPeX5VRpCuc+XrrvFkxRodhfcNk2Ybnt3+YKnjLi0F7jd9ry0lxDa
ly26T+Mn7HX6dWyFw26Wzk05wm5Ha40qUB6APFp1aHzN30sP2Di+qj0lD48aZQZPPIB0vVrabNjk
sczdLcr0mA3NRYO/RgDCezqhDAQ2eJ3EDRKRkWGglZi3o0OQOtl9O8YMRNVs8CZtsztHZUGMyKGV
TTCl7/wZHEuID3CsCaEqXxsRHKCV25iIYXZBWe7HYSHWngwnDnb+nNvuCRJRrblB03IOdi2wmcZZ
4c3h7eJ8XOLbIXf5SVGnQ3zpNQqfikqqcryOPQNKwKrGAy05C9Fewi+2jUb30a6BzWcrs4wMeu1q
Cu2HrB8NRJYmzshnn5IWHaAu6YzTfK7jXn2ivosL5B4tyvzRcOv8UzhI4JKmzp0q6SN5AMr9wY9m
jLciYUczQl64I7rTgJz8uAxkhC6gob3bCXE62hFq8shlHWxpEPRO+ZzOG6nF4cDExpDoG/3PfuRF
n0DGjt89u4QDjVdCjUMbrF4Mjngu/mPkcH3hnNStWZ6m1Le2newXzLSaiEidlk911jgOmm8+gLqd
hXgs+jBpuXVrBLHK1sSUzZgTyQyQLk+K/9d0RvlpQdgxwxzN6OvNMIzyZhJO/cOhdnPOi6TxLtfK
c/UcymXTe/hKbxWA/5PALMKrwk29J5hgvJ8oBmsH8FzegPemapSTAeEiRJcIvJHRyZ92oIoHYRK1
FjkK4BvIT9WnWCbUIVrCCJS0KjBt7Nti8xLb/DcK/CAK1PBGLvV/T7e9rFSX/M/6SWEOVL6JBn/9
6t8qUe5fFIvotoB68G3b0w2AXypRgfOXZnU6ALr1inB07+DvcND7Cx9uxPI5CkkHbI/f+jscFH/x
o5buyIXEH+hO/SfhIMLbx6EMBS1UrOi0aS4etL63oQwKpI0EBJIdpi5AupQydOJvljaGhW4PKoQZ
MtRc6IHpJ95JZENrOSlRIYc/QrZZru3RA+MtFhSftxBx4+ZgFBXXxgoROYmbViJaInE3OMfsg+1X
ddZl5bIRO0e7scxalreo0eqFNkZZYczAVqKtyEXDJg/OUbSrHss2qB9rrji1HTjR6tVYYksHmN15
KtVgXcpQGlw5JVz+VV/ZQb23Ac+obZsb+ldEhGhjnqXztd10qM/S6LRXY629UuB4TLfx5IYPEjTR
rcpQCo5QBYlWop58dRXbuBKfomZaBafYl6OuS3J+V5RSqw4nYICtUitO1xhZXs/klz1KiCFf41UH
17Zj1IgtYd2ZIBGffBstu4pq2kEMibh/EY0uRaUOrTCBo3sSCcpYN/FXNViYB+QF+OimSWukR8OM
qn4dLu1zplJGoHQq5J5btKdF1OjrWSh+zJksenOVixRwzO9hV8ULuC8aycBgp2tTxPZdFiV4jvbC
o3XhhRPf2sl5ZpCL+rHITL57WLjLsOpHU1x6TirPSpp6lyI3svMA/0LEbtLpIovS4QQCSo4Ihs/v
+IYez1cxTzlJZHdZ1/zL64QWoOnVJk6j8MHu9QzTUSc0N5e2/YIQ3jydj3WELPmU26idmG2RpzeG
tPkK1ay9evHN5M+gRa127RY94zJmBu8IBwcL2XF2DHftG35MMNJJqIp1LhPzswKFL3YESkZFKWj5
iag+82bCyXsAi3/bLa2LJlbiIceqVY4Xu81u/AFV89WLimhtSfuudFiA+pJj1UoWej45iB5y0/FJ
JOj86ScR75boRdQRIV0nKEuj6NoNrAZbtcxsKDpfbMPZFSfkKr1zUQDwb8CPtyw+w4YgFg02W88f
6+6Z5tcYb+EuoS4M0hdFYVQ1ISTUlO1WQUjQBpW6xiG2JIZFCRPFQLkdWKLeytLmAFUNJujgZ4hA
GtmA+ioCGbx3uvSIHsscQXZhxpRPiXFYMYigtM/T5PDIErxoDDmWdTKHqIz1eoroHIoT6fYo2Vst
H9Y1JmB8uiNb3yFzmYch3NaOVT9qb/mHlyWcGj7jm6O+XunNnulFGnnDdDuKniEZKY9fTzFbQS42
ctNJRitMq289gANh4DqIXOggFwELpvfN6qwotdjUy5aACQfOIwUggLEwWirEQeIktdLmEW1IdWhc
6EJEZp515+A792Bk5mCs6jZDsJG6C26GCrVYCEwzctR2kO5BkI4YPaSSrwMZDlodkFvKnDM/hcQU
C8wQbPIWcH28jRSJ7ABYbf8qSwv/DIXxpArPaRuHCBthoL3q0plPqGoL9e/CCFQA6rdNxHXWIIeF
j1Y7c57GS6gdyP2D5ypzZxZZiP3bhFTQmBhK3+R8XzGpeNwt7dwTAbIpkDhSkhdaBCeWtKsxuZ0R
+72IM2Aq6YwOmkBs8hbyoXOC7JKBDjzg+nTlwDI4yXNtyNRxZMCvte462GmMoETeu560oZKNI+Jj
jkT1gWATBDOQ/jtfsOa9vBijHY0/tXxqKVA4h6nniBQLX5hYmxVlhFpivbAN6y4yl6UGqwj8eitK
WWCYESGul8GV3veOVikfRmYJFJ/z1KY2RzMmnKypKHBY4LO3MK2q1SJQI6rD66m0rLumRxk8AwdP
+KYk5V1pVqwXq0VRvCpZpXQm2RHSa6zLtCIqlKCPIWjKOo62Q6hXjm/BJyAfU3y8jQrYc5xX6T5N
XFY3ZYU7GlPIC6eulWFQ0EOpsHwT20O95gHH8EsoGfOWdqPXf0+l77JPh/ABSJjP9zT1sTeMVtPd
DJD0ph19Yc431YLOLhKh12M4o0NcN1r6VixM5OuRlrXkzpvaH7mMkF5S/Qk5KCJLDWUBta0tw6JN
zO4qihw5rH5keAFb7F52nBwC50Hjzqz11Lgq2b2crFWVWN5+TILmwUpFWT6MOJjmn91R46ULR59S
lrancZLOfQJKHW4zaEQ3VtJrKBHN02RCjrgGikQRlFqmtrflBA6LxbocF5eDrCB+6BGuxY5lBduz
tJIrevEQaNEqQGvHintCiFVclRWKPCg4n0m6hphA+khuMCRpWNwsWfEjM9PCD1CgNrCplTlMow5Q
4qlTaleFHMj8ZcWeVJuEI6YClWG7GeqMynuuSvlQxZY6pajcm1gPBqPmsQp1BybxBLsoRheTteIu
neP6jDsmuLZoCUfs3UHsVCOQ/bWs7pIiW3XW4rCyHoI4uU9pHpPKldHXBq0k6g/NeQv2YK06f236
GXuApoclKVR03XwCj7g+wzRPyejaTLTtZ9h9hpS6q0F67AxKe9ewVFaZ9EHROq75efaK2uCegIMW
nVhWJTlVM3Y4ZcDNIsze3tRmLTeYmhHzU51245XXONm6rmx5sKwGZejUqYO1QUKDa5s9hPjPL9SV
pvEUoemctBCpSPT8S3S3qLpTTDnAX0/hAbY9LTLbTzC6Fs5yFUyaQZiBbPDTqTmkk1GjDDpa9441
VBeG6ZVX6ZIHp74dsXotBJi8JKggi+N+gzzUZK+y3O/P1DSYF/hTmqDmDHd6KlBduJ99ee9kflNg
jdc6N02e6IJCOwZrZ1EhJQ4x/GxnFSL6QILbjiE+nyyybeNiB6n5lrvZyMKDOTTDZp46BLWCekrW
gPqQVBNtdhGoJJsvGC/vOSP33S09PghzkZrbOB3vwxB70Tz11d6Pxq/oq63dNPO/xTQtbxMXorVV
oBEjcj+j5+yqm9ZkWL2w9LbuJKfvWW/fYSEQrayxbS+CNFluJMIPaH33codIurOPwsE/r8MUw8+m
vWvgsGcrABc++BfZVFiWRxxRuSQ+GZN6GxM3nKIrYJ3aLU6dbli1kIh757xCEHHNoJVbyFHup8lD
Gg29rGBrhMipZ5xYNL1lfu00mGkTdRqonlxxCcyEfEO5w+PSOymUmG/iCg/fUpQH22jVPtA3hJhr
dKnR0jq4ORPW0nx7bKOp2WS1Ci+WzEVLDWdJBFDNW5xQg/NqLrp70M3G+SzrAj/OwOf3RgeSXTfQ
kEWJ3l5OEXpq9lnaVV8ywnfcGno5pKxvO79D9inApFSAzPMgrnPz+pucKl3vu/Muq3J5MsJIfTJy
SY2iySls+IVcDwqtf8Nn2eDmMJpY0nT93ozyBNfbvFlz+MebBQrrPoqT7mQo3ec6iZ2t3SH5b9Um
DEPwzCcz4MenSJl1s4mqdvpCRLwlulZEgqlZbubczLdd43h3mvx8ycmvEI+gUbgyUts/mO0k9hIz
uk2L0TGThnjiedIbvrWqRZ+FPQdJoBi7zjVvhzEvrC2sWoU+oo9Oa3abRhYNdng5TnGA6TPEzxz+
8S7JUOfCGaLeUEMpgS4kEcKXVSyiPRJr+CDPKvUOMFXHBwMdyoBrD479Ku0t2qZ1RwaSNFvfU9UF
qnfpJhXd+FB7AVKd3pysQmTcdgsK1ds+Mflr5qc7zy7Me5hTAUtcyMoxTlNEdQabg1Sm4XcYNfF5
3MjLZOjaz9RV+jOpggsvL9s1l1f0Sfa2+SUcWw8ZTHKX7jRvmjn93Hp1b6IY5oXdqdFYi90fOLXA
kIeib0bKcIgQ0rL1RHQVdeFINDtUpCFQ3IPHqMHN4RBlGURTjm8EZvCPh0Qk9n6WVYu7xp3JMFcQ
xswRq0XX7MVjgA1ns7P7bKYEnMJf3/nIn8mzxoRJuIN/iVuN6WqfjUHZodq6PTFoohKiLdhgBCKe
ht6s06Yu5lPTWqbb2R6tO2LRghrPSFiObmH9QePBsv/IncElW7oXYNO9sY5ZG0MI0V1AhD+U0YAZ
I3Q7EPp4xcDpV27oNuuylqgNw4t6kk4+3zYdWWaTkIWl1QRnvWzWv9Ugrl979b/LMlk6W/9XC5/G
BApRdJAEdlS+gLCg3/i3VqMBy3bpOfEPKtNOmJ7hTbcdxYQH9IS4wQNDJy6wA9tnx0KbuR6IDMsR
a4S9hQ58um7bWkfPhKTvv5j4pxejNxN6XoAktnuMXfeRwFASxv0BViqxBZqsVdHTxB6VP3Gfibb8
VFNidzDzJeDYTKJq81MMdYbb3hkwwkzA2D+Y5kye47xENBbI7r2BXsE2duiLIyiJ+RFaTTr60ll6
GZqYehgyIs/NfTX1FzMlnefXdCKVIw5nLxY25VxPtwm1ugyrlmW61jfwE4o94Tn2IgGGO66PDdMH
83QEw32ZJ9Rp6RG+dApp6r+dp8QymhR2ubEXicvqtasFN6AAzBNrZuLt2bLh+WwHg/GptBfS3kkm
vNac9sunKfQYrVhYxJXuAkI3K2B0rBks/qRQjzvNS2IvbNyDVqPKyK/pU8TpoYqpXayR0BnibYy2
BbaIkqcDyyHt9nJq0Csw+PL5/bnX3+XtmnQQCgvA5mmntD/c7HqqkmndpdkhqkKmBECSmD4vztJj
ozcvS7NzJLoQm6p0i9xbge76SJ/6H/YpYDlNGgMgC3bhGNczJuinLXYXH9wppJEUlRqy0odWZF9a
gFNicrKo3qciTeKzro6Wclt7bYRSUGfdwbrGl6jKSb7+42GB8AcsgOwWB5Tjw6MUfVQlmRMfSoMM
CWl/DE4mJEJCEheUJjuQJHLT41aLMiSipI/vP/1lwx3NCo8HxvH/7J3pbtxW16Vv5bsBGhwOJ6DR
QNc8qaTSZEl/CFm2OA+HPByvvh/KMV7b6bzp/A8QGHGiUlVxODx777We5TlUqn+SkxSjm7ZFN3FM
xoyOQWJgb2NjJr0cV3MejbY2o6A86LZuoO2NuUpl+CWSYydkZV4TatelAEpSFUY7tFrgnSSID6K7
CYPsUY/9IUn8txP9N51oOrz/tRH9f+oUjM9r84uG4eM1PwQJ/icWXgcrgy/o8f6S2Co+IfNiTTax
LkHy81EL/NSB5iWsUT5KATQ29I3/04EGr81Pe/OAnwxS7590oMHN/bo+YLDgH4TcrkHQG5+UD/Hz
MwvmiykqsxV7O/NomNgaaBbQqduJfPBDFkp7RwcPr3/Z9+NXnmLuyU6FhEdkGP1tWbY6MppKeyXQ
Rr9KWXqBDATWvZMkMZVUBWU4bIR7jrKuuR2TLr6HdZFtUwgI+xyPyUtZBR6cRzc5oNpYq7GRX5jF
0Q+nfxMjkID5sGjaanrTK1LRYpDKWJ/oVN5R0aYHv8iKY+Ba2ZYqhbaNKq5K24R2lQX5Cl53dDC6
pqdLmtOFpi9KHLYWuodcMm1fwMq9prOXbel3sdw3YZfglB/MC/QD/wylSr8yQPReIcgkDK4rLbZI
9DO2QCnCJ8OPfZav9MYYnPaKCMj7SR9xYziAZAopfI2xeWW9I19kT5/P+ypC5M0lT2F144+GYPdK
WxKp69CQrh23WzvTq699z5tYtQW1LWZXQG5j+kA16sjFwM2/rfIh2fmNUqte9LRq3dFAnW62n0sv
Dq5VG/UXRSD5GzCM8amoW+sSplgzLXbrZ4dG5IUxRLzEmhFvZEC6jj448ktutcMKcpm7qTpi6l0j
5WvQIlyItMh2hNGYC5mK9itx8ou4tgGp+dXRLOCezzCLNgb2k9IXWjV2cEXwZL7XPG2fMUhbhbJk
TA5UbytlZ78DKC4XTaLio3JEv3XYme4J28pvcCpOJlk2SXrA2hbMue1Je6SvnzyGY+w/uxLEcxI7
FfHkjIurrpf3fiDiqwnB+xUTV2BZzJbjz4ESzSlp9exOlKLa5jwW/UUPhodHT0bxmWaWdZlGN74K
2bZsQL1kGRnwHopqcgMxJygJzLmxupODZ//Gr7lW0Dc7wTKZRPbWDkN1Dhwn27HVtI4OFsBtXjnx
c+u58ZOsIgMWSGVfcuBMuyEah7OuddbR7O1yV7dleK1E2dwnk+WzoYC3nGvtviqCnqZ/YXtnk5X9
uWCPeSVDkdJazapdwu4ip3PcZOh8I/s6q/qjGfWCy5ENhKYripFQvWLCJNtmHFJjbVaB+yqt/htd
zXwfUpUucghX+xL62AaHhLca3cJ8tET6RnO6CpdaKMxnaPH3ZWdB/2qAQ096oV9IOHbgf9FgP9ga
pnM66Z5OJYMbYNlrjnxtgjq5ccMUBD8oVP+NPPZoW3S8KJzi7MGLdapNCzagjkHvmIScxN6y4r3T
Zs4KkFF+51qN+mJ5CGgI7aM1Whb7kJHWoezlFv8/FBHHJX8pzpL0wuAou7WDbOeMvTo4bBP2Is3L
VVO19ChYLJ9V6cd7186ZEMSWXLGVHNhsUC4ydhbfpkGWSytF0DxFI8V+ZadPAKGGBxfd+6Uih23J
CUWSSlljrhAzVjdaPWz6zJFHiRQlodW0sVWSb4Om16+AF2RbmV26IOietNmXlzqWcUn00NoxINPJ
eOtRFxZ6V79ZauSTAKTr9cHdMp8b1l0G6n4duZb3pFzwbAvGMRkDG3csmQWMsLKbMt3CoZ+QJY22
u6y7wfHR5/TlIgzGNWkQCGIJEiSMxPe7B9KO0JPRrayYnIeSZQ49+sKvav0YVpJ0viLQ14ahPSV0
jL0FmSrWOs58Zvpz68DH772kYf0ZwYW+z/RGX8O0lAszScsvGbOqI5sl/2LnnrNvGno2iwlSxiVW
GhEDbrGEFtK8Ook70G+2vRu9cXKwqbmln+eY+qUX5ISSkLLhrGGy+I8+T43zJKLoM6Ki+ERn/QVT
o7PjiTgtx6Tpzk0oYi6lPjk1CZkDatT8U96K+kYlgbxKIEI9akGcnZs0r9ZklhHv4Jf0LRjkrO1G
Wp/TPjcJeuBb0iQpN9GQmN8mN2yvetuvXgUNTR4uZAo8IUaOH+B5wQZHYEKJnfjhtgVlCDUs7Jea
EUQ3hoESoPeFDZ5eDnd6y6EvIntajaMioGYwvaOHaC3Be0GADQTZnguNdomv4RnmzLZQpUKr3Rbx
oGhETdVD1gbbGBjpGvDYdJN2llhTDKKUGpU+0XDWCrGww2HjyLI7G11oHnxsNi+9hDjfow5bdIB/
r2Ju8WODUHWH2hGWWipr/zl1nHiVF73+lAVI5FiZABkoczUyHb+Z2kR7qwAiHCrlaRuIj8015OJs
bwst2CCqai7Z2HsPWMaDjaFL/S7qYp23Yxe6HEfN2ViRW5/rkcSIZhrf9Kll+adwmuhPDyLcDgwu
6KuiZjHnRIFCNzE9FDUNT4bDPUS1mb2qx6xosX5BvDgznpMkvG9tNiILWuIZ8YeWry4ylNmuZMAT
L4bKpRCcmhpRtRt48t2vq3TfZZHJzLXXTrFJcq1X5DcEcaY7ZbfPdk0bl7VWYr6i9vqSKucZOumr
HrTvoNeevXK4LYwJQcnU47qyZL6vC3dcQ8C7N2VYHarIde+7KjUfU6Tcb6gRh89gbp69jnkYlzpT
sDo9MIeM9fZQyUZ2apuRIDA59EhtZuELqluyOmMwnmI9GzBPg2m7q7YfWu9GKjnCxXWC9zYeLW+X
MZrxn1G4mOgI0W2SZqpvmQBWE02yim4UhNXyuWIBZe81cy+HIN1IGJf5wdOo3WYP4IpNXno0wrE4
tHXsPtujLV8wU4TJTYBn6OhGNIHuCWaJgm02pRnd7qHpJ7oSobKTr140NNqDDd7KRjjYBQVSyjgt
4f2Q3VRo+rgFVVRsOkJjEET1oISIQtBHzqQKxedBM/udE1cucy1F4ijDoY0/TxlIrDzEtTgRoUrl
p2ulvUjJT33UXMSp7EUeiinK1hGK+wNPEO2OQXN4oog2ljQZx3OHbutcczYPk0K8GMX9q0j98VDP
ndpGaO3WKAaas+283SKWlZaGbdXHON6j0AZcNK66MlAwI4FVwCYHdkb/BqiqoL9MvGgitXA/CdiA
bRAEh5qZ90Hp4ckxiB6h41SdkOKp1Ri68qW1CByAske+juziDRBUf62FTDdq8l3XfSAqXAsRGFEF
Om0J+djbtXpFsmxmkvurB/o7o2u20RWgEWL4SPQyvjpe4XifG71FFv/WCpe48odAitlRhVE9zrPv
Ne+/RdzfFHHA0umK/LWaCHVK8e1NxW+t+rmO+/6yH0oi4xM+fMwfLgojC7EOLbb/5M253Lw68h36
SYiuoWX8UccJ85MOwwiyCzXc92LtRx0n9E+UcA7kb5vai8rwnwnLxVyn/dxR8IBS0Ahl1ma4uHJ/
N8jZ5kipCVRxhxTHAFcdc1/BEoMspJ5GJ/3iYfRbVATBrYt28JHkOM1iGMb04BlpxZjVu/eILTuA
7UyvhjY7MeWk3a45bEtra5HpGotv0vnLsRUDq2oxbYSV6ytWSwvOifQ3FQKCpe8Qy4Ov6FLBIF7p
4PhBDnvp2pA0GkOUfQtuGjIskAgudZ4vK+A3T0w7eAAwbZRM3ZaOnXxxtEpfZTk/nhqsh2Xn1nRL
6ycDkRQEic5aJHAk1nngPmLOvk0s40tX8/YQyZ6yMn7nFkLyWpJsCcWEISvyXLOYJ2rVoNZ6LZ8c
kCxQaREc9xpfrwgxRQ55oa86zd3Xtben+6TWQcOhoR+0DlWOQTtJ3+EgDAvH4VACb2tWuuSXZh2H
QCDI5StwGHRvn8dNs2LsSVNT5zNgYmavF+BSbcH17RKBXrzMWEAd6fB/U3HpvVat51cmAgFl7LfI
Ws15Iz1yCKrMUmtbGRNjp+zik2OyzhreMgP3dLSF5OP35Ky0kg9kVQSGYUt5SBufPSfw6hWr8ftY
yBL/V22SqEMYDVhbk/jwLHwLMs3gOPj38IIUwoEMtiw08yVITE6wItUOAypla+I394EXpCjjqYaY
Uk+bivjhXe9x9KyGN+1td+8Z2v3HRUI0J3WGkA0zdq4DY7QujM3BUur+fU8lvDRT/sh1+9KRs7oM
k1TsqRR8UrraZlWG+XBwfcbBXTVfRYqf1X33HDdGClSV2DS3w6/oBM7AYeLCarMc8o5tn7me38Hp
sfsw+ehZH3+hU8+5n/gbwasD+yaN3CXlgfKBpLjMc45SY1AUmW41Xemy8Zd1Uz99nO88JFG7Y1u8
VD3fF8ovs18fPW4p2Vi0DIaYdYTv3ORc1azleLS5Oj2XS6Wc74VQqvEhi/grsMQvlsEH4c5jM0W6
2bnlcGE5ux8nznwvuU9cZi6H3sunq4iSBOJQ8+SS3gDumzPstVxMjB/PHweDQO2OGowfRWv1JcfX
sA50Vx6gEtlr4uNBIqZNcBgpJm/zhhAuvEwJvWgyDC1onZspN811zVxnlaM/W6Fh4zOEUXP0Gm3Y
0mKByCsD9G9zdE/qclNSKp7iPil41pZcZahrsakX6ZVncqNaOguB1/EkZ0+SrXXuE1T68aWL7PPH
7WVBRkaL184JixlA2RJBb9nSDcB02BAn76eHMNKL7cAeZg0HldswxYn4cW4xIs5IwOLkMFdmCeES
KCrpL9HrgLOYr/LJTacNWEx/S9mQrkfwoxswCNkKBjH5Y/MFMF/h3OKXWEwFWh2WMb/j/haTP+0+
TrNqyeZVNZcRvSWF0tEIXiGCMTxmOLGEwMc2sTW0XeBbrF52/IWNG6fASN+pf2EZWNw9JArHy9xS
/tIsjOCg121xYho6nO3B3np98gUyMyM5ty9OQWqmxFJzR7STru1Cm/uU2ZxxGpELbBhBYvNAcHPS
Gp93h8fN2pvTiGRxMCYK4kGQV5w17KgGfplBEBS2ImfpooFbgQcluorJ97534FW4BUOmIc51TCJE
WmvkuJB8a7C4ocIkVQ52bdCalwhLLpDHYtxWisUEEUW3xGQC9abjIxCrwF0EG3hH5Dp/EH/+fW0y
fWIzP27aLnY6egnaPb87urFrLonaFhdznJ03geYtbOpzHjs9F5Mcqk3DfnGZlpm+wndcnAZHDOfW
Td8pszg0ZMYvP4410a9kV+X8ytbgvIrCSddiUM1KY1aygGSGBSXTghuT7TzRXTLbeoF8ly7/OW8T
0gHsCjM864nQsnhj1PUbOAYbV6wRLkvpPjK0LdepFt1ofXsmyD5Z0HYPD2M8MJLSMhKK0bSN+hr6
DAr5YtAQejMRekntLO8WhE0JZ+0jz6NfP9XJFzMphxWFHQKWWDfv7TDNVvB0quRqRA9ygOjKKbT0
IAwWQWiIdp3oEsh1GasbpuywusiNyGjF1Q1hBMsxVfp6wJbUrCmXK3Q9UmqHKmhfNVWWX/FdvYlY
L9tFaA3puyctjYgdEJ4T0cr+gGKmIAjPz1OQ4aDTJMq+hMCoPBGdtgp5FK1MwwuuAP5O2iazGOWe
UzPy3H2BJS3fgXJW2hOS424ZYaPKTkGEmBJOeGY4SzmmkkzGDqjZGqFuoN0WLdsHcOb3P23Fbr7v
YH4eqv4+v2JfIxwKRmx5ukMb57eZauZr5iRwd+3ceKQKmaJ3Ajg8liDvHng+6QvESS9F/LdQtd99
bR/vK+jUUE7rLtP4X/vihE2agJWrdmf0H4sd96AVp1+LHq8nYTrv//1b/q4D/3g35GvMAgxf/1Mm
zdSHmoinot1lIxfIvBPwUxqhIY231cc7/VsE/E0RAHb/v05yVt+y1/61/vZzBfD9NT8qAEyiyI8x
VGLgREg2b/N/VAA2xYHLXh5gldAdk7P7Y5Djf+LSpTqALUmJYM1lw49BDn5UIJq2jq8U6iRjwH8y
yAFW+VsBMGO7GAyBp8ABy5zptws2TdgTGZMvd4jQoieVqKJaOZWFo2fAr8Jous7VppLjTVYCvV9m
EZsq3fXxNeo4/bu4YM9pTcZTELc5PJkidZagDvpvg3K0+eme0MdjMJGF6qYAw7qo2+xFaDW3YgsK
oAjJex9RN6+xKTnjgoMY78iks+8SxQNvoJN5zhKbMt5r2Te6BMqImahWHxyD0MW25OGOKgn0d1TL
BQ2X+jiAxEeYb9GiH+xk2/PhTHgVTrV3pzjYozZStwWS2wOjoBfEb9pTnOU8f2SBSkEOxZauQ7iu
5gKlwmF4PQ0sEvnQXNAdfrW1lC9JqgFWAvPCvZ5ufMwXK3TiGlHdhdqimn+vmCr0C91XINFhNa3t
Cu0fRgYiMybePerMi2MN+iJ21ZWCgLBoTTYZhnePT+3KgPyPNL246+VknAYeAjRoC6SCuNr4A87m
SAKqVz0BVSXgwVADLq7whQ32fu77LeZhRTqmL9Jm7+eW5R2pQdMzCVn6qoIrhNarajetzqYONPCS
S/B+sFBbugki9QDlVdeSQmTzq32J3AoSvH6Nj0DbqC7FvtT42WNJMfdoDBZ7onnnT6yttUE0MTAI
AZkU6fl7M1U3ukPwY4C2ScH7fSXls77Hl4X+Pw4Q5VpVtu7ZBt5kPfEn3uQhYlDymgzX+kmk3r3T
xOUWvQ2k/GaktxKk7nrCqb/zpeOt68x7yKZKk4wQ+odQBOFBkGzmskWZDbN+0L5pOkCDpSt166Iw
d57zWEYGXdBooDiJ5LTOouLO0gz0wHVRRyuztG6bTPmbxgvw4VoR3G3unEVCONIqAu+3JIRE+lsU
qbQRw8ow2CCMiNQh/wBu7pzybCIvO8JFU4RV1Jr94IJwPorc0V8EX3zVYPNd5nFixiuSY8pyY3h1
UDN+HPUjWSu22pf0wRc26Urju1agEtl6dVkG76Pv9leZWYNgQaM47wBjq17wwKdZnhh3/y70HySA
v1noodyy9P11t4cBnpqxA/9Tvv/PEplT/iX+xUH2/fU/Fn3nE49j4BM4yOauz7y0/1j03U+GQU+I
VR0ex7zu/2fV9z4x7vfnET2YAULZfzKQeZ+8OU+Q/+l8WNKcf7Tq/za9Rx4Agg1Dmo2Ymb7U/M1/
nt6PRpGCghn0HVlQyzx8x9p9PYwBcvZZWQZ5LdYPuCTX3EhPRsrKZjXf9xN/CQmdW2m/NJ7mj8Du
DAQA39n0jfn//yR6KwEnVJ5HIHxJXuw5EE+jX52aLl0XOb5XE/e3IuXWr8ICdGRwVVUhoammKNa9
+SzoLUwRBZ2GFX7SFggYN8onFMg1zjJygE3a3YLt9KzBmUXQb4LZE0k6i7aAR5W+JPQC5n8diV0W
8fjQTPD0c7zY2nq0/Z0oFZV6mDonStxiRPOs2CxjBLGII0nb5WgVj6NH2hbXxG5grJJbzA1M6xi2
vYv4YLoI1QBcy+jJeNoVNzSbdxz1mNtOdJ8vrDzteijChakxsnD8Z8PS1k3ovjKcozuVGAvfsZbC
cVFB+rjxonVbZqtuyJd1m94OWnCfSPwGaYOJSFUvPK/0bZy1N2HjHmmRfZlAFagkXUqnz7aA/b1F
r9BvYy94ywehb1PC+xaj3r8VIlyFTtuciqa3adZVSyRUvNm0iVPrOsyTcPnv4vL/s7iAuZsVMn+9
ujzGdRgXv64of7zox5JifzKFw+8xZ7r9L51kz/rkQMFC9fNdEPSzJ9XHyUpEq06bGcUQ+MX/bCSx
q3LvU6VQbn63q/7v//XL/dv89vef6y1g9L/d0MwqXcuFzYnsiE7yBwHypxt6fgKWDD+NneeNBfaL
rvTmxp1NI2KUdIEsLvngZSw8fBvtbOEg8zpcitnWgYSvPVulw4BjNn3YLtk769plJhzNppB6toeU
BcPoBWiPvQwUu5QAF8nYyledx3Edr2oO8AOy/YLAGQebYt7jB+tMrf5qBwW2tij0T2IcSFfT5azM
pOX1SteTH0LphwsQCta3dHCHB4LP8+EbFEEfcVHciP5M4ty6zhsU7ENypEtVeVuaSrAaLWZAMPOI
FDu3zILn9nmp3TO9xaExRUW3rjzcea4E9taw/RArhgTD2aiHbFWnkfcCEMQzj43qPA5LaZo7g3CH
U1IZBCqlDksQIq+SeKu+tzeG1MWCxvIXgcv8SHB4RQriJFY2nbgnwo1wvRuBoDFDNHYWWP2jaQKu
wFdqoLhp8N2VVV7dBD6Uou0wu3pRv2jPxHejqWyG4SHSG7aGMbqRhZw6OhxVE3eKPviAtnGifq4W
A3QKuQn82T0LI1KZ1zK2UIJqbJPua+mJ17YSs0E167FhhdjpZ1Dv/dBb81Em9DqkY4Hdy0+RV+Ii
RuoNb5BRYlbZsw3PmpkV9ew/ZKE1W9pS5Ili6i0wS3p2xy7ei0j/WGq1xE7W01I8GnXGXvLjXzOD
SLElSp+a3M+24Oew/vMa2xpTTCCz78z0J/Rctsox6jJdiJc23diT6gSi6ywKUTB/2Iq9MkWVXiiM
r6gtME/U3qyT92th3JNFy9fI0aFte7dkQj8oH2/d7M6qBkw0W5rfaATqoZmOfgEjbTHm+HvN0ECO
nIiJL8Qmlt8ja1SZKiVp8KB5Ix+gNyRaUjdMOLp5F+Dr7WdPc0jmUg5JoraSlceIU6yIXXTMM9lK
uPxgKOvhXs3JNKizE/UVrT5yN8L9Jobc86+NEPxkW6bliJRLregauk8ftl/B6HsOuJu/vDcpXFzM
njmCNdHI8WKSCM0/fIjDEHFapkZVz05IQozQ8ExBuzP1Gy/unNPHOzpui5q7Qym3x5TBtSk7k+Ob
9Hii+zrFAUCdi5lS9GY3bevaEK/6OFvsBAz8o6PX1bOkFdctpD1ArIbAIi4fLsnUklEJnDumlxU4
LS5Tac5e6tDK+Fpj7nkMWzPns1DJqD1+fEpUVG1IQ0RQ3bAD4sPalcNVpoGJPJNhU1CMpg22xMbB
3QrauJPTneoJoWS6Mp9SbAPzMUlGvTmr0S+PdOrL41iX/N0fZ835d0uvViIBTsvZgUtIY7x1+4wV
CvphvRO5boyb2djwPk02V2TiaPM1ZZgZQhygiPm2bDv4Fa6RD4BWQYJSaaeqXymfmHqoYv2t3uPq
7ZIRuzhXmrWkYWcwnIiKnP2BYLOkvHZZVjbPcpvE7W7RmAyX27wI8Q/XjXt2mOMfE3/0HzmZTkRN
4xq3SURu7yKrm+oZN38TECloDncdV/E2YYqwmSzDXOpdOPuOVPOWaPQmFlB0/MfMz4Y7z9HyJXF1
XNhmDUuWXVIJ4E9nW7PEFkhjbSpJOGP0UWcAlPwCOgeHrEPYBnpk1xu++yarWcNoFKVHEmhAtx3R
B4OcMEyY5hTz8R2Rjz3WQGNPTktJyxvm/XVv2GINgoXiXFMWwYUyADnJJKLaW0NsbcuMQcqy5olx
KYyquM2IaGIQk2YMDJiImA9gidyNxjjjm2DYAvFXxbuk84yvme1Oj17YDu6GzNPkhG0x/mbJoWe8
aI977CAoRZIsWJax9oBHo34EY9CsCnDQJOn5CARGA2eZibEd7knR89+GYqN7OfFMoT59w9mYcgf0
GZMSu3dnz4I7CmAJgfU8pklzVH3g4qFCJrpvpzq9ysEirWxsFsjeB2XSUQkmBLSzqsGp82+27Udi
PQHoyxbDKLGVq8E7Z712i+HRHNY4OawaHknXGKcMDby8TMKC5a37W9U5hPvh61s1MgWQSCjBItXa
4Ia8RFaT0SW0FJb0rVEUT1ZINNZS+c0Ubrs2tk5VijDnIais8rGPiIHMenET2Z3EtjN7FsLGuA2o
fe4KFwNp1sKmuJaQEXexm1VrvHv6EzK94cis8n4KTedz24wmNT6Bclu7L2jzc94QL3a0gtap1RMA
7AM9qMybpgHS5eRVZK8zPdIxb8NtGgOp9EsTleV6ICcCRVBtoBO16gHfiULRhZKOnkcURP0LAYo5
EcGitZMNw6M2340yy1p0WiIDNoHEzxt0dQ85wnuO4X42PAot/bpNRIt7Wav2nWNxVePKfxl4vB/7
rG3PytRf+tqTVxWaJri3/VAxSykCdSKCO4Hp6pt3I2IuANCJcUlhtr93YqhfRoIu5OugGHZdYgcU
2VHVEy0FujxYjusnMEfBJSKBEm1giofcM4ZTpwxryVgBSZVTH9rG0q7rWjlr/M0he3k3/5apfjjJ
KU7WgT2aF7x/3bMXO8EK4oxz41e+fT20fegSlxXlcoGyuzq7sImusJCbxSpqde0i0tJeuaLt1xwu
d9EJZzhUTV68xK0SS7usHoK20g/AYh8Vj8Q1zjl71ST6s2GG+6RPmhO4avHU9yF5aG461ksjaIw1
GKLoyJANIrBXtletW+/QVykcPiZ5rgz4WDXLahAnuKBIVF3PWJqRsLJViMJc8fDTYFpwqejoofLe
K3dmZnwOEuEuwszJF4QeiyUcz3RFJnfGGKXjOjArsYZf7fOk8INpFQpJxJHDI3wz92ox2JqVdfGY
nWAor9VdWRMru6gLEiNAD6hlOg24HVV3VdYpWPA2fHB0aRwL1AJY9gZMgmCCN2QW5ndxUnbIFdh+
bBjggVo2s6RhKk+eaKscBk0j+eQ3+VBjBLb08V6v6+44Npb+Wat5YeeE5RUrUIe1t4mblSIox1J6
t62KFrGRQmZ/tPJJ4ojNs245UqpRoc1gpqgvjUNLdt8ljh3GZoGz90j/OJXkwj3A4wichZ23j1Eb
PRG/ExADydhmEQ5d+NBVPpOuZqAdJxvr4KAQ3w16iDKOLJgNNAbOg6qTHpd+rqOu9NzWweybRjZ3
Qq7SZTXYWIAwcsF6iHz4C26OIL4X3mPl88W7aqjvgqR0N80gg2TN47DfeXBgViR/paDICaIYahBr
BGQjZE8isUK92hxLMQqLindsj0MtgBSb5mBteM1w5eZD5C3Ro3VfE9k67x5RVus4dexpR3Zk9la5
LiiEGtVFNm+tqrypkViMcgHLkD52lifOOtZktU6KLl56rYeoszLMVYCfdjnODuYUu88RU1V3xkNW
WQ8838hrKTKLljcD//wGDboFWMIub9t8CJ1bhkwW3mHNryEfJ2wLil4AZzP1cOM7RcENpLMXTB0j
BUoz3DELG05F2jTrsU39YZnQabw0bAOuzKyqWHlHK3xy864okUIm7LGE/xy2Rnk7BX1SLfIwQr3X
jie7QbJAmIrEvMhgjya4TXBhmanjYMhx66EXvTFs1dxHfX6QvTxW3jSspG/K67wpG3Bbrr7tlKxx
OdjBtg69RzZq/cZt6hWKGXFJuhGBOz3KNN0kQx5mh4b4AWMT+9M0zlbjKqFDVpQJ2D1num0tvfoy
kC5KE8Q3s25RAZKg29ByQMieOaVtreVvYzc0N+RtTtdaBBxxHTInb794qrqv2rFI3UUdtyIwt7nG
4rYPBmcrI8u9LY3scwVEIToWmXSDk1Xor6r3q6vBZiMXe1wLe8xnAec5GdO1h1J7JlzPHv4YN79f
IzokUuFmjnTY2Iib57RTu+o/TzMGQFi1F7o3oVnJG55+e/UdGfBTJf//GEVS6P/W6YLTJCjaPVvg
nP7dNpiyWQqcRi8xbc2lEx53tomMpdm5//c3+nNLjTeCFMMTAescA8hfW2pezWZeZrxRFkHkoE7N
87UqJHs1TsPM75hZUSFNdXSmLLjP//TdwV55PvBQQacSZOmv715po+Hq44BnIanMe6fv8UTgl2Qr
kdU7QJm8K2HI7Ae1PmcH/9/f3GAo99tB9nToLRC2sMCSFPLbdye8QYN8XZc7ZDn8duAvMHvcVEID
SpB7r4Qxo146MZZHFc4WSx3cMTUABpZsR/DE31GO52/7s65ujj8iEw5QlANWVvz+eUK/bxFLUcy4
dS32vUX7ASmxeY+NpPnq18bf2SXt30fBBFPQNaahC9lUsD/8feAddSMq1abcFXntn4D7Vc8NT+PX
FBTdPN1o36JMF+Icdl5roVXDBT4uGzIg8qvETqCUfNhyidAR9XVez4QuzQENU5uG/9hFoFsYWXAl
oYQJ2KujsfuqA5Pw6eIINd2ZzoztkgMe8riFwqKqxH4t7a5Xdw1muWYzKYxfzbJwMEG/TBSRKQyZ
gSo9DEAsxQTZ4/jlMXGfuxaEmGxsvrJOFO/e1DGm8UPKOCUbfh5jZPWsw8EZTiEFsTY/MHWqakML
LpPWtA3p9lSLWy+E0jXyg/W1gO3jbGtIK8O6gVX+/NEA+eDPfFyF/w7J/2Z2QtdD53r76/Ym5AP2
LmDeqvjnQfkfr/ujwwlp2dC5WYAtA94m4ZgO4x9DE9/ADsmo4mOQ8mNGzh3wYyauf0JA6xo+Czv3
Po3BfzId+dMyyoCFubsBJcDTvT95fFtErZFCQ75nGIy4j+zsrZXMfDAirOCdUcjUb0PbybfKqIO/
CawgX+j3hYPqjQ4Q438mI0L//T6OXYIV06pJ9znYhSt8UtNGMxvaYcQ7eStbRfpOSbp6C9NQlMo8
8dPZ1mUWp1KU48MUtOQRlajWQFqlTo2bx8BDD+XWHG7qGNmeO2rV80TTdDIpl3CzHIPYHdt10VTm
2jLUdEWMPdY3HzfkYozEkCKoL7pvbuLRwpAxo+wa2VeDQtdybqU24jJKggGpWj/cfIjqGDOPW7eD
plLaczPJIQrixMe0CUTui+rV8pEBM+5Cktdq1n5sR0YeTiS0oqJv8wEkNYKp1Q7eB6l01DhLX7vQ
Cp1N77ua+ah3UI7Wecv6ijsv0uznSPdH8KcQnFV0LEmbxUrS57Lqb8imhpjqhl4fnid4Et6mTEcj
vO1D3YHjlebAVuMw172N2XQKaVvEyr43xPyToRH5kFrrtCq2GJ4cer0zyxWhBFzX4IPxapCSaHlL
g11eyO4CXBD99gXJwF9g0YTX3ezMAoSBSav5MGwZofSeJmpjbV3Mjq6+kO62hQ4KKAV1o47vy05k
d3a9BDNYOvvCstkhNuEJWfWza6xGzDu7yHK0clfgBJCuIR/+sJp1s+uszvuN/L/sndly3Ei2ZX+l
fwBlgGN+jXkgg8EgRZF6gVEcMM+DA/j6Xh6ZfW+KWa20eq8nyUwiYwDg7uecvdfG7n2ulSPNvprT
uj4ul9rkB/eDM9HjVi42TtkpIrgiWpp2X2JdT+0PTfnePOWAq304KoWv+RuQUfG+U065xG7ThYyi
cgWzp9gD7e0OFtY6Wt/ZJVJuuwErLZJUzLIUZPVWM3DltdjzRn96dOE+NrDH/PanXRrBJVfMylE5
+1Ll8dNllx9dPWNKVlmgd5UXsFSuwFozoi1tQv/NuZoGmZknZ1qN9Wt4NRWOFfNDf/JmRCAgTg7A
AfmpSXkR6XJNW1nX85MpssdEwyjpOCFTB4GNMRaO8eQoZyNsCmsTZGpfoxu4cJQDssEKGQSt9zor
d6RflRglWRO612Zu18kM/NtQfsoUY+VwdVgqr6U5zBS+ThhwCFJeTLrdzm1QusYL2GDvZLgFpk0h
uz3hrdm+sCZ/2eM3emyVy9OU+D1TMzePUnlAM+UGzZUvtFIO0X6okmcO/ckLVzTbjspJyqAu29Hq
rk6p8plWV8tpoNyncWPOZxQFw02uvKmct7CpBhWO1SnpOJxrFC4bjbbZrUdn+Z6pgIPQl0dilxHW
C3/Pi+ND4YTmHXVSezMol+zYKsOsOeFirNIhvu0A0D32UHEeKD+rg5mS9KiN+G4p4pKnZnC6Y2ej
aF6PPZMU/WrWNZRv11YO3org62036+FKT3xv09Q4fe0Bzy9j8ek7vjt8wL62L1KcwR0WYY61BcF3
EbhhH1YdDM+9wFA82Tp58liMK+U1hunNWVf5j3XlRC7sCk+y0Q5bqMDuRkT6uJpHvMvV1cVcy5jE
tgn5f2HJ+6S061OkfM+oBs170oKn5165ou3AGO75QoK7sax64sJwT8N7y1c8JwTlKG+1vLqsr4br
XHmvK+XC5rLztGiy3vhuWr2bmtNtZw8h0WIEC7cenZFRi/J1u1eL96Dc3okgM8VrbfGJJ1G5k5Qv
fFIOcc69j6Cyh9soyM8V/dqTUH5y9OrZdrZ9ks6vdnNdOc9xJOq3fpf6J63MxT158hgDkNEAmqSc
2tLHvcuuVnZDudr7PqT6tnxGI4Hsxn2cGuGhKhMs+B4aSb6M4ravSQpXfnlPOec1vBYHUVvGg4NF
mHZxpwXLtnbIELwa7+XVhN8rP36rnPmp465HBmcH9hJ/DXdf/EiUkz9Tnv7aiuNHgwnWJXQ79ySU
6VUjq54hIVrRby0urdNIg/Z2ULyASpED2D7lJYtLcAI8Pe5NoRgD0xU3kCryQFHY8qCF+YDn1hhO
Q9eYB5GJYuPFdf0kbbs948gKcBowjDDjMcJSyJnV8fuSgrRwP8GtMy93upbOvh++S7DhRKDN/iJA
wiVLD3z82NIpM/RuqZUKHu5rrYaPAZ3ygs7L8FrlnpEtB0HYIsxd4qCzyKqfgr7o1gTTAJO285iO
jIPmvbCMeoMmt/4OIstx1hi58p9mGHrboh6D294IvOPgkXGTjXOzj3xv5/epgH0n2N+QMnfZqaMi
u0u8vL0FDY+322vLQ13CWg86oK6JlSKoz1zImEPRfydp0VmICgbjEi8caqgWsd89YFPvZqY+/9DN
XkF++pjt2uc7Pmay0x6jyHZe6rhk6Um1khSgVksKtWhXFJNzEKwJpizv3LQwT7FOdh+YEthqXjah
oApsb+t2Jb0Q2Om0UGCG1svciFAXlq73mupzBYLRfGUeAdEuLOwHLwzbhaGP5o3sfItlcBLnqZ51
qoUCL67dHurMNLYwyJbDVMQrP6nFbU/3CyM4M4gmKspzGQrzm+t1A5x6LdvUdWlvNScpoCM65tpz
2BxB1qIIL81qP816e+/aofWGkJDkLKOrgH/LwX9g4IdMEZDkRo8a49EOaFbBhKiscxrUAaDEYfTv
s7BwoTiyyUrdvPEIE+Sy55Z+W+vE16g2KrYUb23QgPqIejJKAZNLf0fgortzNZwWbdbiYA2m9lzN
WXUGy17vkoiR8GjaBdalWFtKie1gGxiN+52zgEC15yeE0dim++mBBHjJS8/eYOJ4tuvMXcPluzdF
06KBKfUORLT02p1gyQsXSZdEB1k1GrEDomWWa9GEZtOu57cY3lMNhC6QBwHegY6vPE6pF3JrWu0m
T1L7jE8RlmfMZt0TK0Dalde4ycqsZ6zuI4vwyQz7mulC81ToTX43yMFCkz/r1pb9DiuoRQohFMmJ
etNwd4KpzR2QrpFdwY1fOKA57VJL0BLWU7DrAdSCY0vhDrpGQ04CgDljyZ2dnWVZkfrYWCOpjRBn
Ob4O5GWkWiovTtPgu4aDs3f0qbjr0lrynJhOw83hu+8cfKO1ZaWC0DOWFRLFOEyPnFSLBR19+TAQ
dPFNx2LwzULVvsHcPNP7Dur6rko7/zinDqeV0A72ulv1+SLUExOURckOtgC1vI/7oZkh+pnJIel8
2qzxYMTEuoU+BohahO2HmSduSxc07SbDIxCw9m6CAbsC85LmYGdRfY9Z2Ly1rGY6+XVjrGAGM4fB
Q36ICjmvQw7+z+QOHRNAeaETy1Uv4lMR2waf0jrkqWv8iF1LLICDZcs6gJiIq8F5Zr4q9pOGeW2Q
kbmqe402tTm/MjL7GbvaPTmc88KPBmcFzAsUYU38RdkVcqubhETiXMD6W4ljnBk5wxa8Yr4wN/3k
WUu/9fuVyUAa60N8N1ixedva1ovRWkyYhw6jQYqhIU29BsVixheTS3+R5RMaKdOEFw2XGCdPbW4w
A2wiWusHRst3xMYBnGgKAvOwqefEVBbEBcJrx1gzMupPyaGYSyYvpZVvXQ/8ONMPJmqMwEAfzti0
8Kb4ge3ejU5Ey9rBeFRw+71qrbsWrh085gRn7iotmA62aPVbZepfDaG0lszW2ObaKN7jTvY2U9vN
ywpK0nJiOIIdsgtPhFKzs6fJdGfrfLjEy9bx3OXUCVXTLZ0K+9BfKuZ/00b8e1mK9Mc0LZWd5SAx
/9JfiwIL1lvvxfuE1rYSN7t4j2ePVdpGLfJg6QUVKWepgi0bafTvX/xv3SUQL2R1oTbHH+MY/pcX
n+Oicaa5ivfGWDZvM/mtN0RHRnde6qeX37/U39qlFP4GsklDVb9/D5OmZ5g4Y5TzUpWoizXPCNGM
xRSWH79/nb8DxnghJZqi4aDDt/vaokvLabKa1A33PRzzTeTRp3N6fElZga0G0Q40ucEnM5aLnr/C
sqaiJo4jutOCSBXXQcS7u76l//aP/qF/xAXQfyuP236U6ON+0dv++TP/r3ekE7Cgc8u4uqD5bSkJ
3J+9I8/+l6P79IZJdDMdejr8079tIRH5bOEL455Dsi3+ow6SktX92v5VRg9+me7Q/BW2o56nv4jh
fFEWXlACmTS98EWm0bjo2rRcY1Z6LjTnoYFjUOh9/ezlxvMkma307sSsbDgwgvfWs1aLvQn/ad9m
/rygUWDvOfRlW6Sy1YqdGrbJ4DefU8BiXUYuLkCv1W+0MKt+YPfQL5pgXEqA8XVVZuminNsEFPfr
PnQvmDa8s5xjjmfs4kSmS35bz8SGSnndagLoBzOeg941y3rI76ZWMAHtrG5Bl3iPsGS+t1kKV6Ur
3aUxyf5RxH66DKcx2EdEoi8szbhn+7W3bRd+d6wcVrlEiMqEMLrt9Ng4JqacMZEU8RlnN1hQavmz
Z7ocsbOnfuRMY47zYqqJqczd4RXZC4oJc5CrBlrCzxjvxjGVbFWmP5e4nGtna7dSXzdWwxmsmBjT
W9m4xgbx3iVMD61eBCsGhcjn3P5VDBN4lm44JH6ab1DlyVUyA6WcuyJco/qjv+EWl7xuN901pVG7
C1TYUq/V464yfbkY3dK4+JXInrvBrr5jstjkvrzHh5FfUvJBSFT0mn6ReNBHlkGf3TYVQoq18AZ9
WSMZee7nMr5PTSR4ZkveumkW7FxVODQPGPGCB5xe9hHu6OwutNxGDNU5NRa6Kj6RaiKfCTtlfsAY
6GnMqXQXoNQkBkakMtHgkzUlUdLUfebdu5KQdIaXjDoyMdi7zvSqFxe+MlWmO2RPRVpgA2d4u9UZ
p5+sAmXgYoa7nm5CvWpu3Fp4K4JUkSHEvugJDFKNRebqBcaZgACduSSVR5FL60XtFS4HnSyVVxJy
jN24RDGFtWoj0Lv8cAX9mtUY0CGwBakNCTKoB4+MD3QGcfkAOsw4mQ5KsCvElNI9+VFVin3uGy55
POjZDA6fYMMwqpJ0YA8xgkv6DYRlWLT045brJ/NmZyKkYXAZU3pc9YiYP7Inwof0n02Pnk0zoQQD
2O74VhvC2JtoUOEeiNqGcUIxh2SdtAD0Swecoui5BDCVlV6QfSDo7T3ZPSb4nd0OfPh6CqcL7Dre
Y17qMPwd1IjgWp10aRIchPIz4xfizQENfM0kmqjvOeHl1UvE87eNSbiHogTvYxWMcUvkVkTAUmUU
8WkCDvAeI8LcGr1ZfSCIG89BTzLv9Z0lQVJ5m6E3+PWZEO59OEco/oCdOEsziLx7a+QetFT+UJZH
1qGwi/6xTSy5JLHLQUmkPnhn5tNl6u3umzvm/McsSMTeRrDbrjyznNa6T88kkVby43qn4b/i1ebQ
H6AnT8I+xiqLCT1weScrFfEcodWDalpnT5YvxXdZaDEB5Lnl3kPUsfalSrBA21piMsZXJMLetXbV
wEXte05+GNKVQBRj8QbNY/feuRHHWb107ti1pyMyL3EJ9MS7yFrL1xF3JFgf3w5++ALPF3SgKMaS
RcqeNni8oss0eZOFkfZQzjVAQicpH8AC+QjEmGJdr1YuSWKKQyVAbNOg6JYGGtxlifsBJ7Vl3xi1
Orni1CdF1wn59b2cwqWbjdz1gKQZO3svHBcmAgZK8LvJfGqL6DTU05kz9eNQo1Ya7PJHEXvkeDnT
0vduRdffQU4+R4OO/rCLdnnSfNrSP/pM7hedhvhJuJexNWkiRnCn56ewaZ2VrY+I4JCILOhZofjX
qNwn1EqiKC8d+1i/QCIMzyY2nItVJd9aIyEBYmANTw0vXDluZS5pO1rLOJ9O5Emv5Jis2qA8mIUb
nI1OG++MUSQbrwwnOoCeE5F3mCqF42CtJzABCxdJ0m4Y8Hl1XlqDNW2M9yIcl0MtPmr0MseaQKtj
MvftuhA5CbvCfmuMbofO+x7FOPl6Q2/egUcKXrRQPLea9zb1JSiwos03xA0Ds5+QSmu5STRxSzo2
wkIxcFp3yofetKwlFsL5PR8gUKOpXtgQeDZVNz4USV8d6Kwxm+mAkNszFzh2jM1YIydK5JTe0JL/
5kxIjV2/3qfjlO8JvTR3dNxhXXh9hR4deZXug2IK6UBoZflSM81cjEWpM67Q3UPDjb9NJsQ19hC8
6EbO8Jr6uDemT7jtlyr23I9Y4Fi0ZK3/cB2NdmOaPnZGm7yCvTIRSA3tIqbCW0LrQdHRQua2YBDW
iwEpBd3vgeEzZD8DMbdO2YG12g8e6rx9R6YZrPXCm05j1MhqbYZDTKgZFSrgornp1xRzjHwM55Sx
5t9zWwHMcwLjbIJ0wyODsG+Z91qyS2mhrqwWFGVriOqD3mK6BuSwn3ICE82qeu0xdq5qr/VXiTE8
6wGMCL1kt0cvohom/Ztu6S9oMbb6VAffpFFNC9NMB4TVMl2WJHzfNhYAoqnQaaRix0ziInxGPcuw
tzUZa+jeDZyScM0hwXsHaTpcXDs2vqU43jhD4IClDeVMB9kFeFAGUgzGJUjNbwmS4oXVWvlHizfx
o8M/fiC/AZlM2AarctCGDXu63KQtPxvm5hrbuX5yER3dQ0YdMarXnKxMzV7Q6vBO1VDJH4U+ZT+k
MMwTAqcSgHw+kQcQz2ShmEyP8i7u3WVUwAAnUMrzF8RMhzfMNFLj0Arg8YsIZe5J+ARHeMCedR6J
EOvAqN05BrExqSnGmosIu44uvMbEPOlvXBT63DEFHv2ytkE7WbNkGxz78lTC5DlYkAfpido52Jg6
ePLruLtIBNzJem5rhimdX2inLvTsPSeFdGvoZb2OR8SoGCdLNG7N+FnA5bgz8rD7JptY7qCQ1d+d
WmlTWQtXJNcQmOlKOl1WBcbTnfcpyVnHfBi0g16ygCGDqndlQL4xpWuyTIIp2JSx4fG2sno7WdlP
t8VE1DaBvEtRj982AZV4RgzWthaIo3qZBkvODLdjCYZY07aUSoABvfklaZqyWqG4oncg6wa3amos
4ohRCc2xbom4ztrOjDnJ+8OkrzDgosdMamftcJ5TznjpULbsXIN3N8k6e6iTFh0ZdtQXkw44NKD2
QzIwXdTO1G18KOWbPgsqEoBoDTeEbq36ZuYRx06wIBX0wg5a3hUuIQCV30+LVpf2k1mN21GO4ao1
54cJc8tpjAVwG89LtlNhbEF6AmU0mnU5lOEH0RRbs2PLG+oS5WicYOTSx/FAk6dd9kkb7IGy3MRh
fbECmw5x4CX0Fp3xGCSYF7pVokWMkxxzvvgpq6txdHvwH8OasI7MqLZpLpPw3nSSGqdq3xI0yQe2
iJ0k+DdkSwhVHmX6RzglcnOSKjEdkFppc1RJl8k1zXJSwZbjNeOSxoAKvGTfJv0yZyzAxPeaismc
g77cAg0IeZnsht/H3LrXdKI082uoJl2Oh0AFbRoqcpNk2hKrt23ddvb8XM9mvJ4r5xL7eA2SucPQ
7BPfmYEyvKtdIj1bFe6ZqJhPozW6W6miP2MyQBvauGtpEwvqDQSE4o23GAlQ/Sxs8kN9FSQqXae+
hCpcVKiYUbpVP1AQBwxK+uRVqjDSWGuQCBaA13KNqNIw0XUgbW2xHIZ4xP9BmE2lwk3HDhYkeqFH
XwWfAh8+zioKlUjfd1fgpLaYvZyQ5i2z0kIaIyAvdbF/mEKVqppcE1bDqel+6pbs3t3UTm6kimIV
XmvtTBXPCtzoQR96X4c/Ncyktw5duqcVDvFhnq3pxoobAKEq8jVr9Oy2jfI3CtAwX5eC4QuWvNk+
YmlimEpybK0iZDutzt/dQeXKyqDrNn0RD5tGxc5yfHHWAvfQBVfKvOQMdDExSdxByFGNcvzNByAE
wEtVoO2oom2dnpBbUMLFzXxNvq2nLrtLGTbjx1LRuHS0Sckl62ncqE58yj6osFaUhsj6JKL2d7yZ
LBw4AYxLrOJ3wV6hG1CRvPM1nXe4JvU619TeXpfFY8GhHxfS7IH97ErU5MhtPGPexxOYokpSZDFO
S08xLskXZAYQUmoXMoBdREyZCJ4okTqX3EIhh5Kk9HASFbHfPYJAaAiGwidfzCZ+a/bBeVqOMbGj
6QoSbL9o6nb4jNo837kmmv6Gfi8g6AI/FxjUdgoQYprtTdrQra3Cxrs4uT6ciSmpLmA751WK0R71
oKXBzizxlgdmvKKPFjBJjr9R+AUr14/KDVxob5+Rudr80dj7b9fnn7o+5jVY8/+vGtpB1oh/EQwZ
f/zIn00fDB+4ol2d/MuvgiHDIYDdcpSaiHkW/wW94J9NHyH+hdMHiQ8TBYR5IPT+R0dkYMDGkQi8
xdT/c7geqqO/NoEsYIwoPqmQ6Jxi57a8L00guLQZAT6heICOXLHnzHmLiADjCxthRlREZYXNPcS9
BvFyKhixpdqFw8XEpESbgHHFhFdn7YiagexuudIcsN2+Bqp2HBD36Tq/h9uRXqSK/j0nDXwZsNQ2
AbrRmG6IbwPIBLDuRmhkqrNGy1WcpNO2hFpxmRNz3vmAXBfEWvQfBAmSeRNZ0rpjhh/djUWGmiVq
O/mK9m56dZH0xJyp+NqWUThQ9jbMUTZUwPUBfX71sxdR8tqFcjpryGtWggPgy9TMzRIHd+pSFM/d
x9CEBvULQaKh0I37MHLuqUDieFFmrfimuj7/1La+Yn7+V4Z5vQQ0dl2uqg4ex/CUbPQvfbh8JotK
C1rnYW5Mf2+bvb2uhBLA+ihSOf8C5cCxLXL/zFhWMElW+ZeV4xEHzxCd6jFKprXr2uXen/vhdg7s
6CTQbLwb5Jl/L2q7vUQTjQlEvcktBTVzE8Rj2RMltbdFKFZt8GqUd57XfOsy096hPL4BhCoeRSS2
QLvQsqNH+H1j23e/3nfIjNUN7Hm0VS3swr9+6MpzvBA6SwHOPA9eDHX1Qyb/z4awxrPm6s2+xyaD
wEzCMsNPJha51s2blt0EhuOo/6xSQzVfbDneKeDEQZam/RBM/K02hfgQVWkcCcGUd1HvwHxjMnW2
veCJZozY+jGtkrSALUYQId4fcAJbIhK1bTqYzkrFuaxnPeeeViaHoz6b74XT30h0pruuD+zdBCCx
W1iBuYrB8q1HG0qdTpcB8Tahs35ysKxSvsURY15S6uVbxXq9dyc0xg3Av0UQcSCthn7TxaTF8FCm
J3fQeJjaNEZd864D4GgWTtA4eHygQR49tmT8Vd7Yr+K4rRlGJbTEZvCCgmkLHLRivBCmBUuf7Jrk
No/M+mbyMvF9gpTz4WUcIwApUqsD7oCiM85EURdR2+78sYqPWdfptwF6nrNXGMOtzUmlo2SHPLiu
oznZTQSk+UtgsuKixd141yKTvTGFanrNHpxEWz2bWjrDQZTtdytCTeGTBnTDcNBfKpHL6ff3zpc1
S/m2hQ86x8TWB24CHeSv944IIZOHZNxcIpDS953fF6i4WrpoI3ruxgXTafnq3mnK+U0Kb162uHSn
pSWn6J2osfFUOSI44Myqv7u1BVYc1fG2hlYz+goZ2Dv5N2IUILoNDT7wZAAik3Htb8qAWbpOzOa6
hWANja8Ul1GnPli4BNDh9NamW0tB9ViuJqbInHhZUMuUGr3qjDWp8WINVRmofDIO4wlK4Xx/vW2r
BOofCqXptkE2eWNUAFUYOuvPnpa33/3EaL+T5VJDiYwRE+IxQy1NpRX/LPR0W5dYF5bgF5EQmn3v
bK1pBkSTepF35+k1rbLff/1CgTf+d71SXz8aV8/VPcz6ahKhHu2/rFeyNloO+k1wEU0FP6kzXGMx
NbX2kMw+n8BIBFV23WqPyRQjFbKxyGGFaIiB3HqkWFKa8wzSFMrq4OClQ/WaDk4zLXyORNBi0Ku+
0Lbiw6ie776Oe23zn38ASBe8LRVQA9/2y/1TzGnbGBFThswBfITxbTzVVRhuaqz2RHIUrDNBjVDU
RjFO2y4CxwoDs4KxrdtH5ILBJ88ebFAxla/m6BpEKozw4URFgm+decFj5tb4liMynL1/GrCq/fjL
l888kEQT+qbKIvLlvdNBjpvZkvalxPcJ4rVtg0/uZuLyGiauTwau6ttkbFFPuUOx7XKPTyCKAttV
FQ+HMofLKOlJ7jNbNvsSstRj5+T+1pcW4J8GU/rd7LXxDeXHeJa5n4F5bmX7CfKIngophT/bQPZ7
Elm9gZKGWKvekmmBktZlbp7Y82JUDc+u74PvIjKSHYkZ3qEliQVGgOtsspYEtiqLxheACbispVIj
IFVdz4VbeMsOL9WHAR+pWYjcgmfEMN9Yz2YFvb5Mfxr0z9vILKBopVW1zyw6XoXLo86ZYDxfH73A
18J35IHRsEb6wdujf3aYx0ZcKJ9olecJcEvaRtG7jiVyk8DxfeHOGz4IbVAriPpqyGs89DG6agtw
C5LqnJUPuRyBgiJPH/VKzIi64NtihEreQDHAEg+jEYuPaJeNagxqFmViNNLOsGnInmCXsZf8/ibm
kPj1TkD/zZkBPwWJbxwHvxwbWKshjKYDprvMIFAUMSkTvOvanMmRlkhQR1jRrhnScxRuOIpVr47o
ZsZArEnrMG/3kVa7cKOS7FDHtOjgAOhxuhy0JEYzEhabrqZzteBJ0n8iqcy+sfx3PwXF/kePeENb
wYDO3VVLlieRBhzHbgcSV9e5q0/cB1YB3iwzsyDbZAbY9wVkA8L+qJxWTOnd/Wjl3+i34xl1o3bK
lpogAbp2tHs6IZNctb3evyMzZ4nEDbpqSjC/ozFDL+Cp3blZrI6c6rpWMu6+E7C8g3vGUGUU8bz2
zem7UVUwsjBwo70Bs4COnAcCpho3ayJaa4l+wX0zXStfNcOQHkoj0Xezn00aLYe53s60jcpbMQaW
vySHI3piH4ifUJRhO5sraULoivPke8uIgSlHWjvhLuLcMoJJZTVYtFEVvWv4AS7aINUBpxnLg46b
ZKu1ubNqKAzDhRlByGX+AlC0RaWKIbls+aJa2fD3oOt5DKZIzMHSI3HcUpKX4jEMu3Yf6Ba7zmwk
5s/IDOJpGRpOlR61rlPHH58Uzy4utfVML+ZnnpWsq12dgy1mZScltIDZFtoyPUzcCLT/JYMwzZrQ
umHKNp+JNIvhlpDtcJ8U0JUWhpuQ5s7ZctdpTDYXbTvPn8JJvb3Xz9oaDhXxah6NXeVYmiUGeCi0
HhTUaIlqy10AGuMxinFxkkkaNvADbHhNdhXoBFHO2afrEpoO31TBLqyS3PWU4I1MpvnJdfPoLHJX
LtkM6GK0ePPurw/Sfyvbf6hshev8Hvdzicr3j//D9P61eP/FEPPHD/5Z37rGv1A5CAPZgq/qVB3V
zZ+iBv7J8y1knQocj0jmf6pbhY5Hbw93jOHYn1DJP10yFr8O3yN2q6uP5gvc53ewH/OKMf3LVqnM
jMRsWDhULN4XG/2v55S6Cfsm95G0aW6L+Zn7+8FPyVknd5jpZyzsZ0l/+TbTKlJne+jqoa3tdYm+
t+zRc5GjkK4qmvv3/pAX56zXn2xIJpReWZ1sSouz5qysIQ3Zs0uLLuCGPEQYkK17qrKBEdFonJNR
Nq++md9Cubo1NUkEehWsOjI8aUjn4KyGHmh2E3+y2MWnnO9xSXeSmXFR1hCQPZZRW8hFrM/H0tfP
jtECZG7ka0k3mH5hs54sDBJAIj5brA0rGF9UgqV3cs1xK4ljXIIm+/RT9KjGcCEAIwIl1m/ITL/t
p/lsJdNRD/lf8CJIQ4pfpwoaZInG0mYdyQbjrXSd53pqgY4QHNhQV3wPamsXNx5xijokj7IN6IBp
2AY68zkdsleXPNWNHsoLx2IWT+Pc5RQoVpp9JpVKvAdGtDEztOLkepNtFLp0qeXwGJry4hUjUWLC
CfdN5r/JAHqzEVk7ssaPaS/K/ZyxQGiS8geQ1NKy44NQCeNjOj460XSRFYk3JrTtMXtt6uQV5vTJ
jWBqLhyrXVt8IGlBz++ms5VxrSaz29R+RTYxFeNsMY8bOzaJQuBXEiVflIgQnAZ2o4ZMeoSL2+8I
r2GW2FUxXGBNfZdR/sqcDTk1J+5FJ+koq9eqwLWtUaqeie86d0JuiSY5MumECjTox8qlIz2k0aeZ
8d9sI75N0/EouDg7r/ShsFwLPGt6moMuoHx0MrQNJq3blhei9ZmsIt+abxrk7eU0PzVWzUnTHh8h
zq/GqZDLImo6kovjV0KGCC4V45tXzscBecAyiZr4lNbuc0wB7dXmnS9jyMtIeybR7WablPp6HB5n
9OlxXHXcqOYuzLlGmu4xJO0IvOnxYjnlFK3pNGtLIIEmA07uhJEe+6IWEOGrVn8ip+HNN8EngBRg
PIQ723CHx7rpH60x+8x10kJ0p+xWeNQfzYCGRBqjWs9ECcfJ0aKlYcQELqjv3SicE3C+Zzqrycax
7FNlW+6mUz/H54RBipNJms4zbp9p54zcjuAyT5XQqh9JwMTaBSazarRgYGLBbZeNYQCk20Il6XfD
rnanARW6PezZlL39OGjaXRpN2bqeq/yu0KoJRXU2HPKobpdCy8w35qY/pqFxbgyPNF7umjIGmgUq
C5IfhB0mBuksXwOXoowYY5E528SqC5oNwVP+B2HbAnyOKR3KfBQgaUl/NFDbl+mYrceIOTyTi1XV
TRhVrREYaOM42F7isQkPnkJ4g8w/ZTC9C5x0a6lZT6XCfbcUA+uht1/HYmreioLyqtCSaI3XauG5
TM2r2XdQEuX9iqJFDdXtDk4nt/+ciLfSKCuktHkFlITSbRTGBpwP123iEehnbkP0DTonK8u7o63T
b0e4NguQVc8u2P5e1HIfDM0n2Jqj5aT/5Db89ZjLKu5T6XgOUSOYJqnZfl3FEVpafQL5aGcNqhmG
y0OZck8ERNHpMpx/OFZ/Ka+ur+azoZnY4GnLfiUN+xa0GYcUuV3Io74qjBRTBkhTx2RB//0B/tfG
q+Lj+aapdHzoCpF0f4VwS9cdzSSoAIV06asfsBqq5TgxJCmEUB7LPX/T/6Hy/ar4u76mx85veoav
/vz1uwzNAnRGi/Nh6uxojUrosRx5sDXT2kkN7bT6vFk2H5uW1e33H9dUhemvuzGfl4IAiaNhG38j
DGBnl9APvGJHcWeuEirR8xQ4DMJa/ZiUSbrT/fFNIi/cpHJA+oZUftX4hTJK4NmBlxkW8xFWO7su
PUrfz5nr9Q2zLnmUDsu35wig+0hi6jK5haKyyZnij3n4pNsR+PwR/p2Xabg5Sn9rYxp4CW3kSJbH
8vD7T/pvbiGMubogitrQbeTIv37JIot9GkNWsYtEu7FK/Qyc5JzPVMX/8Dr/7hu1mDZwtEJMimzv
1xfyJThj/pF71addDSDvPBmxtdYzFuHC8dHQeLBBQiO/hzFyJkAhv48U3MGaw896YF1WRxWa7SnD
uZFeaUtYI0pJzXdOZjNsI4/lHio09ne64Nt6FONzaItpSzmMLiWe4mOvN+2lSMensVFCKRFbhy72
yEJ0OnRyRfwZxPh4CrIpF83oldtRSz6D8sqx2sydyqWpzB2JwLsoKggVQWOF2mM8pnhhlqKfz7hR
Vd4Jv9v3tB+NnU5LF43WP3yR6q7/emdainaLzINukPflgs2uVtaWZha7WRrX48TIyoYKwiFj3tz9
/qJ9FY6rJxDBrcXVQjYCCeHXa9aICdAUHpOdnQ4Xq40PKFz+YcG8ts6/fB7XoU+OC9EQpI99eY04
gvmVIV3dlf5AGEU8iqUVzAjixVs8m9O2wxGeCmtH/MBJBn60dov/y96ZbMdtZF33iaCFQI9pIjtm
kpnsRFKaYFGUCSDQd4Hm6b8N2vpLolzS7xq7BrJX2TSYSCDixr3n7JMdtDF8xAz3xXNUQe8FF6yX
SXOv6L+vYp/VqZryK0EmDNg3c+OGSbrHrjKvJBKbFdjz9pIT+UZ51UcPYdjKaT2Yjsgag8ymbhHC
7ILar6stwinalH5t7PoRBKVuJK92wSNYJ+mVoouW2tHEcZdBxSQQstqCdJJl+Kr07rYsDFwx5nz8
zXfyN28s3wVZ6STtLMMI48cvpTDQagEsL/Yi46Cg0PUHSYeyx9BSPnPMHSAcVq6zyTvltoNTqKUX
NIv8DJHwgeQgPKVO0W+HcCbJjUTwNRbQJ3A45prJ4KIPcU5hj6aV0cEp9g0JEJOVqCKpfu3K6UE3
hpe5XUjryR3x9FRVyNWChriaNNaRhnKbKsS1OzMbdn413Ea2g3a34fm06DiuWkcNaC8suc7DzN8Z
9vzgV426+vVN+puXhD1j+R9Nd05v7+7RENUu9C5VEItUrClxxhXi3R32iB7PbvSbb0T8hErhPfHY
hVnW6HR6P72TtWVOpmH1xb4xwIYiwS7XXigPjPP3vuD7mUseyRlDNWoslikpqQCj7AoW2UwaI1Sp
svArBIWq3vjODFg5Y6ZRTN6XNhWXaDDPmQ8tNfap9pHSmWuzal/Ihbods+lIu4HNmMcsMtNn7KZU
qSS7yBmnXF+s5UhmEOUqWGMJ0Zmv9O14OVsj0yAGQSSOpgdHQ0Mqq0FtSTTpVtncxRcjqMS3Q1BY
jNjku7Q8FP1wn3QcJL0UHDIdpwHt4HDfdBG9Rssne0fdAyW9rrWEEEGqNeEyASrSab38jZbz/6Cu
54GserUVFvzJ5TVqR/uE8P3eiZYDBK0W3qdKC7KaakkP5dVYp8yMKv5tAPBPtbR5xbqwvsSz/NIs
Acw9NxjE5xXEkzzwR0px8tmfZKxuMaEj4S3tvSpypKzyMOcIrtHMcPzpsgOH4l0esrNAU+TB5O1w
hu4qE/bnuB2KQyrsk2rVGs/fRKt32GEWhVFaNyUTLvuUddaT0SS/24/ffAzv1kNqHbqk2Ap4ovR3
+2Q2mbKmk57voRu8FK26bXX2PcVBEvmTXC/119tRu+x8AaKbSu/tnS/ibjsNdEVryY/VublOu0Ju
/NQnMqIxXRyCUR0Yhlds/LGf9hljEQ5owBpWkZVs6oIMslrL/Kuq8eP1HLEvdnNM2D2/ezC75snQ
WGPg6D8ok3JLb0wCsfSkD8aoQ37rUVlHHAzZD2OEfwinKLNd2d93ihW0MbrbxuNI6qPeRzp1a9kL
P5egzk3SpBjnhvmYx8M9UDWs9UKbV3Y5vThkHmybqrt1OR3s08Q5KTYRDpn9PdL266Wa79xv++u/
HbbfdNhocGHR+QVx5qL4yin8+fvm2l8/880xZH1gY8JWYqH2wFLHxvXNMOR9QBcGyAog6tJ0M/hH
f2lHaKG59nKgYOQvkJcs+/83Bo37weUfLD8GfoPoln/EoKGgeF85gY5aaFp06wzH41H/cePsDdyH
czyCQjOht5ngKp9tyWx21Sc6dPwY/a8CLTgxgaV1MgRpxBTViZv8anZCa+SYX6TEuyXqq9uznc4I
5D/7NAdAtvopnTZ+Kl+P5Jwi+ZuLz7nNGB03k3FGQuqw6vMaXmEHYcILEg/VGsEfDrYF785t0uy2
AYBz1tVzXjbIRto4BQiJTq1ME6UFs8qYP6V6NT6TqJGPqwQSFc0DM8KJM3LuGBn+Q7bZVE6dfom1
FHy+2eTsF5PRhOjjJpggYw0pgU23v1qcRRhNUSYvuGtqsk1Weq4ZoOiAGyM9ae5qn4TaJXQ8vjRx
t3gbc3ITDDQF7JQAU3D5UrVV9alkpn2COqoHvQmMleyZ4cUDuPeJAR1HNOXRD0uGtL6ZKhk9I9Ew
oPkb5YqJNZYLUt4csMdIz7zhNNtjeW2bU4ljyCNyhvnO4O6yMUlPnpmPN1YGYaOaiIHluEkTHrok
8L4AAz7qAwsqiZG41/gMsDZLM38ZSQwjCYSDm0NZRvKy7O5AbbSkUsALZLpu7sO5EhghtbQ42B0s
ZUkG4BHXK5k2cyvqg4IljYwvspkicIJ3Lz09NzCDalP2YOZVf9dbaUMzVgxs46kStHXS8KnTqvGi
Gux6U0B7uRxmQy5CBzZ5dOTBQNPnco5E/5gtlvTA9vPmcgib+hh7niJR2Z8BoE9LoHebWTHW3yLb
VLVfyHUx+HVBceouXWBYj7jusd7Wi5kqAgpp74hXwwZgyKH9TFw9TuUBj3VFGrUZkRTkF2LPYp7c
wkY2H40oT6CU2FwN4UtzhzVUbvs6to7CkErHm1TGe83sEENOCI6NTtX7YaIvG+HpxYkvx09aETUH
Igf9P4ZmcJuto+eRtRLEtiUbjG/+rS8d8o3wrJXEnUemcx1DkE7RDWOcWwHBTV+sqjT9FWGcTPh0
cuN89D5BnTM44ntMkca38bU7yvaqFVN8cJlW+htBKD2I6gI0u0PyMj5hWd57Zq2fo6YjE1Gr+eei
jKyrGmt8uYnLvDrJwi2TFoARb/nTWAi5hLRHtOq4PaPh6RgfyNfmL2UhInqDo68m6dy2pT/q2WWh
62OBygR3GQSZAcNyqGY9vJ0GZU6H2I7lvh6ca+HR1a4sdw5g8ETURI1/NzKfVZuWINdPYehPZMzA
GV+7veXDIqqMEsZza9/1vY2AdUpEFyzZPijmE/1kwRC97GwMJBZlD02Wlq4mwURkiBDqAWCDR5H3
5TZsR5xPCY6Sj2M4mDmI506X126C98NfW9Xc63fW3DKMz1auU9ik6tTafuibBwvi542WenCjgKkO
FxykDwpkxlVZVc0OKika5DGbd7jyp5u69AxkTllN4qodXXhTm90MjdncZoMcAyuVGCJNP9uQ35mv
mb+s8rBNVqKOT5Sqqz6HYKx3ySVlGDNQ/kumVu96N6TkTYAIhTE5PVI7SGmsIFTrK5Rn5Fs62hCM
eIceYsu0LjjKlIHgtmzpwbXnRLc++UQerPFG0t0flHYlZxHuo2W1nnr9sQA6Qbwf+vV0+tq06tjN
3MOwo4cDMWIKhJ/qWzD9H0cTIwxY6wfaj+5F7lUv2AlocSbGrY5YBiFz9hCZzdkZpLzu6uIJLTrE
2+lIFp6+zfXyTiVwivLR7YJBn/KVPqRqbRTLZIWTo7d3Y3TRE6kLq55SDltg7FzViWgPjQmsWobR
dvI9tTNMZa1FC6ZlZRmujkw2jQ/gh6jQyqGaPxEO3l7542BtaYOv4HBZR4dv+1KPGoMJTF/c6mNd
7jS70BZhDU/TVM4nGqOSArdEzOUldnVTT5N/a4LFjtfEBWQ3qTYOZ8dvvrplDIs4icRxzv16o7WD
lweVPRKfoAqsYiuPx+8euVu0hjZXrmvmPZs5aXMyT6LpBE6FRqsSzcd5OSFottVi7UhubCIPeSVS
6BJKtae8ScldybP8TmVheGMbIZkxPVIhGyQU+mN19EN9WKeGGT9nY/gct3p9Y1TucG2M/ngERWje
OqCy7voBhkFnAsRy8wKRNo+O1PRHu43rla3xRyzHMKDLhwkodV+GUbW3HlPuAFrYtEVA6W/7wc1e
HZqMJybBbT+jm+vgJK+avrVOrDHaJYha11jVEJ5v8XZm69ot0iMNZxOChVHt/LGNX6wMdj4CyJY0
27S/5SHMyF7Xs2tph8DNCmg9iTO3ayH0axcHzrozJIqv2TSvM5CXa62fqrM9iM82vfpNLbT0Lmf4
R6Siazx2pQXNZuBkxZMRp1jblO5A3naL7ZQYNO7BC+xE1SRHTTn+wW6HCatYMl44HVvkmM7OhUZQ
pFi/FX//1sm/rZN9j8ryv2usL8rhXZH89gN/Fck+YEWbpjKF7vcVsu+AYzQcNF4wF13jTcb9rUI2
Pyymd6wbsGCXAvk/FbKlf8B/v+hpkH9w9oEQ+w9m0Myaf6yQgcwySSAPZ5HqGK751hX/Tis35V2n
CjfxDnqdj0dNthUJ1UZ6CzIn/ZoXar7ARWGRCZfZUcSaGqYn08ybTzQ0WhZat9WuReTigoirSV1b
Zhc+pDOv97FOxvEl7hIZXRDOV4dBWLD+B/U44y8inm8Tjpn7MJFKeNPj7gZgTXhweIhhgHxVarIv
Vd17DzFuqGY1Z42X4yYSxrQuSiKc0KwCcbKSC2WrbCORk/a8c76NGC43na9M9bM/Ct0FB5/NJ+mP
6rFjCnZLrGcPkUhV4WtnzvmZGcpVmvVsBPCP5CeiBOpnYvDU4xjVeWDAHH/F7lzhHIrspY0wuteV
g0OcOabZ8qZH49XsNrQBfQSBr26uaTdlIfHFuCqPTkozSBO0Kg6wUesJ0klK07pE4p3KQGfB8Ffj
0MfPMyNw8IRhu8EfGX8SAKzHwPRyb9e6tukSi+Fkd5OI4zMVw4VdgrnbJ0MW7fCkeQc6uGqnl/Sp
1+SyOHc5ESwYuYsY9PyENgccoqBTvYpTqpx1YZX+10nosNeRCLt6wOywP7IPdIERpvWhD1Nye1tB
g9QoS+xn9egfFykQGzVbGf6WyjtZ1Ots/Mrtb5Wb1/sI4cI+1fSWU0joceJPUPTQxHequxrsFZNV
TwtKgh1uSj/DqqoRRnMWbujqKy+a5RlZadkHEfT2JzQM08rprc474qdhrhvP00iWeuT6lJ1O2AHi
HyQR7EVzLuK+CZIxqRGAOVUNgHCMSbVO2u7QyXyZicVjdO111Svg7anf691cJ0QXm+XrQDSwtQKg
QMISsdTdS9FQduwRKWbgxUZ5gaK23iAWleZFVTiQyJhWXTtDo9ZlVYCs18zG5cgBbEeUPgevMRHD
mYFBJB9qHaO2gqLrwfnaCPgR3Q44XXI7kC99nRvQT7OvfLuo1Eh6bxLuLUq0WGsv0WyC3zzpjpuH
p6itffoipbESFiEEgz2gkJyE8THyuAYuxzVJPXdWS9zNUJjCDjohaH6GpD9gwg0RCvCGBorR5WHq
rHTb5mnO602kxQIyxU4wrNxCNMDGGdO2epUHdSfCrYzTJSab+Hd8zpiCyCAA8CWOBq2nq1IX2O1L
6xab1J5gCPtyriym1XpDUrJeLOPtmvvej2OVr6BEh+vCa3gCraLWTxr9HWfdtoSwmE3ob0l46w4G
/M1NIinAzNEfLnsToMZQ52iG7Z62ZAmy/+i0dX8wZJ/fkrhn0borHXsHgqy71fz2Zo55MdNSvmLI
+ogJg+AkL/1K5KO1lg7TuzKR7b3WGxnRHqMbtAWJUAld+zsin1i1vJz6zG9pZQJvxPlGBjO+58gL
lIF7V/XptWkVD77VZEE082LDOdvLLrqFjhljgxcyCPGXBjLRlb3i/InKdXZyhjTOcrfL4R6ReLzW
1eRfuKU1b5i3q51nSOPWqYhfZ3kiNN1q7AvXtvKNg5BypDnX9lc2deqmHuV4CR1wfjQzy0LNSTcw
Tqk7xirmbNR37j09lv5YDU42ski1rCmUKayViR1qL/oMbJE3P5rPesrbi6dYXs+KtTGNKFBLfB37
XvMx5QnNHzlRRuM2NGZy7wo9DwY05EGUpPXpLamJCFvvmDbGM44c6CIRrroxzGnb+XW3ydvFkW9y
U24GDtCbcCbUNHCijLttmIxBA4ow/yUhxIV7bircpsnYjQHqz+Iywbh4lq03fFU6SmZVpDMHEUPf
6B4CSRIq+m3TevkTpxGyzACPoybk63+SoNoMu9dOdjoWZ0G6ynrKIv2ekVP22k5W98kVkXXnQiC+
qes4goJU69ussvorNXfehdQtUKwZnY0NKJuMRTdO+rvEMsuDF7fms9nySJtmPVwiJyiuPFG1OOJs
cW5bOw3Gjn5Gmw/THQPMJb5QE8kJoAyVOYe1S6iM4V6PbRko0Onr0vJYMrPoLPxW7hNEr1h8etdj
9uK5YF/MaI0Fn1ZJ2MXzQc+qeJvTMjolRhZ+jIt5iFHV2+1nyr+EuYKmkktDpe0eR3WNVVKMX3IG
QmgzqvneVKYRVKF0yW7IEqK3CPz9WOOXuZzjcLichxIvbObokuetjm8Z1og7LAvGdi5lBbam5piE
FTh+rOqqxQpP4zVuyyUefVnt2dHH5zitM/QtFs4nzCsjWhszRQFpEc/FU3lAlHTT9XhoOZ+bouue
9NpZituJI0yqP00wdhj+jW6TPDLsWtgRXen07ESp7snzXJLtuyrMPt/0wqnXk6lGYCD6OH8FROhs
wnTiGIzM3F3FDLqJO2uApkXkXewGPb8fRsTFSTpEcHpo6/BVZmv4rtmNuXSS7AJYZ6RV69ppkuDf
+vj/J5jR0Ckhf1UfXz237fNL3Ld/dF37fTf5r5/8q1B2/A9Mgx3aWTaFDTGLlL3fpJpvFbFp28za
/oSY/6edbHxgVm1a+PyJY11SHf9fO5lOs7GkKegupDf/LSb2HxTLP09h0ZEDaOWcy8V0/92EEcm2
o6WVVu29JHuNy8jfaR5i4MTTfzfw/7srobphFIQSBpLCuytlbHPWPAquZDCxzfXqc0XZi5857v98
ZH9IoPw+cfLvrsQ1fGSoLgP59+7KCOjs3FRptSe7rYe0pJ9blSPigvb83Rd+/ec06zcXwslpQKPj
cjrX+rETr9xM+GUzV/upTV/TLH1lCXyV/PV/uQxyE+Hyjf/0HXVOPLeIDat9qKEt9D2KgzZ2aKKN
zK3++aWA+FkYI5lTiPe6r6giFqGM+UQqpJ876szKAAF4l00hf/Ohfh5tI/TCRmbwPaFHfq+X4DDh
aZ2PHztecFROD3YoGh+wcD1UCrnRrz/WMhL5cRjJxYg5dVz0bD7G2x+/KI0mD+9mWZERTmS7ixhq
Lz3UdKWWPOuLRjSxsBaJKez+l/vJPN30iXdxnPevl9OUVGkx9PoKQu5dT0Q4tYWWPmiSv/v1Z1we
tp8+o+0arApMm3irf/yMcy/7KaFHvIeR3Ozzvpo2eMLCu19f5W/erbec6W9Xee9/QXuutJ4sNoor
+2g044PKGTIXzf926777PO/WC4wIMfFZXCnO+gkpmXyewYAwIv/d6yXeWesWnbrAVSZ03VmK0feS
LqgDRIZpbbrvHBIbba0tVx18l2Awraca/inzg4qWI9Tdrd0QW0t//jfqIVv/+b4ukeAeD6cLkfAn
kSCHG9vLSWKFfgXOv9IX2eWEQuZ6tggLpJEIQMhvxLYGU7jXsbVwVKJZbNZgslRtw+8aSheqwkjD
simL4QVUFnmMktkdU8uFIpi+AmQ1LwgzVVeVi+ysqWa8qQYk51VZ8a9MAMQ3On6qoHcQ+7ljnd/Q
NDYeSWMrL8Abh59VjtdnyFFNwwBJV+VU+LuBKpeErNFBEIsZMydGbvTWoK6si66Liw10wmLTGW5x
12nSOqDLG17qkI1GdA6/u4NSbpJWeQRDrGQAsjAuOT1k+hdJfkOQ0DHEpORbz3nIhwalUW1LjOfk
ZsFE6mwLOaEyF+qc6AkDW9XgX3aYeKttrYfjhhAoDzAVQoxc59O9CSeA7BJf2xVGEC4koZj45Q2n
KmIq3REpQgzElTMmEmsrh8cmm5k0WbB1a2+J8sTEoNE30o3HKFb2cYyE/Bx5ZYbmIk12dWuSV+rk
xiOUDoCH7iCqT1VukR3qEEyMb96tkA+YJmz91UgoU4ISHgMhDWr8xniUbvDsdJ9Dbs0xlnV1dnr5
qgu+0146xiM+wtexHcI7xF7lxbCszviJ4emh4U63TabjblrSOeJrmTjjrRwT64JNBe2uypOdilAE
UokQEJdBgTokkYlNi3S75BTh9TtLB9uCo/niJEqczk6f2cXa0AbPg+jHm5cR1HdgXARQ0OGWpQk3
Ae6+xKQcTwHI8ejemxeXfOQm6WcfjD/jUdRWOOMlB25yAeegnBsn2yUFUT1Xgp6Vv3ZikivisCJM
2BAK7lrBqBgpm140lxpYkEdPK+x7gFz5q+HGuLnIsNsUHYu3rnv13pLCfyh5ue/NouT5sRvdRsZl
kVEGsThW5bYfASpAQMDD4Rt8BV04Etw3GhXoNC1Cp6NLmIlgqXntFuthAMIfQTxzjF3He9+vbFKL
44eu0CK1671CPkOy07aMIdWV45bYrxJfZTvgf+Pt0PjqaSazcWdXfZdtB60xki2aNHvezBJK2qpp
o4Hz/JiKL7NftV+NmXfLAjQs1mCb2o/KJZ4pkpZ9fHOu52PJL9vgeDk4Og4HGkIAv0XKN2HHUfq5
jgyYhAs+kWBhFFKNfDXACV2i0TYP/CJiKyLwghqw/WEd5058igiY4xCBZg1sIiJCWF38wdcL5pYU
mRjKGBN+UNxxNcZ/FKRD7ovUQVDgxOCELNE/Ve2kdiYjWlLmMGxuZsRpbzaPNlyAS1qnkx5FmEAT
/dH1DVbHFiZbbey7Un3pgUUc8sIxNj2BzEd2Y/fmDR8pCn4tXWTqSnWNv4lS3nPLQ0rFwCR95Jg6
H5Eqb/MZ2080I2IMsLJw0iWVNUEzkPFQsypyqMsq2qm99M8mde221njr0z6b1ooG6cpsgTbgIraZ
fnZgFJetv7L43EYun9Ei4N0mL4xpTevdmKoTpzIaxL2EOXBA1sDVWFA/9z62HH2x06iCj2+3dGlW
uVf75w5p2UurNfiZo5Y1J7ZS70Y4iJAtHZGGzULZNKwfDp5FclswLBpNM62JeCX3DQSFdxOWaXMp
hp6V7K3Y632CLzKCSRnqSxYxA1yTM3DppiTEKmnpTOL5Gl5iu6CplxVIOFqdJ1g3Nk2SnU2sRdt4
MD2+hLw6t/VS2pcG0YxkobGS1yDnV7mA4e1yd5LQH4BB9WLztupCrf/UpZ74Q2c8CiiHZ8TGaHRK
wSGdpD1GWzXFkjWOYobckM4+ycjetpacA1VCSbBpfO2AjUEEnJ3yYzJyh2Y3LNaMeZuADXcIAPOz
cmd6A3eT3eBeYe5AN1cUB1J+8pu2Z+3RIlaPweelT1XOPffLfmtKG70XcY0nMzT0L77ou6NatPRp
2UOebrN968DokDGy89yPtKuuSc5mYqonTcr2TIowCQhyfkx0c3hkGIgWkC7lzpqFjRsVKysZivm5
0prwOks/uXWT45mMX8soJJe+Sz7yPpNjokd7uETaJo7A/wEgrc4WSNyMbTHasbh/oTuI4d5l00tx
wF5oSZw91GTLHRqE4g86QRD3iQ52IEDdC/H8bZHFylRtZ76DLce/YZU69PfYt4FYTdnY73PDtppd
EfsrQ8QVwtfWlzT6s4zFTHLOJD3BkH4eiEhPLwja0f2VV7lMENImb9aEWcJyySoTpzFsjk5f2SGd
yVWVGx/b3MgPQ23mhxLRehWQZVEf0ML0617kk5Gtw3rEmHacBmPMGaDoGWpXB9VmeIuCEtS8TsAi
09pE5WQISESUDJbzUHkHS5FKugqdHlpPwHGg6QmG8BuXdpaMPdD4af5HZTvRSiQRBmXPrUQwTD5K
SbO26RfiTpDcA1Jjk6BDKnnNHBKIGwm8fh+geJabroobkkrMXqictaf97KV6CkRuzO4GaY7ZqhLO
kog1hRZGwsV9VCzGvaTSv1hev68kEZ3axOAbZmG8NRbLEguHukGoqF0JE9neunNRK2kWQnzeU8Nc
lRKPNjTdbm/U2InJMn0mAzXduAw4N4ZeAl52a/FEy29EV8TMevHg6swqjB6pMRKgE69r9BJlruhX
6SJizNzRp7rVtAtauYROuVHO+kbSOot+RHXCgc0aVoPlZ/a64gPvU8yMeeABvd39usY3fypGl4JY
ELbmIFyjdfHuuFSN2Jg9ePj7OM+tA5P+/LUEnAf+q8Ndh0vdorRCmMNti6XoTnRfOT3hxjrDqTUg
yebPbFzFwTOIGJoMjjoEwJHQl0GWPVpGghyzkQ0YTixsCHJIZXwDvJCOlOzMkZPSxmJccGfiFno2
HYv0d8x3tJg14d5MIQlpq3Aaswc9SeTntzWwKGD8BMO8dLp/fS/eJNY/HKvgA9GKQb+H3M4Ub0CA
72aJmK4j0kf0bF9TTKwdY1C4O3qEKl5DzfRGpJ1MYoxXxkyNlfrIaln87GNn5mjphP+7c/NP6r/l
96Fhg5nHXnoP73oOC2ye9YDfp8nFA5OlI7glWLcumsesvw0ntvxf34GfDuo8DEgduRITXdpO7+SG
raXsPBqqbK8QYZ2LEPH7W3AnBoE3A3t58evrib97+nTElECKGOSa750hRUOxh6ON9DCvBhvNigkJ
ry0UuEgerE7Drphi9D87tjdcv23BpH4LZxcbWCpjgcg/TEk5fWP8ju03Ye1/7S79dM4mwhTZJcJm
3hDuy7v70dHvdapEJITtTMnO1qLyWFnD797BnzoWXIVGhQFWEoXMTwa8nrCQ0CnKZM+s1SQ4jFWj
qBzsHAYazZWTAjmaJJU7ESjq6ddfgPHzeXhRvi79H/KSCEJ49/pPIrVUkw3x3oIzGe4z5quXGqqv
z3lPXdqWgz2dfc32Hwprekj9qX6FLTZsukkxXOlKjCPLYodPtM56z9xEXUUth8RwT/HrX8qyaL9i
bQy7i4W/Ff3ZcflXz/E7PQcKXJox/13PcXwu2uf2+0Y1YpnlR74pOqwPNgsL/WbYdIRlClQVfzWq
8dV9oB1uIM+gSYxXx/xPo5qH55vO2fmwLA9EY/JeLIwB8U9UHIimf2xoLVHBNFWBYzjLQue8d4XW
YYcZKhqdY25US/A7CQ4A7TFoDnXQt1rV1SsXTAcqxjQ3y/BUFhMj48bWNZRuc8cU5S4ra13LD23r
mM240SDSWOHeC5nAoPNVNuGwdTYTkhcT0+tuCbfNreHU6WkC1GUyXKbZVks6W7Tt2ix3LpVVty9Y
Km8giLphIAzNDazYcQmL831SGupoDaZmugMhAOwD+0lS4b8ShV7TZjHkvDNEQxpDMYrMDmSrI3py
GyD1+6ym2rqGR5feNXXof2qz2URlxpBYMBRSsjqScBMjgJ78J40dseQSkzNvRlBBya5iF4eaNhX5
Bs+Cd07rwvlUIy1ea345fE6UxYQUDdaWQDLodc1i4ZbKGJlFm7HmrbpSAzA759mF7LP4s9Pa9ZPR
msibRZn4L6XvvWTjdPL0hrMW1dp0wR/hlaJNdE7sRN/T1BKbTpp+MKKj5d/BanbTyyKGIDJN+rob
YFTjm3L9fIXUgxLUCh3ywoWt9iC28ute9O0DRJbwwmimYTcTpXfjt8Z0YJC7KKgThBarkO46zUCZ
fOV5sG9kCip2o0pDO8d54e1G24FTVI4CGXJX3Mezi2TE64n7mpH6qDGCtMKJ0riiN2A8apAFwdzW
hnkurahf+xXyjtx13QuViBk6mz2pNbnj/UYYRb+BbGQQ2ReOW3MAj0iq31gGwH7mz9qUV8THZdqu
Bs1/YcXG/IK82r2IW1HdzfoUnnqtLi9LLepzThjadB772VECILmyOoAuBCH9+Vd0qpaKrzTbAAoZ
JHr+BjBWvlU0B1nROCgOaFGHDAMbziHpY+vTEAIKb9DhOYASmjeAlYT+8rZM/Lui/nZFxZv4yxX1
j6LrX9LpxzX17Yf+WlM98YGaSVAsLKK2xS7y14rq+R9w1S/LLOnEHsM3Fr+/dHKmD4zF8OlG60ws
DGZy36+wgCtZF7GYwDFdfuofjP7ET5UMLE3oMTZVFmS/nzzTpgPMwZvD6KDYjAl7pea8GUQ084wX
3S6p0Scp2rDagA+gtjh8wN71QWWrbt+4ZCiatah3aKEBg3x3G/9urmbwGX8cZhh8OHYi3XAMi+3n
XZE1tvZkp4xVL1yiVMqzj3Dk7HEs5nfQQhuvWE9Mg7A0C+NVCOoC9b1WkVuYI/AJv3pFIW5aYXt1
s6kmN3cf50qLTlNcDx0Ldis+5XHcOc0mU9W8RTyieevMZlpyRsTutdracjrN2wMvn9eWnhZdvBbZ
YKUjkgc3bT7Gk4oY9WtwMjmWZfWtF7a0mCy35QyJDcM/EPQiFruK3IyNf8/qHgPm9wfPvKZS7T/6
ZZWthqYmU5YVPMO6M8j6Sw4JDDq4CWdZWU0lgwSc8oRYGeXyVoVGnB06MiHSLTEm8LAkIQg30JrB
FEfDlgnMA41Abdckc3PgsCZ2fW+2LwnhhGc/t8e1I9ujiEoSPJ2WzN1kvBb+SBxzS/MExqI6jJrS
1ok7s+JmeB5Oix/0sohiAvlkiuamF+WtZvmfdFO2Ky1py3I9p1n8BAivcld6bw9kNJbazdzTY4Qv
NrWbIVGksbvznU7L8dxMtJvG2S/cVTsQi7z1Us360rQMZ/0qJv7UtlFb9KaeOLc6pI9blRRmkIce
0bBqduF3mmT9XSHDac2PMmow9oAjPc9zvUGYZTAcyYb7CZMD+ECTbGGnsndZlhfbyiWTNhCNQ8MA
yd3CvRP70QyrjUuw4Mqc9RqxF+mb6OaGQNSRc8Ndr49kQTZbSbv/EGHQPfjC8Q6xIAZwHRZ69gRf
sr0vXYRa9cAgP0h7DXlgm8wnszDGS1Pp7ldgO87WIs9xg1cIOC7GWc7BCoZCUnYOVFJlbed6GGuC
aqv4OeWxh3HYjEHHk7aaWfVvdVcNJ7CE6mgPbb/JrMTHShFnm06bsY0TnMkH6kzAnHmDG4r07qhJ
Yh5pQhHC7YCkButjbTlPNv+RQBsz9lLP7zc2MINn0DtxkMtp+mNJ4riqiYZZe+PY7K3KwjzWobj7
xE4MrzdE/H9hKEc263IwpziYO7eYduzAOINcu229lVHnLo0/v84QLUJEW2dRFi2+9FC7t8eWU7Ol
ZYQc4/o5+pVd2iRt6NmFcuempQ+ZxZcRmq4j4d7cPfBAc2CpRbup4m02GbZckZ1lveSDNTiYi4fm
fh6q4tLPljTFaq7TKzo2IdBCP/w/9s5jO3Jjy6JfBC14M02fyaQ3RXKCxXLwQMAFAvj63pFqvS6V
XqtaPX4TLZVKJDIDQMS95x6ztkN0yIwAQlK8E+oNudcoRYkCiEymoDYzbx8UjX8shu45SqflcyAX
tY2n3j1GBMOsIHDCiRWW0dywE05vMoVcuhIhuSGrKllqa1Og+YzWnMrTTOhpF7zXcUDaodd2BME0
BLnLG9RV7hH/PBzMiRwMgKDkkFbnGYjNXkWzlMcm8RtvA7EKbm4OVfPWg6LaoWhN7FuEU9O930kL
MlSdgqfNdV/eYlwr9hisAr1CemoMeGSWkBsBR+/GZztAgRoRKj7GZfVCIdTi0e4MzVaRZHGNwWZ7
NsBk+02glUYYGzVPASVUubHGzN2YDX/v84xG204rleTiddeTnaZ3mT0Vz0IrmkKtbUrmsdpUYoJl
dpE+eX1RfMlhXkDIu4ijIJP6d302l8YrKVeLVr+gpLIvoqrgIrBKRIdfiKt1V93itKe5sqa3JExR
22l9lgUwdIDqt1kM3wBP1zou8yLpGrS6K42I1wom2T16ToP4i4FHes+U1/7UMOt6CGZVWYeehvPO
dV0hVnIeCuwtMD18bzBtBOojI8Lbd1p1BjRZfKQYJRA3YCnwnbCSiCGtCYHw7IRIFQqYY9hfazWb
J3suVyaD/M7+jjjMSElVD/z+ndEZl0gikzEJezPGZE5+7ApbbdsJFR17gzrmWlkntcYOMyrkdlIr
7wo0JWQ5N1pVozOboos8D4g7OFsX0V4w21rA16PlQzQD/0vC07saQt+/3DbsPtOrim4Cmiqpwra0
gi0EkS+5g/xkCklZLVrlvKDKEsecZuEuclKLq1Zf7FbLDDEGdG6VIc55zNa/eOUZiClGeYi3dYA1
vu8ZJK9YlYGzQi22Qrj5zew1wd6lceAHFmXf4rqKaG7SAkhPSyFte7Q3VTqjgur4B3wi4x1Dofa+
I6vgyvVat1z3IkVg6UXyi9SiywJIYtNVjdrruuRzqcWZPKWes3Yvmk33ot9kSp2e+0bicctx2l05
oZaDek4KuGz1S+Bux9mYXabUXeTs5o7AqY1asJHz82Got60WlroXjel80ZsmOCzH5AtpHepw0aSG
aTDRS5OyvhcX1eooze4t01JWSjhuV/qB74O8NbCDfJhN/7FQsbfPL1pYx+2QzdXYpV73F7Ws7sFv
MatA9DWkzTs2UMNuYEq+QXHK/SK9Ct2t4eT1u+MxcjC0LNfWAl2I4ai/Ai3bDdveOvdsZ7xFWtab
XBS+1F2ofUGgITEGgV18AN+99YZFNNQMqrMGgxenHI1iACk8NKCGo5ZN18SgkDKD+Ur1MKXmcNPk
+Xzv+laGxE+azsbvLbjfXcmIE9z6IYkmDmsv9K5Tr0mRBfOKnTPmrd4GyRBCocnNHMKXKhc9n07F
ivMZiVKu2s8hziPwGBcjOgVuP+kC07O7bZUD4M3WMrirbuqWY5gzRUV0NPrnoTIXd0V86GivlLGQ
HBfkuTy31uIRi8E+kq+72vXxvo/y7pOdB7NxLx23cvcjh/49by3MMvLk3Xgboco/ybzjJCBGvG4P
Rct6bhR0s5ij1aX+akonfFTKcjHfC4xeO0H5V2FXsNGmkSP2YeOX+TVGSIUigDmoEF+G6qXDh/8B
cWjw3hLhsm982CBMIQvji2vFBnZhDPPgAXQIOggaNx1c9BeOjDZIx31WCesOC++0OmEMHN0mYyC+
RzWD3XVpJuZRhHlpMgCXxqp3RsKlFEpWZ7jyw9lGuPCftu7/ROykbaDd+N+Bsptvn7uPvviT+AmY
V//QH1CZ9xuTAG2gD5UMYEz/1b+gMheojHGBHzo0Vto84H/0T3R0UDcZqlx6Plq+P/w3zX/Sx9na
3+DHbsnEp8OkJYRkRssIePfTTKB0RgOcIZVnp1oiEIQFSrsGFhwEt3N9lkHmzqI6ZkhxCBk3QsQF
cImfvLDzjz1Oc49lFWpLST6+dhL3b21c688qp1xkT8Qj3+55tSG9d8auXrLx1SVS5aYLgzbfSDsa
d9EQZje2CpHUe12Cc45cdMJE2q/p4xxCqiqP8tFsd6akli8Ks74bpml8iGAC4LM3J8ULuM90co0u
HFekMNSwq6eY+UZqIFoMm+ihTMPqAQOOFz8sliPSI4UCJUju/NZbHiAOdA8ka1P70bhgaTCA9k3O
cCoEoThKE7khGikyDejRVtD/y6dRU74DTf6mkWELRdqj7phw9Hd+4Kef0GuM2CVq8jgBa/YuSgPr
MbhQy5Wfb6Wps5cMs1bnLoGEzhb9TEY0vHScdeCou5quzkR4IfsGCrsJl72gqO5XWNr1B1NT3dus
zsnh1AR4XK/hwrfcw+dSE+TDiYLX0KT5riKjeJVqKj1hPcE6rwtG4ngsZne2Jt0bsO+nIqcUylWx
WTQ1v4djdjCnBoZ/Wo/nWlP40wubf9DE/llT/AtFLutA0P1tCG/kwIiuvg5aczq7Wh4Atut85Foy
kEfW8MgwBB1BpSUF2rQJ59PUDo9UtiM2EIgPWiswNnVc1vdQP5zHQYsUHC1XmO0e4YKWMPhazEBv
bdw4WbBLPHN4Za3QPCBjiO5ggVSvDqqhnaXFETrKDv0PggnUOMaWSlJ9bae+v6V+ac65llgwXYZq
kl+UF5EWYTgXPQaR6GgzjItOQ2nJhqvFG5jPoOPwtaRj1uIOZM5yF6KfWkFm/MAsI7yqR5heruOJ
G7fD2HHUUhFDi0ZSLR+hyYScIrWoRGh5SZkgNDG15CTX4hMyKKh6tSCFLChKTcSyBu6fWrESX9Qr
aOpRsmAoN17hnxAASyF0yQokL04V55vcKL3XzKrMTzQO6oyowNymWi6DlSzKmUa08r7D+/+tLQWB
u0aJOY3wsuSJ3ATvVvc3XSiSvZRBfZeZ/fBgy9TeFp4zMKGWC0mNOH4EqJJbLZkblMcZT3NJC14b
SMWwkD46eQ70Glnd0ZvzvlyFrUXEWozTBlylLq5e2EbE3VyXy6HG3XqL5YW3zQxhXtMTkgMPk0us
gzYjIymd21tcQZLbLnVtgpx8553AmIhJNmbcn/o4ZXavwnF+9H3cPdZMwXHMzq304PlxdRoXSbJd
ZUArwBG99eSuFrN5C43RshBiwwK7QeefvARWjSNE4DexWLttG7OTZGJBLdh8LUHWwtXoV+raWQJy
/LLCywr4M9J4SWTPyDm3PMqC0khwT8msHP5FDj9ph8QCzyoRCnVvl6b1iTDbGgmfsDvR7kraNFNd
gymFivwbPJpGZe86CCuV7gFnglVAEBgUP8b9bM/+cxJUWP4MmI3LA8UWb/tpETgvLOshzCtF8qK0
i+mxy1USfnGTIk5ryI+lOXnPFf5vbbANBd7qOwPNWP51DoSwCtiHVtdxcHG4/Qfe/QW8a6Or+FsB
9PVHN//Fhvv3H/rvOiDwfkNiAEUC7h1nO45A/6oDgug3xMfwvj2PGRYI8L/qAPDdgHICrzUqVVz1
TYZpf0zQgovqwwIsJm1C51f9k7rgp/kZl6cI4Vkn4QhmIwKTPxPCSRHPMY8usO1PLCIiYixYzolK
5ueKJhd7Sc/7BWz7M57MBQOMkUwPSwcnZGT25wsOZZSCSPnzgZjm7p5DjqQfQhJ/wU75GRrmKowp
0XZD7eXwu0yvfyBkDF5vQnhOFXaq8HFhI7X3RdPJNdkIYmsaU7my+m7aUPoYD/0UqOcfasF/h01H
jEh/rLZYV7B3mwwvzHH5w8+c/nGcQwDYYMCFhn19p6Z02ZVBah4kBpTI6tLuxD7e9Xvy5SoLF0En
RgguMoNAYNPxHrEdgTTaxOF8TVcE+SWxXLbcZSowhC74f0tsEau1UxoQX5TIETl6bCqoYcN5/t4O
c0E6Xchpr8gBSplmUVr57alC+PYKA3Pew/aFhSsSCwMPLVNvV8j1l4PZKusJaY646abCerJJw7kb
nDE+TX4vPsKqyiBuNnImMI9vBPVevpQjAF+fqxpCKfS/Ls4YxE4N+bIpjPT3NJvFG1QzfnBSsHr6
Vtlby/fZjmVQDRvZC7M5slRwfxKL0TEmwq7r7HWWUL8yg94Gf83sp7mBgReoJr312oXsWjfibCwT
qHRw17r7ppS0pDIAvM8H5IU9gpjrxVHZITaraUMUQ3cqRru976uB2JExUHu/tcpjO1CFWs4gX3Kz
ki9tvviP3B2sPnr4kbUNX3BE3ftlxnJlnaBnXmekxD+nQ9y8AaNyZ1pRmwd/iniHJvw7naGOzj6Q
8wHp5fx9QmPxbHb8CGrh/pOPlPMcK5h+bTJYT2O59J/yYarP2v32XFUhK8I4E8cet5rgyfvjQmRn
WYptL2CUTrW0t02LTYHw4feNFkmpud10X9yYPyYFVA0koqSgHAxFkmTtji0QDa8zOpp572djecTZ
RtxwVEw0jnmZbnqn7mqQhL48ip66kWDJYkOEiCK5KS4e4LYWOz9M2xv8pXVTnchvhUmzWpNosatw
M2XTsJp3mJvyJY5IY41aya8i8W0vQOVXluIbR5MhbmKGsWufA/vWSEy5diO+i+/m0WqI0grj9YJH
Uaa1/GYV2bxnnuveJi53IpZRiJQazm6FHzIscTGyrih5PwJSQ6nc4xzunTKyetOkcfzgm3H7BWrO
cl1P6fxsT3Cu6oaXoexazkpGNV+hc8OrdGEk4ru77CyDte0T7iPDbZZaP6JlreS3mVHCbilmUvLa
hTvhYrC+R3k5fwcCEG9lQh4N2WBvk9GPpxRO220SfjfHyJSrzIBJvepjwpLT3ns37ZmBeRyPL4nN
s6kdTLO9rTmArlu+u3Egv+E2IW5I6uGhVETVqJQb5QfGQOSRC2uuctzbaJi82xF621Od9eJt9Pzm
3RhcnlbMzXedHTfvTuVhVk1y8aMK55A02zwk8qOemo8kJG1hnTnkqGC9VWwuXy6EDHXEbsl4ULOo
h41Cnn49YXj0SfQG0FUzWOQgJKyPhUz+pMq8wpbezGBqY++xVuTP7z2VEUKIsJbbREsEGRVE/ZWM
u+icm3PgbHHhaG8G305CGyZtZBX+m0R/MnzJutF9y6y6KpKDdJaaBINhMeotkRLTeD3T3nmnKXFG
98Ep5nmF8fr8bIUztE1fm1dYxNtv2nYhvcg0PXM1oCWrV40iJkqO9c3YAFwOPGH0jMXdYPYYMZjl
g+GNN24lqh0gnne/dIQ1eVh+35A2/xh78U1lYBaPPWxyQD+SHiu7eO4919qCio3b0Z0/Y6Q8bmGs
fi1SuzpiDfZlHt30mC7wU2trFOcGGG5belKt+zgZSPvr222S9VdIp2NS6jvrRFhhtLHmLliXgZds
EgFNyyX39dqIhJzX5A6f/Dw8QU9vN1lJdulKRHF7hH7DdMJQ7rrFqm1VZSQcr6qy/J4IhN0rB5Hv
fuyJlocP8DBjb7K1KyO6ytNEXPd+Pu38lBe2zYkOJlcVjn+EGfAycyNtS5pHszbkoQpISxCDE2LD
ZKCn1j2KxEVsn5oEUthGZV5NXhYdxsR6pDeJdj798hluvlNubdb+Sy+myV97bYS3JT4GWqKMsONg
C9o6qDnvdRN35xESNKH15nhMpsjaUBeARXixVj3HPdFN07hPvIQzjwM83EmszFZ4egzbvPbbB0ip
1soain6XyBEaTloYTAdD9R56komHQ2xDrRLkWGVRvEVG3ARrX/kz6YIym9aBL0Lc10JCmKTrUCE6
7T3VWbhzR9S5R8H+am5mNhHa7YJyfCV4r67dshdX0xIvjGxN+2grgWVXmvJW9dskQbVRU/yv5sHy
TsLv1PMyOSCReSXJ28Gbt9w40mhOjBeXD1Ga3tGeq+VJEHqXAElHJP950bEa4/kuK5xlI2OY1QX9
89q3y4rHncj0EveObe8y0A16F2EVepCRKd6EA5cIUTHIamuQGbqaMErbkLOXvwY+9NLQnCeGi7Nc
jZE0dswEG1wMsB4n2nHdZ+Z0zDJHIfKRcpMYSfRShom1LzOeeN9p0mMoFVDpFLvXTdTAjS4m46Ea
FMki7TKfGHjJEk50lLrg5l31zU3amzRegnOkIK4Q7Td1iO4929tUblpcE+1lHYnJC1om1353VeI9
8zaC0hLV501Mv2xIKlcpaE+4zgl++iaqqioZm9e+2pi5KY8LQ6K1qIxuP0KRepvKkaTuBY3H2cXB
70vl5L55bfWuJAvMwvvFe4ukaR6mtMCijQFKD48b9uguSD35ucmtZj2Uk64LRHuv1FDSj8q62YaM
iK6Yg5aoW+cgR3JvV+mxc2R3RiDauGtAEbrgqfGyg2Lk2OOF0Xi3sx1nhwU152dbINZad2Iu9L0h
IUmXSHnucA6V1nLIvZ6ppB17bM5i+Bpm8SRoErVIyyx6DhzBLvy9LstwI2YjfhBFoN+BgjIhIJ4z
3iSeDphMUfC1qfBulywzHgzM7Pi66BB2I/BduEkg8q0rirwUvoISn5UYF7FNPW6SRdj0ah6pCn8v
vtrMRsZizf1XkQc5chfcKaiTsa4mS2Mme5sy1H9UYOQ9Crq2rbc2k6kNisfy6OC1dy67ZTm4Zo8+
pIFtNHQ5bPBKkEixSb2ewx33feOhTqLxJbOd5BbAr9jU2HbfkJqtP0XUvjoM8rIVVo56U16q+TtW
ziHiKSLkj1HbWndsg/VXR/iN3BiJTwwdZeLJT9iIVhXOJhhminmf4ofykmYm985qjbBem1U375PK
n69MiHJb+u1pkySc5Q3F1hu0KSQBsy5/I795CwZVHu2er+AkrvUUVmr+Hs4iwxQ5brZ1nkWoECao
/TOpQzbYi1MeCxD/+79vIqyf6b26hwi0NRVusQ54sO7dfmhixoYAO/Inh4NL5j2BXcvo3QY+DjXJ
MMWn2aUISyO+DZ7U6i5ImoohuOcclqF5T+Kah6FmYto7cr6qJ9G+jqPr3kpYcs8TVe7uFx+WhvQv
DU+IYB9Wp4ft7M8fNgzCIpCG0x+MzIFp1tf+4yx4uE0rZyo6cqfZ/rmpluQpKwZUTiZnwwkdaPOR
C2rVAE3QL5zR/0JSjmiVUNyjQw5plv/SbCZjy33Jkv5QVU7rrKPIiTc9LEqsQAy577ox3bAdLtsZ
sxPmbCNVS44Ie084H6+GK4uHfHK1woVcOyzim6+MnYL70E/ENhraBa19hzC2HTxj84vl/Hf94+93
P4Ddyunz53vPAKloksQYSDux21MccRDSChG+1sJ1vMfBltbOQTgheSnf+xl1Gkm5vGjj4P2ymf2L
5Ts2Eg6+oCYG3ZEWjv/Us3soC0U5T90BlyNUNkEm8m1bQWZtZlS8gpDeTZQ6wXdpz/KQheRIGpb9
Eebi01QnzjbzKJcMb0o2o6iaa9nZ7htYYH1N5kFxZZqV8267RaquRSJqedWlaXiMfavYMPNadpni
ha7YSgjTyLxbE0nTlsEZ9aoOwaaAXHa1cuYrN6Wa79px2mBQMb7Y7mg8yKTzHw0vmL9X5NF7xG26
5LQ7PXus7/rUvVNTHkfU98eUGEQa6XChL0kK/if4oDytXVKxE19qdVUv7X1dtnpPiXTZXlDQw5li
JggV6dF1CrElkxCiMM7M53xsqUEtIIdEpvIlWYwkZYZul++dMxb+aSiXgKFlPCUsUoaBqqF65hFe
QrDAehROXBo48MAQ6NaePRjYKPKFavuliV2LQCBHFMfAX8rkyPA52+A6xH+IKejjjcnYw1/HmQ+3
hEj60L6KsPv5GpQO3mfuRE3fmWleb2Bz8Y2TOoL2wSaM3ldRyqNuNpE5UeTTTpsHum+22NDtP5k5
raZdQ54GocdIq4oEcc8djVuYuuLznI+Ii7Mh0zAv73Yx8XYsAw1FWvvjy5CV70FH/6jNPd7CqSRK
qSODlqaStYsKbHRPy8Lic+gYD11uO0eLg+O+AMPfx0XKgw+lpDwOXth8qNloPlzcxKj3SxvDHPSv
O2cIuzs60fA8tyYciYmm3y9r4nkrehkmuPhTK3bGQfd2aOPQslYDw3J3KRXC1XIad9aSVMeuJ/Ic
B12tp8iC+8rpxhfTGu2tXdvNh9dji2+6dFjConvedPXCCTA0Vs+kGUCpBX7HqD3DwI1JcvMxxHW4
ccKBzih2YRSsG2/hHenNsUbsZfGXeEq3X5pasSrVUq56usOVhzXboU45E1vB5Eqzt7DMi/QRmuIv
u/NmBlRlZbevWKuFSEGBWeBJROcEa8xTRkjS2YdMve84QPc1eTgI9Wr5Qh4m7f2EICXUCBBcI3FT
FeBDQUabHE718j3kLV22WbiIN4y87qQKxOdhHGi3TQ8Lp9qFgTWl2pGTX1obunDWn1q5ESAWvm88
GE2p74EzlUdLv6pKnzVmUUwbAVjy7jEt2KmuyolTM8nmZqYCMqKbV4LPaOBT5bb3yLq5M01OKXI5
i0WdoH0F6yFvjtFpqotecB3HZ6k0KNGUwXy1JP58rSTo2uUxtDXrj8e7NQ/qkv6cgHg4/dzeXxAf
nONKvgpCYd8COcGGuTyWNYIdiHNo0MhHPI8xJIILPGBgm/R5cFs6WwBHll4DeSRxzrtCAAhNafod
jux8vfC61WuFUTNJmQosLExAr0yhiodWuAo+EUoc+hRKshEjhruWycshJZh1IekTipta+Ea4jNmA
OAuvYAP37skmign4rzC9tRiNZgurATgD4G7a1hVvTKIq79YufO+RgsckJNmX/achZzzKHla0rwt0
kxJ31an9kkDo3/bmMD8z8AO3sbvyaGhwBadMtjU6+vh0QWoQDmBRyHHTrRnl8psqohh27cIW51hc
/oLfXA5sVYDd1k2KctU0vpnmosvlwOD2lRXFUtubOPBdHk2c0XfCBRqqGyvWw9j6LBqbUG88h87h
0LevjQWGZvUJmNqoa+UJL0M8wem01ok5sLkbdv+1KaPmHeUQKmmzjc5TwD7bTClLmEKq+2LWhAhP
RQGztqd92vY+5Tn8xAghYXXXMiLTmEzTX5V9CSIZZQE1b9Hx4xzo2LcjCHlKNepNjaRPARq0dyvk
kXCXsf86tnHzkVpxchuMkIKtTj8/hUsDwE6EsxhfJ9bo16W8DXGV3yVFXTxU0Ct3i8sx6RM69nQ5
G6wBCHgMk/Q2YMsHd9IsSVyEb4NEBxhGUxSe24iSqJ0L+2nqCKKLKhf8DGdsBATc+NTPrSfhO8yq
R24kLlDlcS7N+ozGtT57NkVspe9BSonw1vcTdhfYVFCcTxa7mZvIl3miTBYMi89mU9pPRlWz2bKP
vTZ9KN5wD4pP4Bf++gIJygHQMrRFfErQbBC2QgnSs5sIHO76YpeEiiekURRKA83OxTlvwBr80BKX
XmOVKJt3+EIA1BOYsZPFtAoDhbPjYzpgAy5vOex5eC7brNKcUZAjhIsILz7R1c84htva47/qFShU
56i7DtDmGabacjDgTs5rCQP0NjDZ3lLJe1REDqeWLwU9nsOzZuBhribwMgbVVXasoZedUCwCIuqt
0kHItyWeoyBk28Ybz888UC9Dy4sxUV2lQCa8kx3odD0E8zV8fuvJaYPxW1DHaj/w0Vc1xaazznRQ
PToR8RkDIUqOFmPyI2G9NDEiS2+xOHmX0mPVCLdyjjA0eVVkwRoQDEU3JKf2laokd1fYNpNpX5pN
RN0yetnNZJhsssjx5UvTxFSzMz4rcuSGz7AdrgsbSP3yx8uLOVc5R4xhjd0Xb+JMZRjsHutlUHfK
NuZdleaEkkwNL3RGhZsEHpuM9HiyUeAsHgQ/0sqFv9CRTcG8U3hXje7S+Fv8Afl+GigOevHu2nSm
k64CZtXSkqFsGvcACXxjIlHKfDqMofu2dAkxK3oSQ2y12I5ewMVQ4YenIR6a38W4/xlV/mpUaVm6
6frfKUvX2Zc0Sz7qH5Uo+D7oH/pDiWL/xrDsBzEKTd5/U5awcnaZvUQ/spn+4CyFvxE1wrDLpzmg
4dJK8D84S9ZvJJAQ8KttyRDEwnT6J1qUn2TNuFYRco2VNE5gpuuaDhf6sSFuFezatuytq5qDZGjX
klwHdeg8XSOmZu0zyUrnCvpHYRkTXhIQKmkeUuinPUTyjyCTtW2B7BE0T0YvgQ1zx4gEndZVYpMH
tAJaQDfb1lCCfzGP1J/sB4E4qSJ84JClNREFezTJf/7kYT9OZdwtMFHp1R+slIBWD+7leZaByYs9
Yznzw629+/1X/+g65/zM9+KSrmlpATjnp4+06KfJrpGVjjCwTMY0Pzo3Q2Dka3KDkUDnLhAdQ6XW
aA9WZ4IXTdCa1Xp0ZUCGl4+oeOclqdUc44B55GqRAatS+zEGRfYAASqsMzD9ph5xUtHnZWlbw7J3
47q5wkE57oC6a6Aqq4g7f9V2bbWsSRgAcYMGz1obvlQP5ULzaluL9zHUoulXeRtyqQifn2TbBbF2
8/BiWE2Tb2D343NHcK0Y+nHcxbBwr2efiWDH2K5dTw467s5hxjO7RtRtl0FY0M4wCFoHCeQf5CUR
lpi4Jak7M3VLBgZpYj9ZlIcLwW49363vAIGMdFZ3iT/xMQiqD9UWIqp4s+VULBy6dpveoj3kE0Wz
5xxR0KfquWPEvGSr1gDSsPPU6q9stD/2zVJMgbHzg9kXrzaHcXoaup7nL0GyCWUo8OTD0tUcuA4Z
wJ8ENDXj3bEHVi7rFZ9nxg+lOXaCcetakpezrGOfjhpTDh1NL8aCTwfLnYGpWlqaOMPM81Q3P1h1
NV2tsT4wcIKpitr7yJFnv4wzZiJy7PhxakqcStrMv09xb1rWZt+ySNnschd8FxvL15Qpozi4i1lV
W9bRGdde5rAsmVFyTikP5OORfHpuq7Q927rCjrtMT4u+JYFenIioM+6fcJqrqDUwLcrKARHsIuV0
nZI1em+EJqA9zlPqoBG2kLYJ3vm272ZewpLxENxiP5iCTSPtcstsDGKb11oaG1bzEwjYgKlypAIk
KTEdCenIDLfywbue58R/MWRg3UxSlHdQ5snhgXx8wJrKDdeZXQcfdVLIT8Ixc0XDxyObTqBncpJD
uE5zbZaBGXsxn2zle/TjTRC9GH7bD/d2hsgAZn/AYyO7gOWdssrvbs1Bec4Oy2DigtbV2DrWAnQU
pgtRqjyR9hes0Lh3mYMBwPc5n0fxxr9W+XehJvWQVSYFqK8DtJuEZ6Sn/oFR1kTWE3N+bg8uvS1x
l2hOfJD3pcSfLCAilZXh5QrympeyEM0U73rTEP1rT1bHA9QIXgS40SxwZgvb3xfUEVce0yyc61WP
kY7M6Znz2FZ3MNraAznYM2qaemTpAzLWcWRWBUkmFm8bCdIqZ12CSIOso4d5RZ0WdvdULIthvBgj
YrDzgMy0u5vxsmbAhdfF9LxAJIyeM7QbxUMMyfoAZtO1uIw5znGR2q9jmSvWErMW1lKZE2V/FOkU
VAFae4jLEN6Ey66SnkQL1WN9eZALgkrVrmHO0W18qV+KoaNwxFAeyITNvLGfstFgCo4EPfVfVRmO
NswwinuaMesiFpism9QPMfELy4prGkWSq0MQJ13+3lkdgMzKGxnaOTi6F586dggrZcyJyOW2qeoa
w2OVGLj4B2ViINAqLH4TyFl+6tuAez6UnXWTDzAPPoVj3BbfvKC2bcydZpRT28qUtn1bcf4syL1H
MJVjXNthBYrc+KZ5TG2iShCYaOM8I0tMxuoL9X2WhDe1Y0avnhxj/NFgmcpEIUKrmvEZYoSxBVFN
NzwY/doZk/TolFEM54Es0FWVSVI+HWv2NmlQeQcslfwJ+kTeGhn+dPiW7FycdWrkSGKOSYZB4SZE
aL70BK2uncp8N/BQItWJ4hz/YRI300mFB6uwk89lHwffNKWWsWdX3w6lfx5RLM7bouzUvd8Eybvn
yHpbcUhtmLw4Dxhq1u+Wm1Y7uzbxcQqWyluZQ9DdRUQVrgNRYARjoxi8zkRSPtt5Tw4AfMXdYgx4
60gFzb4DosBQUtzKcqnOHoPY7Ugnf8+2TrR4NKaP0i3vpsBU+b5re3fXzq1amXhK7GXWZI9J75fP
U+X2ya4bai0Noyooi3Y5lahzdnB6UKe3U60bfWyRMuk0Txw64rX2KpFu8qWvEXObzacU5hJLW4HO
4IdJRJEfjCSc+wzTcAknKIaUiO+4NXebEuz9YC95sptArG68pA/cTWqSr8pohXJg06OnwumsavZh
2c7awdIh+CuFPph41n0eN2JvqnTcdHzHVxpWbJ3gCPjHGi6A3M5VMN60gxs/IpH09wZxUzuPtOC1
kRtLuJtn378x0qG9YsOeD2Zdz8fJsKLjMhTTdu67bj0AL67bcc7BI3r/SWZy+WqaZX6F1JjU6bqL
yl9A3H8p5iDFYeakI0DA3QE9/lwStU3loGSgnVSDwKcIbvDanBwOIc3v3jDoa65i3vLD39dFP9HP
qIowr/BwNde0sABp9Z+vStpuGqSTF51QH4o3GCBsDGKwqTH+/jpQ934q+IKA4Y0P+d+Gvmf+VH3J
FIJCHyXxycWAjj3V7NizNcrnqZgN459fDDUBQyIKZCiDPy2lxTtsJBSBp7DElbDRaMzF+9fIxmj7
95f6ayELVRCgkFrcJKblZ5PcNokCYSjTPzn+bN1cKNHeBJiKyVxz1Qfg4v/4eoi8bYvHxPShxmkb
mh9mYFbY8NqWlXdaiOd7+f0IqlPMN9Zere0KUQ+yvH9/Tb1cfy7W+XKhTpx2XG7ez8X6TLLbQDCI
ewJDo7oKQLYyyhJ8aICasSuDBcRPrY1K8u8mZnHqHz+kOGx6rLOJJsv2zJ++dFO7ralKpgTjmHWH
aQIoUNbU/CLK96+vAlcJoDH7CLFgY/701JSxPdVx1vunBCjqMGeAP0FIIvTfL+a/uwpoSOh5DAV5
8X66ij84dgtF2T9dXJV9MrbXAHr/j8eElGgHRindjqaX/vkxKTR3WjB+P9kx8OR/sXcmy3UjW3d+
lT88RwUSPQb2AKc/h6RIiqRETRCkRKFvMtHn0/sDq+51SXVD5YqwB47wrCokETw4QObOvdf6FvQS
HopxQdiJmh9CY9/Oo/6bI91f1y/WdFYTPhYxQlz2x0vWGGWWqfScM6Ej3mdBKw/u6UgpMpR412o6
qFZEqiuPyK9v6F9XFvJBwWELPi1BoT9/1JBhgKlb10LNyNsd4+699B4wbJ3Ts/71pf7DR+ThAFtO
DQ6Z+ufF0kepxKUqi37b2uEhlOWiux7Zm8MDU6wnuHl9an590f/0+bx3hJDpglr+GQE/MgWwU1AU
59IDUV1X4IhLM0gPHHT+9k1/h9T9+KozIiZhxHHe7VZ/edPSQGFXJQgObzktulxULkHPvlne405S
+B7hciP/oEyeJ+o6oJpLdzNKFDF72JQOh4sGEigzm2/4mGyqTl0D1g0Kry3/5rb8deFlTGf7Kwvd
guj/M0a+ztwpQwbCE17ZXCiLaerms8F+OeaQuqI8pKz/9TfxM/uDzZLJL28V2zNK5uBnxldS0i+J
2ePORmBQ62Ld4vzQo5EhZkawZaZtvD7veSZu5FDKZxqbWmCXCOd72VmyPMhk0HJPlUTnj3ld+o83
hxD5Ct0gXgZWyZ9V3qZEgzwGvPWVDii6TTf/IhIouF1p14ROSfPv2jh/eTY9ICi8DbRyeEQR2/34
zsusW4v+RZ9HJ3ZeOmaihM7Kmsd0XtGFv779/+li9I1ATXghS83PzyaY5NBMZLic5wRmLaau8IrZ
Lqcc12w5Jf36Yn9ZpvlkAblqwsRtwHJm/fjJMG6JtovN5ezFLgdLohJ5sngROSX++kLWT8oGPJIs
l2vxQFYBW/rPlVFJ1szsEXBIBaHS7tbkDEd8YtD1xWNsNLq7tPlIJ8RJGAulUwpRs2x9W8GJW7fB
Rs73KUbaMjImDkubTjCq1D5sWNPwaGXR9bL3Zrl2PyYSc7GHgUK87Wuka9U/XYg97JRQdiz2NRhk
P5dCGZn1rV913dki7X47QSC8MBvNDom5/OOqi0vxDDhg/mjp/YV2iMDH6seZgZEyPZshDG6wSDYy
3BnW3Fycev7b/uG6e/1pYXTY1vzA4tXHl0K4yM/fUq0rW0jlOmdPzs6b51njGSxa+PTeEPH8jq6O
1KX72Myz9TcrnfXzI+Jw5TWIwebKFlLOlST356LPKYEHw7DOzwINcaWR/cFYwSqBAgrHJKnCwSvy
kMLZjk0nupswAXNc2yrJjla/MCmGNbLcm0NFF1EXa79GKn89WAxgb6L3uYuqvC5HPyiyW79fjJqf
NGXuMYT1DX+jICrtzs07+L3r44W5leph6ZVoz6Na2i5iXjXfutNMa6yLAbNeChpHsJHlSLJygIgP
yIhpFGpriqK6m+g23ChoQYfZybzbZiH0/dAQrYnkskfZa/oITq9oS5v1psMAGEYpZJ+rvnDQ5fpl
q5G0LFJzgNbZGaWE2DBGdQdEDgIgRR0NMnN7et/miMjbxqdGYkopSElDSCJK8W1SQUFT3EBVsQnn
dm2GIq9Mb8dl5r99Q8KJ9xpalOC4wzg9emPBqaiWmj/V0v+j+ByLmM5LWK51jWx519K6dLGa1DAM
NoVIFAf3ReEZPSWBMd+3s67SWwjgZXNVJHLs7zrA2tXWan3e7kZUbXHfaJP9Qg29kHvwovN9YRIj
knheU9z7rei+QYPhUyCkdfUbGVuDc62kWFtRU8nXjGCAf8hHd19cxE/6I2F1DtxPK3euxlUqSkcD
Re8+K/pi3nstqpYtfRA6V71OaYQH1eIBh7NjfuIAYh7a+gQRiOyxwfg4NxmXlgWx2NvQBMlLwmpp
d0AsptHt70VmpECVeFzSW86r6B7E4iPgBM3vnMZRdX6xZRBKmnlbIzzwLJZwlyjs9lzXIwcJy58y
/8oZY0GeI1IB+FQzWXk3jSrpaQVEpOnDXHKGjawspMuYDOasHkTtqhL1hssDVqeBZ90YmWJveK8D
6Nnz9CGDoNWQehA2zwjMEEbhqZ5xc+ulmb+HvY5vETkRGfHegnPLgV/GTjH9OLnlvmRxCkGwG7qJ
GJT318pbcfjmOqucfBxFL7Wb0Xqb3EU8iFmkEE7ZFeXG6oEWb5Tn8hTJYJ3ppqXLfbW6tWcOC2p4
JXhkIjotow//+2hGBM5L7NprIZE41HZgEUhwEPnaiVW056M25/iDIIkO/Pv253sDTcaU3pV/5frM
I6LCzOZ8jxrOBGmDNYX8tNZg0lAuDjcWoI8DYiW0kuyuqyW/iDDpnezb0urua3zJ85dh9m0DabXv
FsU9FvJ5uHbnEgtUntfOZsDMtLwFBpOMHVkwlnO3iJYucLpQG9u8f5NfsR8zBiCAMaVdwbPiMM0h
coHhtv+JwrzA7k0qGCLRqMzGFp16HOuK3jyG3vxcqo5u/VLaUGnpoOmAlkTuxOfKfA/hpkMOZ4Zp
7IDb8/cd///PSf92Tspb86eaZfvSv/wXkL6sX25eqrf//t+us7p+65r+5cdB6fu/+tegFONmsOpy
GYeuwUR/8nSG/nvyFq7K91mo67F5/WtQGv6G49FGiUpPiKObz6b7r0GpjRM0BAbBqW5l7f3DQSkO
xx/3bzMUHIItnx4Gv6AJIPDHLdRGaFT1Tm1eatNoUjmg2PKMLYqzGIeNmNtdQWJtA7lobNV+Nugr
7by2t9/muURbVumsZs60dNeIEJywQe+d60+zJovxSYRUV9upE69oC5PHakYVlSWe+2lE4HaNLaW/
1ROei33WkBPLRNbwr5OJP4SuMIftwSBp86j6vL6AIyBhfnbvStXbr8aER+HCNGrGReRZPeHpmFge
7SIe/KtOS40usvQmUENOZQ/f8vfhrdURXemRoI4Oeq8XpOcakNnWVqaNUdoenklqmJg1Dbgdrws7
Q+cDp99v9wXf7UdcTZW3sS3SRHZtGWePAmM6eXoo4TYqy2mv4s5Fg4bI96PnDNapAxF3sOb8W0ld
vsv8bHVrygwUH239Q25lDwsSklsvZ4J55K/Y1zgH4gpzGkKYvrZ7FSnAubteGC9z4eD3N/NqQnPo
s1FgoNlJjv5EIaAKgdPgS3enOWbeA5Nzr8eQeZToB1+chjCUnPp1GD/pKvA/tr4bP6h+gbhAxJJt
QCpq3RKJk8PK7BOI/nlEowEkwfI3BeQR7kE7RnKY67MHA+fSt9Ao6qGasrWyiZkNL8t06YeeOFAj
adOdT6L3vawTJzMPccJ0phC4dXpwHJHVT8cln3S9pXk0phsH6Og+WOL46DSV9bnVNqpFjaX9ISx9
smf7ZPKzo2OYQfmUAfKoyXX1sU/vBvbY2dhNOIG67sBsZDG7E1IsMFxVXrqZeEk6hCR8cyUILrcM
d1XnbCyEdTeahILdbMZE9JC4AsJE3wdp7O3wpJD2UDQTlESQI5GDxx7ZVNgTloICPSq1YWdR51qY
tXQ84ugI2qg2/IcC/kHlWqdkUNfuEuSRBsPlZ82NIzVcYbc4oOaLz35R72sq00fDSO9myJiR4jL7
REPNJQTpWZiT3jNCiMkMXj7STe9OEnXzDrdDfiUrA5iPS0ItnFbrHBqMVgrK2V1nQG2rnDk7O7SS
9lPQ4EMpF30yJa+m5ZXWY7hYX+o+wAVGBHWUp71B4kQ+7pva7wmhRDh8oip7VVQTZ5U5yUUymdhq
XZk7/CgHxmebzmmHvaPBfjFg3GaVUW8SacA5bBHsb5I0fXMR/yAHxljF9CHypIlGzlHYcrC/I/ge
luSqducabP/SHlB5fuwzAEnQgEXEmAGkksrFLb99fsndBTpbTKP/hMBjeEN1tWyD1Obm8LIdIUCR
DcUGWScaw7SUhFK4H6Vd3hdBdqVFTF06mPhc9UPm9YfG7IBFgTzsQmRcurIgji27BIeOSrx0E4zO
YyflIVjm6xyrHKrrYd6rtux3Y6y7KImdJ4/UkWiqK1Lqq/KtdJBNWvXkEZeVkoNqEHkqQUmEPTIy
xP0sgllw7bRk2QBlYJIEYSECwOPcmZgQd9Wsaoaj48Sz1Xai5vvwDtQ93cZIw+EYqPKr9hdkApYZ
nj2Wy/OgmJjNsZ3fpGGfI5EiKZe3QtwlqbwjNXVnBHwo3dQ3c+DkL+W6mhVD7Lfki3XGpW0t5z6z
pHduWpCsfGGUNHMbPvsy/WwaHeWMNX8H9CiOCeBOPF6yjJCDLxuXweUZIr2961jW73p7QlmqvfBU
5P597Kk7xuDmnmUiuDQgXUkNLrz+E+vKsLVGPx6j1u7zm9waRkKTi/5g8kXtTZghTLTc9N6e5/Ba
zSbqBqPfOnn1jJzZ2jCSI02l2tcYoqM5b31Ihd1959WsLmQikL2Y77FF2fx6jfOSOhkS+pTdgeh0
IpDCQ5b3DyX5Qnur0vHHqZiuW0OqzSz6/BFZy6OLMSAqjfGl0+FnL8Gbhy+W53ho8ScDVUmtaY/8
8dR4+QHCdsxdlM6NJRJ5mAL1tQY/tHOVBrnTWw9t7Bc8wAWTjIqM8IsrJxM0jn0/hO1V2aVPAHFQ
ZGMaMRtniVhpd54RfnHCidGrA95zXUtbI7gNOvvQwQ+6n/nqQIaMCY43TwdfijgRn0s38LbK9nnV
DIcTqz9eEzmyG2Vx5nTc791RWheFBTSSY5sxNg+bdFMsZXAg4UWf0qY/9m1+HrO4OKAczEAKGi2j
SthLDYBBHYeET5ADwrHQGZyvjsH3hcDXCG4WbTp3abWKW30lr3HPGZtlGpsdzuP0tZ09qHDWcDVn
YP7qqXwUDvxt/I/hqNlY8zDcWar/ONIHJfau+jrO9TEMls9AC8vdyOdBONAUG8f1s8u4IONXldg7
+Gksgs5dfTMjNcaXEMt2C8dQXNzMTfaLYS9RNyT2c9wM7T3do6KODIaz7S4oWJnGyq5vyawn66RR
yM9RC29afPjHpSEYWgiiv+uhHa4sdOKoPCwOL4OJjcw2HlNjWrdnzCeNB/83cG8mQjqfEGvUH8yk
Heets5QONslF58N9nRvBKewKfZ5H+9EB9/pqqNFIjnGFNmLv+hNyW7sUE/Qmp0HJzz5r7cY+/FoZ
461IfdJnnKm/79z6FnKOwQHSuKuWdPhADuenTtmwV2evOWNZ/hR0TvkwZ8XZMhC/0Lgctxb+ki8s
r85xIofmJddC7dBBKULCDWuXN2N68JCmRkHQFsCWiCDPuvE5TJJuV5uBcZ2gVnoiPG6KwrELvnsD
1uKBMX7kpnb50gT+8tGfDIQkQ/BsF267gTfgPyGhJR4+9gAy+mn+gNjeRE9B8zT0SzKAbCL1ZpDl
054vLI+wiiL0Zf7Ne82vl3CC2VX5t1YVr4tp+PdhWI+f7G7cmUzibxC1ukQKsWX7eSswi2TKAQrb
KhB+piovRKc0iJ8HhxqhTq6FVR77Ii7A+PgIRYewuUccIbHgBOlwhy87OGrfk58MHR6bfpkfRvLm
9iLMwmwT4gG9gkrwTRbBV1bnEtSvF245ww2PWS6g49vhoQ3J0nIRee2IFmOD4HC97S0046lr0X4x
mtxCaWGjxrFceZUDi4zKvluuYP6Hx6kRM45L+bVMKrEZ5jLDj9iO4iMLZIdgDLBmEHn9lJYHp07Q
VVROwebVGfUznGz7gkPB3ZfUgk/mpOwFV0YZrIFBi/2xSm3xSkPFe4WMiu9Y90kI95fMLNrmO/pe
xd4iqg6tE8pbMgfJQNcGwm/SgmzYkRxUVppjrSB14G3ZVlQemxQESQK3Nxb0JS8KjcS+qMbkY2hQ
iIprCq1NhS1EhfrkWdM3xljeQaL+3VbMy8heS1ZxSmNFenZDaPzmgW/t7ObEw+OjbrdlA4N6doYv
Y++QMKbbAVBZbG/dkgAxRTr3Bjgn7JEa6XbcwnsLRHm0ERpEqcpJVzKnXazsmzzNbWRCnjqUrRdc
srRCRggAd1P4ITIzoL6jVPcKBPLBFK9kD1AwoYfY5VX8SNepikppbWPDgUqZti2UXEVaVB4zvF3q
HdENRzC8iLpw64LyssSmMeqWKNdxi75Ispwg9EZAOWKqwi+ui/TLRJK5R4G/NwNuMT6nR2KKmh0J
ySiDsuoyeaSi5SJARDdTGqJtw5yX+C17Ytmcmsa5DxGXHPCkfi3r4RFVDcALT9/1FecUq3dRU6OD
xBjcb1tnSSO7hZ8L92pEnm9YTwzdOoB6VfU49x0NFPT4WEpAc+aCKAi7QRuSMlCNrLyhs1bpR0IV
UUSh09pkTZx9K5TYitnXZMfxlM+lBzXWASQyB/GjL8or4tycG+WQMDnI+jvFL1L5tNuJXDeb1AAs
PTsjUscu3etyqB6Vk2fbkgDIPSmi4c5xKHYsGbjRYuTlNRAOws2JYd3DOZI3XhC/mp1KtmExk7Uz
FfOdXJBChp0nNkvpU/UIApHMNr+p52W4sUzyFBo5bXSn1p6JudxY0BpIKzDJO2tsDPojA/jQn66Y
+n5rOG/gWn+2Av2StB5sv2644pi7cDMKlDX6FAfFuEOVdijT70Ygh0h4ZGmILm+PslC3MrMBA6Qs
j6kMNniPzH3bcrxFTGcfYMAcrMYVdKvyC1ZXNtDcJEoyeESvbkd2pl9mf/gaD8lr0xQ8P419N/TX
fhM/NqPuEezXyRfDwDA34MTAEgCE1favdBh8DlrC+MKwORRsjhEYDGAoGC0iozbFFejhu3yiOjO6
3Nz0g8amDr7MJEOvmSjPjFs82mMQFdWs2RLymI/LTiCRHrTpfgmC7qR4gr8sKn2zMedHdgxsOrWt
TkWTA3kBZ0z1XDZ51ewyEHI3bFmA2+bGLinwGuVv4d3UdxOyyuNozHIDHKU45JmRqE1rYRbcNAQt
PluTQKZH85NDTisfpyGAyY238URVXcAATuuDE9bOvl10ciF21NurenhYFC582YQfwmDIb+vMEN/d
rBsuOs28M2gJdbTKpTgPwAz27uSoB6cmWC1Q1gtn+PwaJi4H/MQE356MODya5MqmY7cZgGld0zKG
OaBnWMANPtR85LQ0Qq7Z90w1tgpTZWzXaL5q29km6AZJGmVel3U9CSzwfxlvmQBmBuTFbW7vIOfH
Hzxkwke/XF4hfIRRZfmIdkvuGEXtdT2U9VHly8lVI7LFabxBfkdZ0aUIUYvwC0yqbCsDH91nlSLK
bd2aMkjpLexFCu6QJEPencSbKfc49e8dCxdmP1sbZij5Hoo/1ByqD7+qUWqXFfhBekg7VvOFr96t
dyXAmJxIKw5Twf2QG86BozAdF3vOn8ciDFfLoVlcs1WzC02cFm6WLrzUXR1Ajc8xkMa+Gw0F0EJa
3rDHLUl8aGficyyzY1c4a4pMm0coCc1LX8j+3DX2d6nBsCDDIgQHhr/ObgSr+27GKXmbK77GpsDI
FxYglMpy2hioyiKvyfptgZ77MpEpk1mIG4umuk48/4loiA6iupCbueXx7+Z5XwvzkEz0O0hT4Szj
pstKLuBHIdxE+Ni/6aZFSdhfL/TvI7XEdLhtNMGSc5Zl15sK11I0Eb5An5p2jd1t0BazKrtmfEyb
Ej140boULct54k3dQDxHszP0rJGuUHBXxtfRz1+xpp8CR97iEJ1PGXC+LUfIC0v0UxuPNWCQecdR
iyeZLv+mHzsy9kRm3mgxWIdgnmijaDZder6otsU9KZwQi4edHr1iA7SgDjno6PqTdAzaJtM0BXuL
HjNr5721JAufaOx3hTdx8gqmTaI4DvaGCTMbIxwdga2Is+mcYhKPXKd+rfsmvMsTgy8ycA/A2tMt
ikP9GAjnlqQCED6tsLA6mvu+c4HpK5V7GwplAz+sv4Aa8/OHCshrIORNp61LEXgvtrDoir/0ojoM
ffBdjfitzCAjT1NoaKFVuJV5vRF5m2+1HL+3vSpgIxZfUmmkO7m2/tco08JqGpoqAb0SnYfJtq7p
BYA2pmwhEjVv8luVskBvukF5MzJfx/+AT8w6G9T0LbLaEr3/yKF8lIviL7GTI3gHG2G2cld3c622
ae8z1/cuLQAb3FUbL5+Z3cxFOezp4qDAKQc3KrTwJTv0IgfSgbU6OLBmQkCQjjplpWQAwqpGrlEn
lFtRGssUTS8Vef9gOF7V7SvSPZa9MopJbWxGbM3F44ywsHxYA0G9TigkpmPukRu39Bxwl5pXAxaY
166Y/aIHgxZ2dCx+Hzf/n+7XH96atY3dvbMdv1JcsM6l/e+ox3//b/dv9OPa/f7hf3bvnfC74U0t
92/dUPJPf0+9W//m/+4f/tFP/9tOPMPzX3fiO/rjKvuxEf/+j/5XI57MxRBTxY/ROaH7G8AMLEmr
5ejf/XfzN4+zoLf2xVekoqA1/0f/3fZ+Q6NpmT5/wQyQQjj/xKjk2j8ppxib+5ZwzFXvhijT/Vlb
p4RHqLhMcEW4JlUm0ave2EcOgnteQM8Zn82k8jExuM191i71zdoxj2SAGWBTh0O+E35mfsz7Qi87
Zc3FhzTo4QB7Birt0FeHOczsM0HCgjZjBiHKDdDmAAQKHTYBzCfEtLvpZSyn5spMGBVEjVVeEQda
3PogZw+VGaaH2I+B8xcltXtSGXAxwBIcdJaqE6MB73ro1qVWd6mBopzZN2ZpUALw96YvBRyVYjsj
md+s5FIyotfKAarTffOeAJStYUCD+VoUunmhLRDAmrZjO6K92lNAMlWeGAXsi3j2PkzxDBRVeCFM
85XBcFrzV4+gqY2vU6Pkd39FoEO+D05NXKm3ZLZiiXO/FbdZ2g6Eb9vq3umc6ZwXvskAusgXqIi5
9ZabDSdUFw8D3UabcxTWkJvErJNL12rja/2OZCdXlxGqlvVpyeTnMZwlwI/VLpEG42Pa9v3HMOzx
bUNZVK+rD+UzqwJ5HoNLzekRFzvQygqRQAU1IjWkBpFlZuqUumHhU7kL9SKZsQ8by5k+eZbHrjLU
5SsI6P4Y6qzfC7DzX7U5lFeZqT4YOnHPherbs4q1vsD7Gze163d7H5aftVWcOwiwXgZL8X0mxWdO
vTTUuEsDP60yur3V2eVlEaTOqaby+KBzyCYr4uFKZK4BcchMD4TQlg8oTNNPRZ+RdzPVrU0JD35w
BxwyFzQC0BfRM7MLjAc8e7SsgTgPTqg7XOvmmkIhcIilehXFJjTpN1NXp1vC6ABW4sqZvmc0CCkd
51WERQoPCQl5CnUYP03kcBy4SlSjt3AQyD1WQXXd9kZ+ZTGCWjYFqS0GHSucv6CI2+Qp9rXlkSCe
OK9ynhxco1gVDn7JSajBJnLUrWbmTdFHHRbU4gY3QXiXxOTOkGawAzPFwZ6MNk+5N1kZjl/hOhQn
U9E+mnKa9tuxG+D51el80ZpuL7PiviZ4KY8/Q+9LjDOdeZnvQpKAoEub3RClcOnuR/zG8W5cCvHc
h2VMUVfL4U4MtfyikEdswpbMnIJmDyXr0i8rYbQMjhBCJhifQdhgylk6aEj27EQkPhCFOcTCfrJH
M71IPGqvFPyE9QlGycnGV7o8tkkdfMmhwV6T87SYJ2QW4YOmS0nvjmHTShYox3LbJl0D1a6uXhAD
hI+0/l8Nc2q3XqvsazF4y5vbKkZcnRBNvYuDuP6cJ5QYm1IBzeTLqtUzuQeKtGjaNacgbnqYi4Cc
o951w6sVwLZl779D/Bc6EWC2fscuLAleVs4uQKlCsrRPcPM4dLSM2mzr0AHf6akH9NMI/+yaHT4w
O6WtqehsH5phYEWjFeJv4N6ZhxH6AmRqwz00mUmSlhH2sUPOrzKfrSINmYaxmI6WCRQ8rKssP/h9
W56SBbogzTAUMWFj9/cqyBxurF/ln6CCSbCBgk43i1k8nOIEVheO9an9MvoLxgMH6dmRCOyEcHVz
6T44nTK+Nq5Ps78T+Xi7yMVgcdFAIhojD4mzd5xxT5iK/OKRMvkmy3R6XpxaXNtdRo58P3XBAlBh
UfEmjG35IV3CuNhinK9oUEwxFh9jsjbCbD8mRdduwSFONHpVhu+skFuv9s9Ou4BFrevyLoTAtR0T
wlxy8rtQzTjyMJvVQ1K7w6FTkPVWYAG9C4XLBCfTUjO0GL0d8nH9TeMyqnajAKnX2ENFv3rNJ0RL
m3+YTVGOw8UppVcTdqamNvsEoYbzzeI7dWF+DpaCPjeNGlv0PeSopcs/xHNsRNaKzhc5Li+94vQ9
AKD3ngCxz7IIbB8j+mlMpifq1Ppeoji8H0QXW5GZ5fHTtCL77Xd6f+3XVLQr0j94p/t3K+g/IP/5
1hzm6hYfrdwD5YIWkBUOAi+GKZyxaYEyX+sjwW63masluxnWYAHOXGQM2GvcQB6a/LpeYezFexpB
twYTYLSl6SQUcQWYCCH/Q2u4dt2aNAO1Bhs4AREH+Rp2QC0XoPNZIxBsTQhj/Z7H2K/RjItJSCOR
bO1HJk7+KeGDf6UxT8j5otwDvmSwJmvUY/Ge+qiloY+JKBfKRZJtGFUMO9mDjyzo/4zbYY2PtHpN
ACTxbZtqym9lOWD8WqMm4/fUSQJ2cdbreJ1aWAxVmqSBxeGsQe/EVSZrcOV6Px/UGmYJJ0IdWS78
Qw7i4kNRjKReWtbEaD3U6beYKNJjNnM6i5ScsUPD1ofcx1TqzirUdAiXMDyNgnhNFTdQX4Q7Hnmf
SN9E1KhoUK2ZnN17Pqd+j+p8T+0c1gDPyTYrRqg5sZ64DgVkOaI+c1k6HzhpxtfaD+dTx8aImMea
bsAgfDXXuFDRrcmhbufKzzBp0y/mFBdQSIkYRXNK2mg2stTw+K0ppE5puxuAoD6RdnlxyyRk+gL2
YdoWvfCerYYwU2sh1rRP10UTM4pFpuc0uXqnSLhoPtbkoeL8xH03pkHa4rKSJKaadWClDBam8Dlb
I1URYHby1ntPWrUh0TEeAT4POy8nvuDK8ujn0Dx+j2kl54nMVjZ+7nyD+POjItN1Dm14MHZK0Gsb
ev4mxSoYb/JkutPCYgbaq7KrYGMY6We3td3sxfJ4xTeYPE13pyYm27TlAQ1r71qIeR6ZcyZFZg5n
HllLMRUaa6zQLzLWz5S98yfGtvXXfJytpxBNwANxdO0ZG+2DrP1lB+2sOvmyg7c/kHbvN/O9V+pn
FsDvsORe8t579odpeMVuRQXhAD6NOnd49kMjP3p+UN5CRt5NTmVc8eUgR1PQpWpEgd9t7Y511Ley
4BxLNx533JARM94s/Z3tTsWyoZVPa6pVDCUeAm8gykdb+i7V1DvMnya3Mv7vnIugH6ima773Px+M
ON38+1z0P/5fOj2t4txfnZ5u3qb/Or5UbQd3+O2HI9Tv//KPI5T/fiqCCYaKyeKw9Afwwbd+c13c
R/igVkPNO7b+Xzomkm1MPEMk9q4JN66NxPuPc5RjrcAH/jriKGIOOGT9k3PUT6J00PtMRWD3gXvg
t0BS9aOIiW7JnLC4a9yB9IZs7dE585KnP92U/0BK+Elm//tFEFdjTuJz/sXk0hOk1GJ/gFtToPGc
/U7jkx39TVs4/e7Xl/qZSr9+Hofb4ruwsuH+r6KtP5nZmiqGhpUQDTyPGT7aMisulkUvTjQtZww0
98eKHj+YSdeBErU0f3P5v9xOOkT4lFiGheBL+1mwzsw6cCfPkkfgLA8WgadB1v0zR4YTrJcgIdLH
VkPky89x3EoZy2DGQh5dMT3gi3/qQviqA/4+Irfk269vJw4UbtifVepcjkM7ni+k8atZZfUa/OmG
2gmBlXDRuqMzgbpMikq0QLMI8y5cckJKlCBOPEmq40T2Jvlv9MDxEYRYrKtCVWpLqE8W+VYikFxD
yz8xIgtBLjRjSIeSQ3sTEQWSE58pBYZbMhMjRS1xon1rv1r5dCAqpP9eOyu6QvWm9UTDFQnwEpJ7
yPJs3yC8C4EEF/Z2MJf5ackBH2deMiURGgsFpkGG1YPnlsknoG3km1XKvosTKLJuDzbKc+lZjw4j
Lvzoyc0AhDlKKozdDQhL9nBXQrnW+sSw4Jp+8Li3q+q745f3TeZ8RWlw13MMJHstqM6tOX9JRtJ5
Q8hrO8PlZ8LJ1dui1fJQSDcjM01s3S6f3lQaypMPtLNdUAxmYYMXwwLgODWTdzMz/N2EhhefrcR+
8iHEn/M06zeyQ5ySjSMqbSN8mNGEbxeR5zc6lMlD7yHDGgISjsIxwaROqQ2zfYSgVsa7HFvzdd1B
REtpzMYYEC9uYnrFbkJDsqypKUl4Ig0FDU8GjOFB+njdUtIRNlaAgroFfYHIsRWxAAOplPfo1L7x
KS1G9QHQGD+HnFLroRHFeClVNhxNG4BbphSCeYyJ6SWupLpuADID+IMOTz3AI1JJCrIGplQ+1YKD
3mDtx6w0n5wGpO4yypl+bmYNz0NmosAiv1xcQVtIHrJU6l2dNSKKvQqDt/RQLEzZ6rQ2VHwFclHd
tbpWt5XqrmL0gc9SB/2Dw3j3SCdVXIvZ9o5VzbNAIZDth76eD3VlP6eFchkDZIzhct+ej06XhXcm
DYgDaE51rROjuR1IF7Y4z14nJGJKDqGluVcTZJPGc5OErNIWHvLsggUMneECbhhSm069WwgH+5hA
YZKIel9EoUi+AHNMKTzdT/OYnJ0qlvSUpztIxo9MxGFVjrlxcJgdX/qOhnaWjrjQBkodMBXiYNmU
gJxvyuPCbO7ktp28LI25ysgTt/lQLewbPNE4rMBaJOadHcvlpTNo18C6qK/GJDcufeJZB3sOaW2X
JPowUUHUXcTS30pTcrWksGk1h4ZhM6jHjBe3KT4pI4ifg6KvSZBIwkMSx9NlzvOc+meYNh4hnIdu
NOEEF/+TvfNakhRLu+yrzAuQxkEc4NYBV+Ghdd5gKdGag3r6fxFVOVNZM3/3tNlcjVVftMryCE93
4Hxi77UpQgxLRxAYKUKrbKB8piym82ok4rIVcvsog5dSs+BmswOVUDrJFyZYr55gIBcPg/6Q0oUf
jdH8jLzyorlF/JjXOk2GwyfNpvA8WLXyxygn+dJCCxVBgGM3BElCrtm11res/BjEBLgWvgN3QIuI
p5kU5ygeTxFNRyg0/Z4N6X6g8D9mmoLOwFThsELN8mMo6c8I5B2K8n7Sgqbt6r0yavNLPwJpqJNG
hv28b5vYfLLtxvMrkXfVqXLG/o6AUZPSU3dPaTmZbNSJUp23KKgkYTXCfqFZb6IiJ3mW4OPluRYu
QZ9AK08CtAc1vP3e1UwxSD7RdhPzAR8HP2MtnVBetzokHACMJHVmnfEGQSzIgr3pS/dUjMZzXibs
vyPBuMTtzlbnarTkDB6jXHOv4yj/ETGu8te2Dx1lWF+UDlY0U+Z421gsIHZ2wb3HI0Hepks2X3CI
FidZGt2RKjQnbHid3mooIDuqoc2W7ZFW7BeSG4gt65z99BDcvwo8gU/MlKx7bDIygJIhfFGUWb+r
7cJkrpQMocSfwX0i5+9ludBLtSSu9uQm5J2TvdiJTY/spWzh267YVNWg+PFf2mHh4ndUq2NdYJtO
LU3TOpJm5mpHltmSLZDzzSE0c9iNHt97G9kZKyLXeSr6WRwwVZQMeuH2O+OCiykn0YGZaHJUIDWv
6lnZR5sJzK1MRX5MtDgGdB+W0I0OxZLw8Y/J/Cx4cgUGiE9C4ZbiyQR34tu6IMNSG3Lj0WplKHEp
vRINY32eR5ncSFj0r31lBrCSkP5mTdfdKNEMqEQyrjxGQEfmw+R8A0UKODx/VnDJYXN30HPjqD9x
Pk6nMTN5ZrRz7cgr1keLQT5B0as/6or/18uP/w+LfPx+f6mK/jezwlbkn390/Y/l9wr/42W/Knzz
k6cbktrTIj31w1zwP6t8myqfB5rD6oOFyFb//yryxSeTwQ1iw62cc0yLavLXssT95PHjdJ0/0XGM
4qr+tST6s95mv/TH0uj/UH/TGfytikMagn0SuJzrguTgdvi9ijNakFUm274j8QSpCd/FJIQP81F+
BQ7Mvpr1rh0fY7uPzrWeJupE4PtwnzTkHRxytnw5e+sRoRqWB5BfkTJRlHawopo5JsAqstJ7xHA6
a+cKLIvX8ohhEnJDVk5iBmwboqfZqOw3bvsvBSPomB/1NHJ/Pg55vd73nffEIJqNfEVDsCPtNQI6
KxBid9RP12qyoERzI4uHHr0KnfGgv3kwgUA2aanxUFVTfu471rt16aYIDXjhRKZLiD5yvilnMraF
JsRDtBoaenbN+9kbHTIh8rLnaTeWa3cC1cQs0prz5os5IhRcp97zV4sUg48P6sOG3znJV77/FPtZ
z6snMRLSl3ere6Be92o/K9VpRQPgY4nghT0R8QZiw22jLkuv9F7HbG1jvypc/Y1MpvVaNqPn2wY8
1pJR4pGhZncaNcVvF+407ZBJLvs+HTwYWMwWCQz0OmRUaQo6c+ppcLrMpQY2mlh7V4o4K9ZX5RZm
ZIpL5/aefphsUbwseYFQY4yVeOvKrYjOZ52fVpTJfOs2hfZzTSbPn802OoMHT75rPCxvGnZuh4/3
12/viiu7Q4bLv58MJATV7gOK60gGjHu9U9WB4eWI0g5ca0qGech0dgjB06lk5wypwbHFXJxM7AFE
8QWzW5KAnhIEosl+6Mx9YkP6OpjrVm5kEXqwSqvz82rVp7GzOCVR3fOoJIj9DcCoK/eiWVyEcjkA
Z0VS8ZuHUvOcqb4P+O1oFPveThloYz6Bn1a8dCDgHhNm8m9tk/QXF4niU4anfY98p5MBhah5ZtYb
XxEBlLxmRJUAIlnsK1rW1HdlhvqCiWJKy8JfMltJwrRXo68OwEWsXW63KEGxO8hNdc34hxD6Ayxv
71CQ8/5zksi//agryxqIEXyVIDaYgu69TB+Sm7yo+VkecUh7WSMPNHzLHPmGYZ/VTkbmQN4/RDDg
gbhPuW9yhATroEfXpYTJCJlxcg9i8MS+KxKTiDA3P5QuNkVmXJs+cR7S0j3kQu8fh9p6A+2NkMvW
XwlPXiDMjy1RpxkKR0BPoKDKGJS43wsp96CpcRY4RuMrPa/OMVlhyESU26EQKuq7Xq7lfa+Zcj8t
S3lnp5Y4KxjnO9QucVgiAdj0o0NoeNZ6Tqx2i203JtOfCtt8nlkd7+xyQZMJuZAbldXdzgLfQ04N
uA9cp1G+rzBiE3MzbED+KMNiO/Uaqkmzv2YeymTdBWlPZKZ9N9gxyuBkHD7I/TpJLYDlsp2reZQI
mCZVMM268zayR7uOhCBDqMsyfGqA/xa++rUhoanCJj0h/KvR3S4ZDlhf5zVfVniN1EJZh/aa2If2
sUUikbFVFUmokhFPCyFX6/NsLzqxmW1yM9IkQCdpalh29nIwWodsM3KgapwwcaNrYQXQEP5rMSAT
AgCFlLVCCDfxoBA7VUx6MEq5XE1RU98nEMlePf7+Jv7Kdc5OMP2dPpBrDM84wjuiLXJzZk5U4rty
s4vu9FYpHz9TjZ25ajq/K4zkSTqxTuxugZLE6MrsamTDDcS3S9lxZgYiZ1M2xKd443xI9Ljyp6X8
gmG4Dbt0MdgGt85NvSjtKScdjQ7ZALbsTXOGZrAqBsaz7trdYXxmclrRMYK6Xe8ZufJU6qWK3j+e
LG0+RD+9uczPRc0dCo5SsDPe7qJG8tCaWXG8EK/jBlJjm8ziCdndzlk4YbpaVoc55vFMNqlhcTtM
xgNjc37RkHRzUBmMxOFtwuWddFiEu2TSvOoGqstyg9SxXoK6XiEeqmq9Bips/4H2+adc+neKEjQd
/1JRspVL1z/m9Fv9t3Jpe9mf5RIIjE0MIm3T29gbfzV3Ct0juBvKLWZQG6bqNkL7s14yHV5EbeO5
DLP+Vi9RSpGLS9g3rDO8mKCC/lYf/at6yf7bGI+cTn69zdDLtukBGCX+Xi7BJS9w5lfZpUOOtHyx
6g1JX1nOYIV6go2MZnai71+OKeP9UjvVRoLC2GdsWx2hHOgH9gjL986MFQoyvSFAj9jb9WqupPOD
psYJiB+W3doeK7rwHHt4XkyL9agBW3EVWCWFv6L/XgCH585ecO/ZISTILEHXm2qDcz/WasRO2sgB
r9kj6YLRQGIcxqJ3bM5Fumwd8eYVR/FYleeUXaw/uw4d+UhyHdzDmADCObmwHmkb9zEhlXIz8KHa
4Zkl0NgxvcuqpuyfepcKNnQJoS7017R1BtjTVTO6BmE+eon3NQUfwfpZb78lWt/tnbZZ7ojgqNhB
L1PGS+WirZ+Jb3TSP5Jn/rkB/+0NKDcy0X8Pob6puyH5H8GX/O/+avPjhX/egp78BPZD6lzgm13a
EEzS/9xLCN0iT1duwGkG6b/vJbg5ibPl9kDitfUUf/FX2582HzS3pw65jrWE+E9uQeBQv7Us2wzd
AkPNkNbgTrQ+Hjp/HTzTZTe9nB3jsuq2Fa+HlIzNgcGsAfke17Q2wKFoSuS5u9G1s3aHLXx914wC
GbyRimMPCOAS0W6FS6uV+3hpa4ZUa39dx9WRpbs6uy34W4tQvKtaVdojlA0m21XMZIx01V1jlfJx
dJv5mXDHAQIIbr2DaFqyAPus9WVPOBU/T+wNVoIVZqDIZDNMnjXvGz+cHR/zNLmWZtmdqYQ4ndro
flrb27mvA3Y+5FyisDqyPzR3rmRw6xTyLCxGNYrUwiRuvyvm+4HKOKDLsSPmzqyW66iLUXYNejCP
OjccJzisbi0knFPsF31dD3aNkaeKjYNW2dUr+PqMUNOtbiyssJi72y5frBACy/ClMwaTuNzSRRCM
RsMsJb+/FMz9ltYKhsr1jkuv0gfso3VQCtLUmtygGakXgjdw5BzjIbvtFk9nMJ2vIXA4yhjWpkT1
NGYId9MM4lSzd1Op5t3Ivv2cp851Ijx2MWb54JEYGw7I47xSHRtrG5QWBpoYZuFUwbGO1lg/aHiK
fOTKL/ZAYCNlHn+JJh+CQREyVSwq9jtbk8yF1NeyZwswz4zhSRi5aihgMJ3PYb06ezDdzR6nbRUg
v8PQY2/ubFsePYyaA1NT380NJutrpL0sZlrvTF3ZYV83ZHYo1NOGhU2IRng5GdSIT4h21lNP8E/A
fhwFxSxsRGHaEvSzbgWVhy3SduPDrCTqHRP1vCeyz1hHrasW5TnoHPwmttkGCm0JNrf4kJgK/iop
NGTWAZnN2qe6ly/uvF4yY3J28SitvValeij0NTk4TfllBcKVgSI9ZKQ8Ir2YyJZl9nZuDe+HtWoE
tWJkD7gmtsnXTk5cEm4X36O5YoYZUwEaW9ZoHg+44MXqW32hk/Ron1ojE58XaxUM4gjS1PKv62LN
4Zy4TZilnHZ2RYjbuqJ21wquhbTK2sCJG1goq0VaJ3RvHwd2G+Sie9P6gQ2NM0fobXr0yOB1Dkw6
rbA2PWsvabj3kZk9d2wbrysdWK3pfo29XgfFRW6h3UjtCTYLohRaRytwijR9KEec0aBT9V2Wb9G3
qdc96RW2BOF4+cPK+iro+/WaprLYu6h5QlpNSbQsBSnOMyesZuRzg6HpCOU6zKVrXobIrJLNbW6g
ezaZADuZPAkDYREjY/I0jZg8pNG46jVdBRqn/DO0Gz5FFxOWASPFl7E3YXYr251u16AK7Ex/Rl5J
NJ8mJHcu0SlD0ji+p1aBFCavHnOMmHdRo/SzGPrJ3oEHTCBpaXkSygbX9zwATMAHkdM9EPrBW1UX
h00X/6B2qUDmHDAE3GhW/jVlwgi1ZTOJtE6MQnLUAoeA1Otm7e2jkxQ4MUz95xwlUAQnGG4wlqDY
yeER3flJVaM8u4hcNnHCg4yyNpx0kywTJJqY8QsZWBYCEaP1vqmheEhBt0dC3RFFPdA9pIL0YO1H
aa3LnlDCq25wLunEP9871WGSBMlW6JP2JK2QY9UhwloiZr7wIkgrttIvbR3ju3HXx57dwtHZsINF
ToEyuWrwkQ8voUEzH3QVeyA9lt31Yjh7VRpfPHK5dm5K5Y+K3X6MjCT2S8cLN7MJxI4M/lP7Y+yL
CX08aiK7y5jAF0KcI4JK91lhjGG+4aWWIW8CxrnuMcGiQjTLZyn7SxZb2Prt+cWdgCKDZBh8SNsS
pW1aPXne+ErCAClLjfMDnRmhIhF7uSkungyhrhxr6G4a1zinNas/u66L6wKhXqV3d0USEQZmJq4f
te3PrsNSSIYJarhV1QfLUqSL2Qt5b4AZLsRkoaafO5ddauQdC1ajvZl89hbXe1qs5VgToXS1SqbH
RMG1+8EtxmB2+Y3Vuj61jA/uMJTjquQQmrVopklkAA87qth3yoYDXdqPDWuCQJIVcrW0/SnuWtrS
0dR28YAfhPm8HiRlK9+LfH6bIqWOzoIvTBmYnOKC0EtjmA5zNWt7nMC275SjB5V6vNNjErkQJ29v
HPt420f+YDNEKNEsY3wL8fTt5zZl5Mau8iQS7RW7d7Zrtfm7mWJxMwulCEJdwQClaQdUNJJHnr/p
GVsia2CNpxyCU5aYCFrhihvmgWw7ex/jF8bq0aBWsxpxiJ3sdRpTm22g+7QM/VWft5tZPP5pao1z
Lqoi2msOCa5WI8Ue1JobCqvUz26jAwjHGIqPoo72qAXrAMPYalZfC9lXwzMY44hNI+AteGDHGXur
1fho0tx6ehlIeseWnbGLzKDGcfWVLobRzsP77yRGvt1k7MXt3jy2iKlGevSGOdizqabKZLu3LF2P
RNvua57eOXvJZoIqDhjSfiCMm04BFj3ZeNWZaNTe8fyMhHOMRlVWgMgCyd50a9f9U14z2YFA9O/K
awucz78qr2/z4ktSl7+ji/540a/S2vpkMWZwQBAJxDV4J/5SWm+Nr5QOup+PNpU/+mt3C/lya3m3
JcGvTYCJo2LDaVO8sxFA+POflNX0r7+V1TbtNRW64XmCdyCISfyb4KfjDK1mKdqzNWhzYGLhHhig
oWsY3Hs7qZL6ZHvkLOyA3a90nR08sOdksOHxONKA8DdrHet1vyy9NDpoxFZ2T2ppiyvWwWl2N8iq
+8yAyXm3V1mdE547V8OUGYG3ofpaPU1LYh+Y8cncG6lTMuJ6m1ar36ukIbaS5AbwYgu38bTFrq2J
AV9inDrvfUwXjOmEWpBbMbSLBLczK/duAQGF3CFNKJYYGIbmh+LPixs3/TJuQkBiu9AE1l2dx/tm
819cBiT6A/GZRalDHwNzncwYL4jUnG6KhK7I2bNmXJsbxlX8dZO5J0CcrCyQYUdW8WY3h9hpdQQw
FeMDl9vdiDARBrlyyujGNRAATtSyfJ7tLl1KNQGWsD2dUn4kNMMXMPD0b9NU9NMa5gnIWVBAaDPo
uCsePCAHFBZlnA+qMhm0u2SB85ThsCh2ibu2FgqSrLFWP5djjMma0aKRODnrEVWv2fc1Wpbezv2h
jMkiGGNUKmhvrDE+GPkcdTcsHrSTjof9Dt5jtFuxqWMHs+j2+6Q6JZo2kgjeGNQoUjEd7OHRjKKa
7kUBhER6zfLFaTJ0I4Uq/CVfEibuPQoZt8wvHXulQ91bJfbsQR3yamwHcn5quUM1vz3YZ4SSGMvL
sqoDUybxLbsPsBNJMQeSPNDAGmyT4iSujzBGovuunMrXqNIGDAkEVexWbWxui0w+Y3SM75El9XdY
Gp17GoLxPWHwHeDCwZLeJPM910O9X8Y6faEAju4Ko15e86TRAFsquCqRY0QB5kLnxvPy6CXBRnGc
E6ndajMAHZTemrcfnc68RDIqgGmRYkOJSev00myubCcq5HMrRfXYL8BTdhj94tmnBTVnPy07Z/br
BclQRWmLr2KA3YAEfzhNMza5qcjjF5PV05W3bgldorGnJ9xuNJNuA0WKFqUrforJksXOJCRs3sV1
VcFbrEk8YWB2B17TOXWT/ZQh1OgzZZk7C7vuRSwNsoiMkDRgyp0ab1UcG1eoXOujZXmKJQoAEObM
fXefFLJ66fD6HUYcrF8nI3kVLT6KoXDdM990GbIDsXxSnnEVLcV8H8k+OeMS7p5ilhhvylxLzOjT
bHzL6k6/0tbK4RxvTec8FbO3t7LmB+qu6ChsRsnJnDOpxhBJBKmr3nSZFa9Lvqav5jSktm+3bv7a
MlHDwssdJrWhO+gOQXGeMw170rCvSGqjkHapezNcDLeVV9nnacbru6uwIhEuUnkacnkOzNVmRLZj
5pHeVYA0Eas0M2GZCFm4irElJ3i4il06aH0ArGUJ60mhXI/Yg/C5DDsHbQKoGJ2GuJ/Yg3pVYC62
8WJBZrwdtO45XbvHrNGc77Ndo9xHaqXnO3uCNOcbzUpr2GXWVYmI/aIPdPwy66PASeOTZ/XONdm+
LbeG6h9XYlcCu9Prb1IRWtpMa31Hqbd+bTc71k5o8HS8cmquYsrRZ+JD8GC2TMBppVuMrKsXXzPO
Ue8DdtOqLmI/yku8/Dk9up/NbAiI9fhCzZj+KKDM+P3YXgwFvcuW0xwkozLfjIQAdVNzDEyZ07Rc
PmjxFu5YqAj0R9xxVqKTPU+N19VCIypRd+v7POs3JswgvLBQs7gZ+3SLDI1SncoQff18NJJhfqgn
C9xkHk/m4ziAkYXbCkpXpQo06kd4AhKt5cHSIvdSj4QnsZUmxEhuQVbLIHjOKZ3kwRiMHtZcN0EI
M1n6tbOlAUJ17W8cooeXXaywmwjTRjvRpwipSpcAlWYhF1VDC37Tp7RO3mQTPK/P36CVVA+CruRE
rExPmm7P2jpDXmHnjUdgnjVftGFbHbqN+82qO/tnrVnfcf0ZF4GiZ/CXtlzYClKid5nGTa7l1xNt
8bVn5vkl0fEP7LL1W6KjbiUZt2aVPD/XeveI1pzxgugSn74fJwm97D5FOXrQ09W7b0VXh5o0EpMe
fOqPsQbMJR9jvNBpRO/TCUauNm1+bOt77vdvGa33Q0tsup/AwXiKHRZKIuma85TRynZdZBfXdo1a
jtz78bom/eWITxAulizlcLBwJN1z5ZZBpXvTXbrU3fd2prNljy8Kyh7LfYllZJ15h8jcpqYiSpfh
EJ2ZXd6VkQZYxVjqk6gGw9d7fSYIXk8vWgcfTVZVfRjUrAJLzcO70aG8LNy62hFs9nnoxdesBaez
cjxegHjFaif7KbmzXISjFVHRwVwmhr+Yc/9TmGMeKrGox0yXdkjtD8o2dvO95cKLMjsteqSA7m+k
7gyHyWOSsvRpd4ukzRRhtnobg85gqoXhWTtN6gqDVkKQBaQ23So+43BTexan+XegfiIE1MT36rqf
E7f40eVpf8I74/i6k2+hqfy3yHY8MuiZFiEn1k96VkBETnFyG0MqLius0W9eRtbsUCTagdW4xjIz
Ku6zoTDP7KfSfTNkLTBB0swVqtijadWb15DKS6MhP+RGMl6lAHy5j2YmQIPQtEBf2MTOTT2GptNX
3wZ7SuHBFYQuITdSSyKP02gCurKvV2tqjpVV5ju98Yx9Lexvrd7cK7ySu4rpjG9lUJA7XQNCqb2J
FEdlktCGpZhed7LQZZjr9Y3TdPeODoqobzF1lIoekShhPakeXGRN56xe431FUtqOFSh5C2llYIVL
zoRuxvvIKq7NUtMevH6eDoVU3tFaspjg9PKeBekd1ulkz5KeiDugML4sFpQiSgR5mheHfoDZMUDv
Day4pm1MFDKt0YTpoTnmLWFEWMA9zXmCe5sesbfXLFjEj5agtpB2udylJa45I21sDrIc4khlqvuJ
Qfe3tFza0NG4/GC2HOU8VvdSA+8BmjchgXOzpniNOs1l5yHUjul809U9l8NyX6T2Z0yozx8Nwj+r
in/XS9HJ/Mte6u5HVfVLMX6p0t/7qT9e+EtcZeF4MFzhUHxvAiaXnubPVYWrf8I1RMKmgbcXRvzm
N/+lrjI+8X9JfA2/2rD/1VN5n7BO0E0JGDOeBPb1n/RUf0juf9PIO5vsyxG6AS6cJeS2TvyLRr4o
zX4tG50BKcTxJVAboBFG02TeGNFMUglEPOLSyhLZ5H4aZOvtjL7rTjzRhL5fWzaJflLo0IUIwSvI
EGOIrO0QRZBF5X1rOEVvp00bQGOkB1bK2buDSYp4AENyHyLPsoIVZCWlkNkLLWTw1TC3o9EgbjdL
1sN2IlLwLd152ZQKMKF17o51fY6wBDP+I2s77D7kDfS9LZ7JTfSgfwggxIcW4kMWkX9IJOoPuQSP
mzxgsB8F0BmPKXCzH0is4m/TprSYN82FvdSZoutDiZF8iDLQcyHQcEyv54TfdBv1puDwXBrEcVN1
pHUyXI+b0kNsmo9I59GyqzcliLtpQjKHZG3ONZQi86YZ0Tb1CAQnj1qpiRAObOoSt+NjRrSL5ASx
gn7Gga7CalOkGJs2xfD45K1NrzKtXnk3bBqWYVOzEKld32WbwgWIHmIX6rrqTP/c+NmmhcmnxAEN
ZuiDv5mpcSrHerg4ksKxQ92f4SDXX9lYDxeF0IaYwuFRIGdFGdbBqw4MLYubXbnpc4CHmS/EDhl7
VLdAAlC9IeRZo+ga2Tt6flOnAYRBj3Vy7B8cWbtZKImLOJP2p//sNVmFVikenPGu9AoSzSbMqlas
31mkGNXM2A3zhhJJvW/dwHOH+fl27DObVGsMCcRH+TYhFEykhvJgVnNxBjoTXRjCVfe4Fa1rJLGv
Ka1HgM46D5CYLPAk4+hxUXYLgdEuj5Ne+notBoimWfYQqVa/VVrvBNFsTadYAl/KTDcE5EaFovQ6
iIiwJHJ0rKNj5kX2Xsky/+lN0zcRedq+tqwIpvdQiAcucvxx89ye+lUAsy0A9RJvgQHRNCw2CPZ9
zdXmM+i/Quae7Eq3lQF4+Dc437C7ZwBYiSGB1i4u77JPbD9WeCCEEikelUR7sxwnPjVF0j7YRdNc
Lxb5ZI7bwzAhlDTsxDz6hdUlN+bYct1w2RL+JhfjQLYtgYxVkhKXZtGeN5LlEGqS+WGZhi2/OrXq
+CCtconFM8khc7rHjzMxpLbFakkVZFMSJ+7DJMGENf6iAWl6NIzcnh5tNhm4kOw2T8SLsLgWQuJV
0ivZ6c79AF03eZ2ttYR6RdCAua+8GvkeaMKF3w/GHveS8erRS+q7Am4ZaF0mzBhJRK3Zbyjsq+w0
bbqEXcFkgL9NphOPfuhqYIuPY5paE+rLVFHexbGWmfBA9TF7z/OhgzOM7b1ytrj3nqqsgbyDi9+Y
ebKpNI7fS5HGGyJNpHw/Wk1ymMlaUA9nFE5xshPpvM3op2XLFGU94YZtaQ55fFzA6b6rupqGb05O
BKl85zPyFCxVNdTnFHgz/W4V5YPJf0jcqgAmbEZRCTCh6KnKMdf7ekt2j28MHS08UMc5/Oek/r+Z
emIy3Pjl/72o4LFWiAr8L11dpNVvZ/WfL/11VrufbH6UI6XUxR+DzF9HtfnJRHGg/2XE+WvyaX9C
S8CW38CJaP0GbTcNlAiubqPWZApKWNx/dFIjnv59+ml5Dp4toEf8TLJPcDT/flIr1LNVl6U19kBH
TNCrc3PyYSh5hwQpzF5WBhmNVZy59+BfyE81CN+64d6tg7FIXIhnphJPWZSar8xEljtUm9Xj2Mvo
M6bE+Q4SNwW5M632ERoEDR92Ovsq1UZW/jmRIf405xJUuTZjh0iY05oXt6Dp42iFNlhYtnlWa1u0
MMrTGOc8iHB2NzSNM3dkBkmwpLffOd5i7XOisW4Tkc13eRJZQDXnUQv1lmSmLsKpDYnJrrJAMxMj
OY1zz4anXuS1gUWq8QcjMk+KjCvOQdc8eXOqV1AMW5A5JW8KSWw0/OC3QD3oABIKP1LkijKgahEO
OtTw4UdA8xxVsmMQOYB2h0djH1OozU5ornr5M+ULP9qRPd/x7AarINY0+r5Ku213uZj6V/gwDEMj
3tmrxbjltZr0/MHLiQmO5jS5nVRUPTW9W98OKLuXq7mdY5vW0tCB7yQ8tzn6CxH5umh5/BG5694D
qFrCVjZ8kJmIwHXoZsr6C1SAA6ZxbYitct27qECluGMSp4sAfq9VBR4En73jlkjOmazNTdncAk/z
7mw8v0yVSSc69nx++5EsoAtPX3qkJJkuiaLhmpOR/I3UrupHIVr3XrO4WthNlz7rOhunKevyMurE
U1Tn1olsMfOsFYSXzMqpb3Mk99rjyskRSicTZ0YAE3jLXFkB4SN2f1y1EsKzEuYeykv7dVrL9r1T
tfFKpWkRM7MiYvCBQhOMppVuiCgIFTKPXe9+bngML4vlPRqgq8Cmr3McejNzTd/GT0VR2kPqxPVl
BEOiTV9gcjKx6YV3aRrTifdq0fGkzVmVHiOnHdYTAm9jOaSR0i5GpI2TPxlOGZqEngBS7SnfBoA8
nGm7eGrUg0PGPWMRvGV3jasJEy6ElM8Vdep1wrhhgmlUQKdnaE1vyXBLdKt5iHF7oQ0h6nFqlp3G
B9EdFzut3fcWsygGGyLUgX9LM+L70aZxR2yEaqcQAZO7jwkRMtQxqjE0ngfJcv1UtO2SviKj86C1
8y/m61w+bxCVtEdmcb1v5NG1U5b03+PQvyZteRN5ZnwByAk8IcMXCsnDMMva0s5xqTvA941Cf7ZN
nf553ShB67BCV13yvS75n4MJXLBdAXOkjJLAqiT1dZ8lLfqb4SFTgll50RhbnrQhAE1yDb1Q2cXs
OGWiAQQ2Izp19ngUx2bZoMUTTQDlB1xJPrOtGIw+/m5XvIfjQiCL2jSCKlhIirsi6js71UoHAuxV
BP64l4HJ4yljSsJEq57PxDyp0JlTcr4h4YCKnA+TZmnf0cSELRttH+LBYXZZni+pIXZ0D84No+3H
Ye3xksbTAWuB/SK6zQSgFDymRdW3k6s/CNOkWO5WvrYeH2FsoTQZC+Z2biOZDVS9T/VZXelV0//I
FudGX43oHW/TxP60LR4rObq32Vj37BKgZVpFD99ZRea+JUscTycaD0uuN2nrYsKyqL4TWC17qB2C
LRSvEjnGFHymdRPk7vpeA1/cCKi3a9NdD1Me+exGRh8bY3cgErnbZ2iMr5mSTbeyZ6OQ9vVXj6ft
AYSeG6bREu1R1lHNRzYoFNTsx7VG0lGMI3SaMhVXAOrGnSJwuU6NPohJ5gGgu1QBgJQaRm3dvWIF
nY56GQ/PmeoGLoxJO8Td/BMYX3FYkmwJh24ST6Mwos/AobUSRH1inWRGWDngbEM/KVlPOWosy76q
yNvcex6LlV3DJudAKL11diMNN6GmOfeqSeC2rxxNWdmnDJ8sRjejXB2YlG3F5I0hexa6bTownGmj
F6+1uWXtkuyhGmo0zNT2KyDzmrk5hOy3BhD1XqiREIHUcPdlP3iHeh2b92aK9FfGalo4jOQv1yR3
3LCXqhEPTN2xNEv33uQPrhHrabessV+cuGUeLTxwLXG/yhtKNUE8yDzk4mzPWXzx8tL1dnFlt34x
pGSb5IZZI2WT7FmsiUmrjbXTHw1h3pCvDdkQs0q305otPbWOXDRQTg7QMC6CrmGU2LKFfBkavWdd
RARRkCpm5zrQMjQt9f2MZeLGzPIqcHHKSlVwGVj4Vmaj92eRbK1hF+3+i70zWY4cyZbsr/QPoMRg
mLfuDh85OqcgN5CIYBAzYIBh/vo+iMyslyUtT7pqX7uSzAwWg3TArulVPTpo26DYw8t+WaywfvVl
u6KErHLBdRZh0mltdz5XHif2NpsbZ+dSlvFSQ2a7Jqw1Pidcu6EiMXDTRPLDCPqvNK3ib2gWRCPn
Smy17bxUtmPc8kxhxrfygZUE77llbqKXuLUPk5V9RG4PVLtxDksNAHqJWIFa6fxtHuaAznPsMJ4H
7QyG0WawxIm4Ts7FRapfdGAPmzwz6h3GzOw4yL6qgUXj9APnYD4U2m3DXI/5Y2W6d1XcVTeEnvqw
7CTqp4xRNrdj0o4q1Ga53K0uS4yV+rPPkmdAsYxSzBd4LQgrWENx9MAY75xo1bphMHZwAJp1mAH2
29kt+2FOuTCh9fa7zPNnQ7ps+4iEfmAyTo+AZLxfrdlesS9/EQvHlwZ4H43vvSrQNhqnSw9TLrxz
MEfLjRI960uLdHW8UD0T9OexyiPenUqFOJchPsWDdcymuTxZgzoRxVjdTeZLOs45PQINlekpJg+o
RMFBwrsGh0lb+VCoc91NT/aS6D3gTOrYhzUany2fHfPntrP6+inyuRCmSJz4EktrxmxYDSxQCHPM
lS73U0+UuzX8nxGpJLgw0btoHOvegubOqspB2e/4XDk/S1nSlbL0Gk5aqi6qokm2b+QvrxxJBZmf
2s9Bi/Z8S1uz0uPRV8RXtK3sMG3Iowy+mxyYWLyrCaaMuq8x2wumx3tZedEDIKFzyy8dAushZV+T
zJS1wHTnI2r68W5OJgxUZmbeWSp7IdvmXiPqzQ94SxyEGBp5rn3SE1zTSAIArRxWr5g3JzYojXaJ
cCyvXZYCLqLc3azua6+Lt/YYXKSqv5w0xslCL1diiPto1PdLwdU06QiT4JvKVPnRFrTmLXp6HnX/
oMyOBVp1y7SGRc5dSA130bSd5z5nBsTGCbWBxZ1fwKh1rNQBXkDB002V+f6NWzYVhTLtRs4eJnwD
HPeDbKv8v3GOf8vust7esID8/y5+/6+b/M8/+Jflxf0Hzi7TdcDSAMJ3V1vJ393kaKwWkor9GyL6
PxItlnGb3AY9X+BA2ZP+U6EFcmP7q0LrWqQ61pvkf6TQWuu97m8KrVgvWlIIxFmkYu6aaz72bwpt
ILBwRVFjXGxYbo8EP8pwwfZ4KoslDz0FS08sg7xahTsc/NpeQpOX7sk3faYayo3onHLLi6WJPZhN
52PtFkC6sV1XWwgY0A/cKoE7Fl9jZRHohgce2W2xte3qdezzh1HyPocux1aKjQ/AdFS/SNsBa941
+W7ncBIau5BPXQUrSik6pBYrLu/scdDP5BWZsYme7GbMLJ/C6Dezb72A+v2yFCYT4riPczAzZEKT
ODQjXDjw6n15TbOlp77GBw3hYfGBv1vmB9YrSFlFNd3MhGRPZQy/LsuWDlhAFOw73fP2IJTrElQU
gkZNQ04QzuGUDhN3o403NRZXC1HNx0W0IhSKggzlNM6NaP0jmcerEoBoLGKJt2VuXqpoKnfZhAEh
9juJ4QUCQ9P40b4TqtzygalDmJI0z8b5uCHTv2VZD5e46srL0tHb5DmGdy4zHAARcNJNb9MrNkkA
g8epAr+DIMzNJi+Wp8bh5B/n5JVrq3wZS8c9TbY3vFcm7QqJbgLWalYd3al2liIsahAGyO3wQMRl
qCJreapadrl9mI61b/zMi8lE/6qL3lgQLXXGWF7Vetli8rW5jNgd5hZMUfO1sSofeF5AwG/0cYBw
aSdZeSgR+I/Sc+D1lRXDWGoCYp7KqrsaXgcYGe9smXSUIWhroK8rdW68vCUYZzKKhUa+cIvFxM0L
FodHfmdQJ6SMnUEzEkGI+g+7H8XZv91/1OisZkC+kMYaqP4wCnpR1a22wdVC2P5hJwx0na7uQooS
22x8jLq8PFQNhSXxPU4T6lv2FJMK6nxt5ud1ZuTK575AmdfiyRhmF4OiEWRFGWAfR/qXe0FKmEsF
cdMaAu/tSFuvavb4PiugDYUw30gET48jO/CSZGXVsDRNzaze5kY87VLYV9HWILUbhOk8GK9J7sCY
kIvH/Ne55XRLchV3RBU03FPitZoVo9WV6m9og7xJ8KxmuUpeI6fKyzsjm6W5LdUMxX4Y3WFfGCRJ
aV9I2AGaXVWx+TCTY13hsMdAY8WwS/v5qUVLgCVCMcRbDrsUM0fjWh9NYssd9SPxfZPMzb0Lg5PR
V6mtm+CFOvANiNtF6JUO0SB6VsVyTOdKPbi6rV4xT3M58xpzvdDMGcsO1lfkprMMLKXvRidfeQb9
57rDtRV3lKARTu8oqDUrj185lvRN5ljdvDF/E0OE7piVvOqh8VV88BqKPczBuQ+yIX6OCjVdIO9K
hxE4Xt7/q4T+W0ooBxvn0P9+ID7/mr7rv0cbrT/+xF8nofUPkt+UT5qB+1dI8Z8nofsP15LS4/LO
occi858nIXBsO3D5V1S90wQtV+zcnwZQ6fzDX89UtnLizzTWfxBtNDlf//UsNLGJ2RIlTqLTIsbK
NXj1t7OQAdIYIC+J09jI9m0wbG+ji/mnP8kC2r6BZcsgBjSVa0Pw6N9qrYZv7pA1T6omJSVafe5n
4vwrNY61VW+c5shyo8NQ09MLn9f43nsraIvKyOZo+5HHZOfIWD9UnjNbj7ad5rLEtVWY3mkxW1/e
ERQX9YumZAYGDy+/2iLd37GlwRInPHKJw0gDxQbHaFcCnY2gLOwpqxDcetTYts1L4VcdqwOvQhSk
m2dyqU/GldmFXiJsvU8KWypwQXEK/Z6WW1bGm0nOVIinJf1PZ6+ecXnNsW64C9dmjZ3Dhpl98KU3
Oyc2axQd0NeYetlzNBsGCwvTy4dml9RO/T2rIv8zdrO1F1iiFBKeJnU5uFtfr4BxpMZMobIVtqaZ
pJYXX1gr5RnyzCXKTK54Y8dcu6dMOaNWpc7oOafP71jGtXqfqhSGVkGpJXyiySef4Tvv88DSyLfi
5Jjq9CkuCtIMU5/dNkz0x0yOr1mNEzPDdbsx6es9MnckVHKWcfKWTila7DykJ8+fbmu7vSQYIt+g
wFYkTvSDVU74a6uBFp4hdn92UzRS4zi+LxmKCEGQbT5Zp3jKX6eBRNxM3OLsw+SPSTyEVpT3T6RX
yckiXB4QDF8NqwJA6sFU0h4bVF9WB4zJoJ3TV9bVX2wausuiKWAJ8vhuSRo6PvruvS71uRzq6gg8
W+Gfs3bUXMuNZg91UUwX+7ZZHpIYokIu81eS9Sn9U0Yd0rv0C3OKCx6BAuYxwHmKR8mAbN1HnI7R
Lue6cbAHG/UIbpBkqb2j+mbaxpjOuNkMyQ144/bW70YZemSCT/iKU4hnC5UeBiVPi278H9jYhkM5
OOkP8MRYDNHoQ9U4BpPfbGPhjX9FVlTfO0b3xGV2eqrKuTgw64DpTlV6pGLPxQsnKISuZwfUhQPa
gnH0xHsh2QNTDfZx6XCNS4zgMLjjr9rJyxPKLrtU3h0bPAEp7K0p/VFjJdoOVHeGcYzniTydJvBu
wauqYLo5CxVkjhgKKFd03fhyejYdOsfaIn+lCftEiAvYnlYw7jrjzZnZoFv5lJ2TxqFIQ9np10qL
+QC2xEzScdSOdr7BSUioDXE4vyGK1V9ct+OJJ4/R7CxyZ1817m+slhAFHYJUvoh3lFBx2ZvLyQC4
JPorK4XReyrsnNNSSFpFmqhN19CMu0cB8sMVmI+uV/TZs3bLDvOeucSUE9byXPUUUWER6/h/44OF
qTRij9gXjbUV0TA8ZGNuboeBj0UcDHShwaSbPxvFSzWMPXs+911aHYmuzCOOPz5a8OVmV0zbhu8W
oJceuy+zaWA0xSAY9nRI9skX53fAszYGDYe5aNR4J31Hv2uHTwtTpQ0PwRxKcUmqoDxgIVf48gx5
EJKpo8nHkzdnkNSTmrfEBN2jFohoDmLZSq6K8Ww1VojvszggIIC195dvk2kHr16qprsiM8Ch5W/0
wQig4TnoeOpiwCTbd5mQ+Q6+QwYEI/2MtN/uUqnS17LNsB66yklvJVMo9pB+sXas080HNjovWEhz
LFCBhcpvF/XZDHD9e9ZwM7BUutpWYDzlGFW/y9JJufSAZ1zKAMhPHyc8xrh9ZRjV1bRHBRW3bgQ6
s4s6ZNCu6+4obaxDvk61rw0xH9r1qcXO6z6Wy2Dto4ZaXRR90ovkhDDZp4x8mv49kcC6Wj1Zjb/4
NJi5VCRZ8ztEZOdoD2Xws5X60aNtZ8QNYw1gyLpv7m/nl2DeltZwsgvTx3qPEL3pwGp9RXgKwszo
jAumhWTvr16zSiwkheuJ/sHYXy1rJu8Df75LsQHeL4YYbucUiH819+TyqwmUtGZKHTzZhzjPCGgG
tAiLUfrbIKONQJntYaa4iXdwdxv0vLUWi7gbmQs+id1UnbrcdkhdQuuJzfHa+2Tucp8dWb0a9fi7
Bcdmmg7G3ASnVgwRUvMkWKsF5c95Nf0JquO2/WoEVGSXEHdXdyBIBP1MwIKQq4/DiMtisNNdc8Jg
QyDCUF9T472UqVeHS4DDUWhFpHAOlq1BhyJy3ERuqy+ns5E3nysxA/2lxx1eFCT9VhlWetW9ZDLB
CswvthJzth9Xw+OyWh8pCgw2jarQHVmVbv0Yf43h83fuc+JOssx53zXux7KaKavVVpnk3Yes8/zi
qAgTxswlN7IozAKGZN7wGdC0duLKHPP8q3eLYD+p5SNWKyjmt38zo/XlNqpNoOZDtlYbBfEPwtIj
4dKufYhyGW2T1QIKdnPgcMf45Ir4HffjFxLsL7tLi33hMDAMk/1Wtj31fLluXgufL7W0hB0UWvRX
29vUpuqM4MHaf+ytflQIddljIGt1Er+dqnnHjwEDa19GYsfLlGww6a03sLEcGJ31lKbgYoaYgT+b
fN7rblr8kKs7tlx9sj0J8n0GAp++EaPa62wpb6RJEXI3LzR1W/MPnVA0NqCCgNTmexiTPCfJ2/iv
WsjlIbcIzXKarpHixKP6jB+Y4tsfujx757HPO7Yclf/ceA5/1hLcZ/ro5BYTzU5FED/25NAenC7K
3gm1PjmuO25xi9/ZstZHq/djEnNJpkid0ZMG0i+xX1jbAYpwENuwaoT2ErkSS5oX85seRqznqws6
dQc2wnEt2UZNFTsnfs8bqcz6fjCpFhZ4cY7e5PgfY67Fe4/7OlNRd78Iy8jCtczsmKnOundKd2Ar
nFFubAuFYELMexvIAa2DpkU+EaK8Nn7gXEfqL8SWt6bBiCGV3Drklb90Sw38+qDG/E7BqFGz7rXu
QSnT4ZGp2EkfUX2Xfovr3N3NsfWk0rnfcve+gYKcfdMgDn5UcXMuxiRadllNjLSJrU+yfg57qVT+
JDBA9AYLD9dCA8/dSY2rOz/NE3xtkzNPP8Xq41e/Hf2rtz9aXf5YjYpDULkPpJ8uEZopzRkcB9PR
NJaMj7M7eJ9R7FFjLLV3H3RO+kb63qY4InV2RF6K0OGqv1W1ouyqbViy1p1VX1vLpr0ALry+m3Lp
s3yMaoIoneqx2rY+SWs26WQj1pREbLbZPlrTE+aao1B8X4cOIedAU0tUHhqi1G+8zfI3jrj+WwEh
6SnPuugoMi89CWdk4o3oPW6qATQuddMR+UR3LF5jSQT8MhgzbVFL0tKmLXkgEjFS7M7l+QxjjiaQ
cjJz6g0rCjEGXHLck9vHjjaAN5oe+09HjcPR1zUurizr7u04aV9qy6GY0NN11u0sXF156WBaYrpa
XgMQshRgOuQxiJ7wht1yTwL3uwTKAjRAxfUQ0iHf5RfkxbIM8V+hWET+4n6L8zW1M/gTJ6tPswoP
Yku2B+wTgpGd2+6da+XJ++CNWC1rr38qlmo2d8SgjFvUsfQ9og9u30Y+jNlymQpW4JXYZX4W0w1q
g9Pc6DWgJGhseASqgh5V8npty+BpLJmN2UP1P6o16mQkXrZ3Owr72t9hqN+5qK4cymczwUBoCU8e
xjVAla1RKnCuya6Om2KrjKXAk9AqZz+uESzcIW27cxZUsGxAJBoyE55XtYDPouTu2HtT/CCVFc1X
38va+n6KE8SFIJ5EQ0OaT3iPYaFkZzhDQu3/AMwwbqYrbyb3mtF+qv9k0fQzolCrcewlMEGh3ECu
KSbbgHkB0IVoHCVhlk54j070ezI6udaxS1znDVpwSQX6GCvviDFSmT+w50Y7YWRRfJMOQ9pgShBt
Fko/Hneu7Aeq0RFqePuAUb4hr6eOPe6569R03AXMxjgsjkuDTEc/CMtGdWr5TO76zkpvaFJOt5Hs
va+yre2folo3yFR0dCTAS/Ws8yBK300TN09JbzRrNxeGoF4WVnfa938hTcVHty8ZwU0sENuGco9X
bHIiTF3eziEu1XyvpV6+CwbryzhTcFdwP649JQ41X/a8yKZ7VCpV35LJLq/jaDrnhcLkrSxttXMS
Ew+cmZRWGOdkizAtMh00uWa9RfyXvjiK7u2m3JEjtV80U2TIKh/oYGVmYcxZx3BOQmmSbRf2hXdi
+Tnsai7uV8TCYN/mQn53AKMegWwr+qh4MxUrscLDRntIY2vYtbXj31gpFTubXCfjjyIg3EeK6N6a
kuBTVEQm+E5QAynTUVLOR/oIIDf0fXyTc6Wd0K3s1V3hNpQtTE7YsKOHzLesrIgsTcIxKpMwKDjG
I0gRH4jYCn6uVx6NFDaCQYX4thrpH8dnwlrIEMZMGsGy9nVkk/kIPOO+s5b5qkYIrHh3bqnwrnCz
VFbLBG4UIdTV5JeiyOs2itKUF21DQ3QN1THXvPh7BcKuAKy7tAXJFxR3Dp1xfiS8HtwNU5yHmFfc
Y+6mQKcLXENC11gMhfng+yVlLlpPMNPXnJSHTaqiWyFnsGv8u/x37XkpctoWIwphMaK+EyxE0qaC
CTdPmpTvhtLvpN1oUx38g+1MpqApafgUoCaPfiqW01zCbTK5eILyc7p+Q2vpmpfELIGN2YXjVnyH
GJqEA7+tjaymb8rnEhHDvV6aT1Ld33TGeqGQWGhD+NT0mU6WFWJ1J56fBvDAU+18z4k2bko43ltm
ZqBqK4K3gHDLmRfbU3NDKKni06K9g0lt1la2dnpTxHH+gP4gxK63yc+GgxLDne6YtzMxyF2zyj80
YalT0DQFHMyBipXMF7/GiitaBonxCB0KrJ7RSEIu6M25an92ydSdPbqCNsLPPTot+12SzHQbKbfh
ADao34YS8LjkSbyPcTJxX2MUmys6fu0lK0/0ig85VFA9v7Ft1xv0nlsL+9wro9RzajQNBU2dd0lc
vHrNtDA41skpAqbD3rk32l019B8UBt6O5mwBmZevFR2Q22ywaUp1W387Opb/lkz4ii04qDvCbMOW
RJzzTLWmg+0rl5dqTm5SOqQ75Wm4N8lT65pfMF2Z/2amoypW1VNSy3crAYlsDZX9qYme7UTcWjtl
lK8TdXhfSpWsC+LKdwkTEuvbGpOCgbm45RUiJjueOqb8q1N+9DGIHgvANAzAnIN5vDaE9/CQ+BH2
BgSIce9oe2ZRU7I/touJpBDow2vFC4uSZ8upXf56kdezP086+ql4BlyRQxpCRB6XNJ646kRrWaai
zSpz1D3MBUQCE7fuRtLhTYOoJCkaDn5h6rAXibqT5BpO/A/+VV75XzKWVzureXn4aXKmOCo/zw6H
q2mNP6Nc9SDtjTwOJ3dd0XsZhJViOi+pR624MF9bjqRtYZLd7eWqBaqKHW8A58YzXZwPTseUxwbg
IB0m4VhLXgnu1A7jMavBTQzNB2iQ88QHflukCqtDbNxGAWakpcCJThLurEwy66OVe6GXu8VZOch/
xJP0Fn4y9BhucdvIbm7aeHgMMv0pypRPfDQ7uOCqx8YmcoQw450qmxynZ3TJgbsLAiIVb/cs695Y
1+hLFxkgQqiE28aFBXhbqDhM69I8TvSa7Vqn1yfwbQLloqs3dLB/4pQJHns4hscsIrOV1PNHHmPC
kt1s7dnvwH/urB+RM5hPo+/kO3fCiLYluT3+crQ3PPHuI1/lApLzRNOf2wYxSrBdNKnevi2AeaOz
wH8NW5Hnx8Ctbu2u0Ntosex+J9ORGjAvNkv27yLJz2vhgBks9T5PZ/Vdm3X9DmbLWlsTluUna0gW
8IB9je+1W7b3nigor+PAo4rI86ajn2ctKymuSCRysmQ3pTFeAzsOrXKmuTcqeLRiUEQAmvz7erSo
IeqS/qeRul948WZF+7OhARL5weMysSJ0Um+stioV44s/Of2DlIm93LWTX6vN6JX1ARW0JGfaWWpN
uAJ5JULj4X1Lp53ChNtu8dwp8sCsT20RGXdm2jrkQTgMjmk0PM+x88KE4Dw1dDvs42bujjwHOCtb
jW0l8F9HH86GSir5FAvcFjqx7n1qs76XU2XA7o18sgUS317BJZ1WXclQcwOPWG+abkguzBDdtIdD
U29xD7v92a54/2xctpgZEPxxWkWiItmMaGHMNCVJhLXVlfFurKH/EeRoX1tlNxd2nz5pWVoWxKYn
8XOYVRZtZ94L726Naf8Oc4Z4HvgC7s5v+uWtz4Gb8hhHiEYI1Am2KeBnVq+AAvHpoUlajeQgmyol
jahUu+PACjZd28dMTEQUNqbsiBC03ToJ8ZZ5L3PX+yDp4PNo91l3VH5CEwKd1Aytvk1wMDboRGSd
Pz05vaLSoxJYRzZcw3x+E0bwWvx2IiaEk3cUPrHKQ1Obr3M+TDBqedDCpVkjp57m4j3R+LxlBC3V
brDUF8GMKmRF8AgWNcMd4oqzwj+8c1QP4SWNmscpHuRbtu6nd9jMCYK0jvmgm9rEXkJB95Xqec5T
3mX1QwER4M2w0/5sJQ26TImj7badje4thxN8B18MCqsCic3lVVuPGtTdNTAiri8t6ZML1YTyx0w/
zLnT/kAkw0IMnWTPU1pXvFY3peOTdPR1gnOT1g4eytHmxOpHVMGNRflSdofC33GeBC2dkJkpZ4c4
0ejwmy6zMOraONtNuX5YYm0DgZ4VPFhkqGdBjcU5s3lVss2cvwqKdt8jUzOoLW7n71A62rskwAG+
ibO0eetdp96PBqduXNscZnykdlx20lDEOjsoAyPmBmn00kaTdxpG0YVw8/IbZRK9Y7I3xU0N3fGl
y6oOGNiUljssv/bWbYHNWYThH1XeqDtnHv1jCa8j1MOiDqPG9GUpak9IWo3drU/G7RvqrcEhNqpn
wXx309IqT30G0z9ypodKYyRXPI7D1g9imETsMrax0uVt3wU/jcE0Q15OJPwTp9sZJEVug4FHw8pk
gtnJOtWJ6T9AJplO4+wMZ9fwFsDKcPztjltHz8S4RW9uz5q6w1tCuvkNRUM/gBlTHhLN5KP9+Xs8
l8lW2jk3Az9DVjSjEq2snV9hU0R7r4Xdq+RihQYf9EMygNYbsAOccl2j2dR5RY0cLUW7xJrMnUvI
gRV/zSwrlvY9LWgO4KqwHOd2cmlfNvE1+V6NDmwGBS0TjhyK6+QQFJoTDpvMWZ2VOUGaG4Om5NFh
fYPGiiNirpO9iV+VIsXlzskX/rmIHjX12fdjR52nHPLXQMtvVszLmvhLmAI23KGUfA8qMvJBzMJj
JFS000YhdjSx1Htp5vZxtEuyYNl18RVXBcimMMfgd8Txcg8LAKh11rwpTesKobhjZMgjg1V3GBZ7
+DAm1iCSiLAlCCSKhQl5agwcpwMHNd7G72WQ0UPXN4/Yz2lpFrXP0W6uF8GkMO4p+50J7JE0aCoh
b+zB+KQnr7+tZdVuWt7/m5Q1GEJPYH/rRsxncTndsFCfTm3RvP13bf1vra1duTYg/+9r67dfuvs/
r2kbk1j51/zOH3/yr/yO9w/2SK4LyvN33sb6HyOXT/GYw97axkNl/tlk9lfWVrDY5rPh+V7gWr7r
sXP+c30NtJfWAZfuwJUaKgM3+E+cXK7PLv7vTi4OnjW2C7ufpC0Wf4oR/mV7Hc/2WLBmS0669PoL
jbRQYyps/hdrRqqhahloD8OyedUmsfcyBqDL2nOHH2U85kmLCBlFvbdvwek/BT7/TUBFySs1qwVC
P683K+2DtQ+E5ifSil2+nfLEOelo8dp9n/XRsnUMe+Q59J0CHn/usEUM5pwzrJyODfSEys/ZELcz
G4K49OMXjJ3kGgZnLSt1s2/BOL5SnBmhX0V6flnwfLB8pMUyHQyx6+ysf4zH2jx3dZXy8OEKZc+y
Hsn0uBBenJv0hj9COIDV+HBgJf+YRirTu2TKxmNrNfXtMs4V0qgl3qCCDZcMZfg5Uoygc6uTBxlo
F+cui/4NEdJch7J0U+w4WbF3PYfmwQQK+FOcIMJKayIBq/nXzKPmJTDTF/zirDX8brj17Zn1StFt
jYagZ0xGgwBnandPucq8B9R7arZsEiL0ObS2uYcjvip2vrHsgj4KNr432KFUKBAu9ChEI36Elu7s
rV0HhPoNz9tEk8X4k6ujSRCHFZ48mH1yz81g6HZyhoiw8/DIbG1nRJgo4sW+6cg2sttB/oWpunRY
dymBHld4m56zbKPSxQyNQUIYzWY2pa2mlCLghXSz+PLYZeKdwIWDHZctTB51r1E1i3Mwti+gjmwi
PaL6WKHPZzNRHgxavIFOTleR2TnkHOP4qm2YTbvBg/znZ2VzV1Rw9Pgpl4m3geDu3se9dpH1KeRB
FRzeozaSj3Bps9CJXQx5i/rVSQu1HVS8G0ZNGj8sY6bPU1BQiuZaW8s3JzJIeKAL0yV7XRnRo2l1
32Jdo53gKDphlI3iy9iJYnicgrhuvkOM1XR/NljSSYQ8uqVyLlncWE+5axMQc6r+xtG6cbcdVRjd
ZlRle9tL8TFOdn9nMPGFchS/7Kr88MaR0AVaZ0MjjU2HRAo5kbyFqXdlO/vvfpz0z4uxWoqHqAhd
ypdA0pfsnY7C7h1EaRcDFi0f4/iRxEstdlA+Ulzn+I1xd2QtsXZ+y6HjdWWYAg0VcK4XQKUiETeq
oSkRw/6M3Krkw+iY74sO3kXbb1phBWHrMWRyKUrpYrK9pGkPyAmsYmPpvjmR/xxH6pfg0k+ExStU
2OJqPzpEO/x7rBkKQYrqkCxx5THmnXPlK8Q4z3Vyp6EkMmiMp8msyIjVrOknBBY9ylsdaJbTfjS1
8bZv1XuZGqq/tpT68C3Rc2300QPBiHrTNjmJ4wFRTg+UsveCsd+2khPl7UPzKBdJZpl2apx1mNKy
C0lcGFupBnu/mUjA3mpIkKFnIXokZWSGjVorJzzuoKZy/TfK62Zn0y0XGNsGVF6dHHLKsqhHk8be
iYisBGIe95Wdsdsme/6NzsB5V5JUufipt7fxWm5UNJuICYh4m7zNnEc4AKj6LhIFIfdy6w85FUw0
ZdDSzCxCpbQ6DPSjbQezjG/HgYTfts9W/mQhnJPT+e3thM3odcSz3hcXIGvxriw0PUkpoI9wMqxy
n6mLO0/fyKK5u7rV8jQReAgd/qtL4Yj61iysJt04tkH0o8H7J3YOySjvBPjM503VNo8Wc/ez78Bv
dQGn7hIHQZ208jIfIoPVyzYo8hzrCt5Te/KovLNN3EXt8EHJFSwo2kkmzClBu5dET1dLyF2xxPNX
nxD7TAbPo5ckBkHANr4/TJH+yTqbMJZH3mOTuDT5AaKm6xp7x7YGw3uTFv0HBwutGMAwj9XS0Bxd
IFgu3N7GEYJVmXY/ZcVpE3q2p2+ofIMyFptPsef6R8vARpAKD6Jb5WeHwiMalFA4DIMLvZUDFoxB
zQBaGUBp20qcxLzmJwM65NwRRq+L3eLidsDkOLH9vVbMYT05PJDzXoqMXFyj1Xbv6dg7jCpgBYDx
4gu2PcmlGXDuplS8eym1KXaBJZtTExAF2WQxC2gxWQ8tDZNETOVqLLHn20TF6V1KVGCbFwr5aQFZ
7WDuPM9dE+2ZEy9sQxoAu5P+dOoWi02pxjDDqnTTWRb3HApsT+0S/ICsXZ5iBw5RAKmhz8cfZQlJ
WJgzI3/PcQM66eS3Oj72Y2HtuKbfDWZ07WjUurNKeNF+PziP3MvKfQsaKp6zay+08Tgm2cPEz/Uc
TY7kaSzu2Lkt+wnqIEdjGjti4xLbhQqt253NfrnaOAPk2dae5hc7Z7U99vxcrw15d/e8ZN3c3wI7
iutQcnKSRfgdce+ENRO0tH+H35G6FxEmUaCWJ9SmwPhGARCR+dTzuFJwg4SZ9EeqHmZcAQfZ60xz
PuLWeHJYXWYkfBdGGQ2G6W7ITdzjtUN0EuNohrpktuWvGaMAAFcSwveSmp1kp7J2ebPYZr+VtZjO
Hhcl0iWVPjSzMQJ3Lr3JXTWe4SzcfOTVX1T8DIakozVQYHEveWP6oP6+z+y1KOrss/Mggt7aOOi1
V/Z16blcbUUgLkOiT+N+ZnHziUvPAN0DvEPPfrPH9WzuLfYuFU0kvF7zxuIHRDJv2tMpEuOri3Bx
ZasGoXKiJkFpIdm0XDuw3HMXGOuebQenG9e92lbWpVU9m4VOtgoXopz7gKReNggUUc62jT8nfrbV
/5e9c1tOW1nC8Kukco9LGp0vsqp2ADsY4ySOs+21bigFFCQQEjoB4unXJ4QchG1yEBfUrq3KTQC3
Rq2Znunuv/82CK1vZr57nSdyQFzQTJYZ0cs86/vurNXDtYFATxoSZX0vKar1UYYnPG2H6SbyLilY
srqhSYtSPL2MhCMwXjA98Bl0IEmYfjbdOLqbWlPY0Cw998BnWBqAheH6Mqaq/MNGdtdL4D1QsNOb
ITaS90acpw++ZVmdIdmrm/nUnBfR+3X+uFE8uK4T7UoBb0HyeJNCXWYGtNCLZt4Qwg5ALbCkr4CU
Q2/fVdYtQP85YMLiBEQScK4LswdjifRAHVzhTsN9AbMFGJBL4GYBiYxZKlECmaaPGO8N5X0JbPaW
/I3oAmlbQ5Oog+a8RXZoVgQ4rRiW6VWaTXNwfZpop9CfLNqq7s4/BlFiym195oJ60dwBvIQUH5LL
vFllhtbTXXMBjkGhtinx42zWTbTAv1IpAO9Cbq9cg/uLlh0/UPPxemhCV8yZ+yv4caM/VN1AbwPx
Nm4SqjD0znAiT6zBHIL4tsiNxxTynId8CAG0PtFUgNubSVusNakXi3xDKQDY/7+VhUrNcQIclIYb
BnYA9vGBT/dBR9Desg2TsWxjT71rb9WC1IuOtY/L5SzJ4TGfG/D9UrdudlKqT0FcwzueB6lyB0mP
Qs3TCo6o3Jh1ZyocAPSpyboaUfn+xliuqKOcrO4SAreARlfrNi49FMGAzm0qH+HIFmGoXsoeqDdS
R4u4G4llCnsLOCNlmEYQu0E+LpaSMRaBWN8sEm9za0Lt+2Wxgjq2jT2fgpiTgfUEkv84kSV/0oHW
yroOid1fe4YvXUuLYUTgWIv6UjTRPyublMpraRH2xAZmxdamyF4a6qKbQ0nD2R8+L00bZm1gB+4M
0zwPLlc67FhTvxX01hJn8QXV7vdhDJtIS4q76SKCd2dCrGs6nS9vp4Yh+hiJZYcFyGIxSAglULIO
FELXbbcVLcBY0to2JzAHin+ZR+/BarLWY3XaXxBh6UKpGnGASv2RO9O1zQcIFVcEdzL9+zINV2NQ
/VBgL3xrPVgKsVYuV7EaXv7f//81/98SYMaP+P85VDvBpAZch1WLv9l5/tuuHxr9NnSJiAD0xfjw
FXBdlunJQ6T/R51W5fhrF7j9ApdfNWgJQpvDJ8dflS4wecQXJROeDQOmrd9x/AsKrf0CLlPSJLDs
ELwJFcJSpQgL7IHWIdWVqQuMVrfZfDxJfOJO3/a08UKPRB786A0O4grxWvHnizU3MGks6EIxnlm2
t7z1LDAt4+O30g4Q+MD/TROuMuhOoI9QtUMWklxOZF/zVXkw1QBTwmE6bwlWLyBCU8wi7Z9kup6Y
I5da51QCPEx7iQ3QLS33gmtJwRTMx2FZuDPhICVZxhV9QaSr3Awyx6PZvDe/yWI1aal9SadZhZ9Y
NMW+N6dS3tfVVji8z6P0cio87TrhyPBpigcKNnI6jIK0ja2iW4QSk2cUS73FHriCnosQvT+P3NmX
yKJeOG7r7D1G2GEQ7OsgJgSo70xcx/LC+5qvfXbhYURd92YJmz0Ezh50yH2DeqmORuz01pShiviH
bsTgmVsToNGUhsWQLmqq8pHA4WLTn6bkj76swHarQVdZTmCLgrYEmNJ6CIY09pKr/y2rsWMaLFqT
drfW4HPmxPmdk2SAJ6pqkOLbT6EXpPcgNAum89/90XFBb/brSUdhFqTFCMD2B/s2hdW5txiehrQd
yjEJvs2Is7Hz7q1iUUCj0JJIAbdXXFD6+fTd2X3dsmhBJBMFpE0I9oWrvOGeil5TwvHnK7V5/De1
J7DHGNSORzsRb5TWdEBUEorCmi3ejum5Fg5k/NACBbAk6oQKg8aLWjC0C6y0hGu60wL2ihuelRZ4
iw21wFyAM0qF+IiWbMXF9rI/F6jnJSYNfAOSl62aSrWfkRYUfUsH2WwuwH+pWLBbssGWV10LJnSW
VFFrYIae5sp5zQWGRpVZIyWQR6BujcSEbJUPyauuTwWLRgmGMChor5R0Xkqglr1cpGXf5iO28VWr
oNAWmsQCDGY7q3CoBIlm0ypYI72kXT2jhSDLUlGJ2GgOCMjlmOZY1906YFLtzwEyVKppUNJYnDiL
6/y0AEFsOag/nwSqeqHQlM+gfrNUwzOjiL3AFhDyK+3vGc0CobJjNZwFKr3WcThMltNuGtRngSwg
BdZMGfJMDvnnZQMURRKNN0UKgkmkAlMs9zyJZVVbBfqFQtVvYQzLVXB2myLtWZ8lq3/7gCRd4AoW
B8HdAejQFlgX3IbeliZ7z/Y6u7mgwv/UcC0UByQBIk8XeJHFdTAXZDx3Yv9CkNM/u+cHb9jYFhgX
tC3AWwB4sL1Y8ftrobQFOvONYvfi+o218Atm88n3arueP956XZ6TvOR3vfaDyt94/v3O1+iN370t
nKraDwve9fLeP5yyv2qnhq0nsPdl5Rls77P7890DPr917V7VU1UffvCc2I5HsCJvnczdMG/tOb7b
f3z7m11vjYXa2fB+jOTd29o49+b/TwQnM7uSU+iEcBUkP43l0i8nrPPZUteAhW4ueGYHSZ0ogjwB
06+p5Lbte9/D+ADFU56wG8sO/TC2x7XO3eWxtbnkIHBGqUevyEoFxVskbcTppanwjuPbKzt2KkmF
ZJNW4NX/X2xT8HQSPTbvKvf+Tfj9DSG2bP6tDp6y4BBufpdLtO6N69O7PC431cyVE4L4qkvmVEDI
pKnkD2jc8yo52xWp0Lmu+uDPVd4b016vErOVW56Zmw6458NcHXpJXfT2INJYdDD27AMrosLvUt2q
gTLCVf3l0faaLa7pgPvPbZMuixOslz4jy0azvBri9v0V22/1wZ+r4ibMIDQ5VLOFr9dc9sD2gpr1
AFFxiu1lYMe5bwfjaoSFOgSE5id4hQM7SeyRmyVOmtbmNPR26ilU4o1cb2LXg7sgTU6wwgceewGY
6trMFsRtTrBgBl6SFP+ovKwpXdaKo3HTdVNIDykBqCRt36dMTqr64M+nN+240oPJLWTDtJpLvnW+
xfbB6UkIQGunEL206/sWeaoi6ttU0bfO6s0He75I4OGrLUzkF9xYp5B/7cSJk1eytq8S0POJhA+c
tTeqbWN0ISoCYKcY+d9hPKsk7cZdRFUai4be+uUeD5AkyCe7wXMuUcSLExxJPrpeXeMqs6W5Wo41
/H09Nf9Lx8uPsUP/zmqI21dZBsiavspPP2ms1XDcd244dt70kmd7m6HrJ3iRX37abKTh+MsbPJ+I
FaltQ/H3aN9JEqdmuXahv6Zv9lX6wYZj/pra7v5EVMroVNPh/teJaViV1iSzFZ/AEL5Yy0KO7ATz
78Fm34EIvb40CSUW8aqmGvlpIU7DF/ngJaMwoPdqNdTCrOzSkI3H/jqI6OioX4o0PSWrn8efqlT8
S39WD64Vvxj5jh3/9S8AAAD//w==</cx:binary>
              </cx:geoCache>
            </cx:geography>
          </cx:layoutPr>
          <cx:valueColors>
            <cx:minColor>
              <a:srgbClr val="D6E9C9"/>
            </cx:minColor>
            <cx:midColor>
              <a:srgbClr val="85BE5E"/>
            </cx:midColor>
            <cx:maxColor>
              <a:srgbClr val="3C5D25"/>
            </cx:maxColor>
          </cx:valueColors>
          <cx:valueColorPositions count="3"/>
        </cx:series>
      </cx:plotAreaRegion>
    </cx:plotArea>
    <cx:legend pos="t" align="ctr" overlay="0"/>
  </cx:chart>
  <cx:spPr>
    <a:noFill/>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_xlchart.v1.13</cx:f>
      </cx:strDim>
      <cx:numDim type="size">
        <cx:f>_xlchart.v1.15</cx:f>
      </cx:numDim>
    </cx:data>
  </cx:chartData>
  <cx:chart>
    <cx:plotArea>
      <cx:plotAreaRegion>
        <cx:series layoutId="treemap" uniqueId="{0D278334-AF81-40CF-9372-57091D9E16E2}">
          <cx:tx>
            <cx:txData>
              <cx:f>_xlchart.v1.14</cx:f>
              <cx:v>Sum of Revenue</cx:v>
            </cx:txData>
          </cx:tx>
          <cx:spPr>
            <a:solidFill>
              <a:srgbClr val="B6DBA5"/>
            </a:solidFill>
          </cx:spPr>
          <cx:dataPt idx="0">
            <cx:spPr>
              <a:solidFill>
                <a:srgbClr val="70AD47">
                  <a:lumMod val="50000"/>
                </a:srgbClr>
              </a:solidFill>
            </cx:spPr>
          </cx:dataPt>
          <cx:dataPt idx="1">
            <cx:spPr>
              <a:solidFill>
                <a:srgbClr val="70AD47">
                  <a:lumMod val="75000"/>
                </a:srgbClr>
              </a:solidFill>
            </cx:spPr>
          </cx:dataPt>
          <cx:dataPt idx="2">
            <cx:spPr>
              <a:solidFill>
                <a:srgbClr val="85BE5E"/>
              </a:solidFill>
            </cx:spPr>
          </cx:dataPt>
          <cx:dataPt idx="3">
            <cx:spPr>
              <a:solidFill>
                <a:srgbClr val="70AD47">
                  <a:lumMod val="60000"/>
                  <a:lumOff val="40000"/>
                </a:srgbClr>
              </a:solidFill>
            </cx:spPr>
          </cx:dataPt>
          <cx:dataPt idx="4">
            <cx:spPr>
              <a:solidFill>
                <a:srgbClr val="70AD47">
                  <a:lumMod val="40000"/>
                  <a:lumOff val="60000"/>
                </a:srgbClr>
              </a:solidFill>
            </cx:spPr>
          </cx:dataPt>
          <cx:dataPt idx="5">
            <cx:spPr>
              <a:solidFill>
                <a:srgbClr val="70AD47">
                  <a:lumMod val="20000"/>
                  <a:lumOff val="80000"/>
                </a:srgbClr>
              </a:solidFill>
            </cx:spPr>
          </cx:dataPt>
          <cx:dataLabels>
            <cx:visibility seriesName="0" categoryName="1" value="1"/>
            <cx:separator>, </cx:separator>
          </cx:dataLabels>
          <cx:dataId val="0"/>
          <cx:layoutPr>
            <cx:parentLabelLayout val="banner"/>
          </cx:layoutPr>
        </cx:series>
      </cx:plotAreaRegion>
    </cx:plotArea>
  </cx:chart>
  <cx:spPr>
    <a:noFill/>
    <a:ln>
      <a:no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_xlchart.v1.16</cx:f>
      </cx:strDim>
      <cx:numDim type="size">
        <cx:f>_xlchart.v1.18</cx:f>
      </cx:numDim>
    </cx:data>
  </cx:chartData>
  <cx:chart>
    <cx:plotArea>
      <cx:plotAreaRegion>
        <cx:series layoutId="treemap" uniqueId="{0D278334-AF81-40CF-9372-57091D9E16E2}">
          <cx:tx>
            <cx:txData>
              <cx:f>_xlchart.v1.17</cx:f>
              <cx:v>Sum of Revenue</cx:v>
            </cx:txData>
          </cx:tx>
          <cx:spPr>
            <a:solidFill>
              <a:srgbClr val="B6DBA5"/>
            </a:solidFill>
          </cx:spPr>
          <cx:dataPt idx="0">
            <cx:spPr>
              <a:solidFill>
                <a:srgbClr val="70AD47">
                  <a:lumMod val="50000"/>
                </a:srgbClr>
              </a:solidFill>
            </cx:spPr>
          </cx:dataPt>
          <cx:dataPt idx="1">
            <cx:spPr>
              <a:solidFill>
                <a:srgbClr val="70AD47">
                  <a:lumMod val="75000"/>
                </a:srgbClr>
              </a:solidFill>
            </cx:spPr>
          </cx:dataPt>
          <cx:dataPt idx="2">
            <cx:spPr>
              <a:solidFill>
                <a:srgbClr val="85BE5E"/>
              </a:solidFill>
            </cx:spPr>
          </cx:dataPt>
          <cx:dataPt idx="3">
            <cx:spPr>
              <a:solidFill>
                <a:srgbClr val="70AD47">
                  <a:lumMod val="60000"/>
                  <a:lumOff val="40000"/>
                </a:srgbClr>
              </a:solidFill>
            </cx:spPr>
          </cx:dataPt>
          <cx:dataPt idx="4">
            <cx:spPr>
              <a:solidFill>
                <a:srgbClr val="70AD47">
                  <a:lumMod val="40000"/>
                  <a:lumOff val="60000"/>
                </a:srgbClr>
              </a:solidFill>
            </cx:spPr>
          </cx:dataPt>
          <cx:dataPt idx="5">
            <cx:spPr>
              <a:solidFill>
                <a:srgbClr val="70AD47">
                  <a:lumMod val="20000"/>
                  <a:lumOff val="80000"/>
                </a:srgbClr>
              </a:solidFill>
            </cx:spPr>
          </cx:dataPt>
          <cx:dataLabels>
            <cx:visibility seriesName="0" categoryName="1" value="1"/>
            <cx:separator>, </cx:separator>
          </cx:dataLabels>
          <cx:dataId val="0"/>
          <cx:layoutPr>
            <cx:parentLabelLayout val="banner"/>
          </cx:layoutPr>
        </cx:series>
      </cx:plotAreaRegion>
    </cx:plotArea>
  </cx:chart>
  <cx:spPr>
    <a:noFill/>
    <a:ln>
      <a:noFill/>
    </a:ln>
  </cx:spPr>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f>_xlchart.v5.20</cx:f>
        <cx:nf>_xlchart.v5.19</cx:nf>
      </cx:strDim>
      <cx:numDim type="colorVal">
        <cx:f>_xlchart.v5.22</cx:f>
      </cx:numDim>
    </cx:data>
  </cx:chartData>
  <cx:chart>
    <cx:title pos="t" align="ctr" overlay="0">
      <cx:tx>
        <cx:txData>
          <cx:v/>
        </cx:txData>
      </cx:tx>
      <cx:txPr>
        <a:bodyPr spcFirstLastPara="1" vertOverflow="ellipsis" horzOverflow="overflow" wrap="square" lIns="0" tIns="0" rIns="0" bIns="0" anchor="ctr" anchorCtr="1"/>
        <a:lstStyle/>
        <a:p>
          <a:pPr algn="ctr" rtl="0">
            <a:defRPr/>
          </a:pPr>
          <a:endParaRPr lang="en-US" sz="1400" b="1" i="0" u="none" strike="noStrike" baseline="0">
            <a:solidFill>
              <a:schemeClr val="accent6">
                <a:lumMod val="50000"/>
              </a:schemeClr>
            </a:solidFill>
            <a:latin typeface="Calibri" panose="020F0502020204030204"/>
          </a:endParaRPr>
        </a:p>
      </cx:txPr>
    </cx:title>
    <cx:plotArea>
      <cx:plotAreaRegion>
        <cx:series layoutId="regionMap" uniqueId="{C5A5A6F1-6CB8-4E57-8C34-1D2BE88AF11F}">
          <cx:tx>
            <cx:txData>
              <cx:f>_xlchart.v5.21</cx:f>
              <cx:v>Sum of Revenue</cx:v>
            </cx:txData>
          </cx:tx>
          <cx:dataId val="0"/>
          <cx:layoutPr>
            <cx:regionLabelLayout val="showAll"/>
            <cx:geography projectionType="mercator" cultureLanguage="en-US" cultureRegion="NG" attribution="Powered by Bing">
              <cx:geoCache provider="{E9337A44-BEBE-4D9F-B70C-5C5E7DAFC167}">
                <cx:binary>1Htpb9y4svZfCfL5ykNKXA/OHOCV1N1u71viJF8EJ7YlaqNEipKoX/9Wj5NM0vE4N4ODC0yAyaRb
LZGs9amnSv/+NP/rU/1wZ17NTd3af32af39dDEP3r99+s5+Kh+bOHjTqk9FWPw4Hn3Tzm358VJ8e
frs3d5Nq899ChMlvn4o7MzzMr//zb3ha/qBP9Ke7Qen20j0Yf/VgXT3YF649e+nV3X2j2lTZwahP
A/79dfL/Xr96aAc1+BvfPfz++rvrr1/9tv+UH1Z8VcOmBncP90b8IKSEMYkl+uMPfv2q1m3++XKA
sTxgmIccEyz/+PNl7bO7Bu5P7mr1qE2r7r58/9ye/tjR3f29ebAWjvPH/7+/97szPB3xk3btsJNa
DgL8/fWbVg0P96+uh7vhwb5+paxOnn6Q6N1B3lz/cfLfvpf7f/699wXIYu+bb1SzL7ifXfpBM9uT
l6Twa5oh6ACHBIuIkSfBy+81I+QBJoJFVNCv15+s4kkz27pWrVYgqr+2lef18uede1rZHe8fqJXk
/CUZ/JpWInEgpaAUkfB5f0H0gBIOWou+LPrZUXStzd29/vLtL7jJ1zv31LE71z9QHWdvX5LBL6pD
HkSUEUIj9OQE4nsnwZgdMEojwYX4Et6+dZKzh/Hu/m+Eri/37Wlkd7R/oEbW/8WwFYoDKinF7HO6
kPthKzwggkckFNGTA+35yRrcRP0dlXy9cU8nu8P9A3WyTf97XkLIQSQk4pBO/sJLCHiJjLhA9Muq
n5PI/V3xN0LW9um2PU3sjvQP1MTZ+y8yeS5m/1q8IuGBjGRIouhz+gDr/xZucXrA4Apl+HPSZ1/W
ftLH2cP06r021Zdvn9vR80n9zzv3tLI73j9QKzdnL8ng17QS0QNBQinR5ySBwu+1IthBRKJwh4O/
Jv1vs8jNQ9sCsn14eGlLz6vlm1v39LI74D9QL+dXLwnh1/RCIvAWwQDksq8Q91tvwSE6oFRgBIjr
y6pPfnJuHnLdfvnuf+8lX+7b08XuUP9AXby5eUkCv6aLCJBWGHHOQvrkA3s+gjE+YFyEYcj2Ytab
4a54aR/PO8bTXXt62B3oH6iH2/9iwU74AcE4olzwJ58Ay//RJxgRiODnEO/tnS2Arhj+jnd8e++e
ZnZH/CdqZvuSZf6ahwDKYpGUNGKfa5F95CsPeBQCNpbPI99bZT/p1qq/Eba+uXVfL3DAf4BeXt7i
twTGd7/8VbJLHlAErkMi/rX2+NZ3pDxAO8Ilkp/RF/liHU9ZZY+C+utt/UVI+57B+u4k/0f81l9z
X19JwvRuuFv9wS5+Q3+9fPWP4wLbuXfrC8TT50vb+99fY4wiyCVfWcvdQz5ffpL618LuSd7f3PNw
Z4ffXwcCHcAjEMVIMBJCZMSvX00PT5c4+GQItY3EIUZQ4UB902ozFMB84gOEMGg6gg2gEErS16+s
drtLITmgIWAOgIMMEh6T9Cuhe6FrD8jiqzw+f37VuuZCq3awv78GCqJ7+tVuq5RI4OhIRDDQEPBP
hOGw3ae7KwjC8GP8P/k0o0V02h2GocuHpK5k0yQkLOQJcZG0MaemPamYAw5YFqNIv5HVM6vDAb9d
naKQiFBgkI/glIXhbnffrN73+SLHZR42kwvHFfcNW2EV1qnnqjn8G0sBOYYQJ5B/2N5SJipHjBs6
bAg2alOHeIojW3SrSOD+b5wKRCkjxjEoPQLI8e2pFjxXnSdk2NTzrDZztPSpGYYqGWbuICJ+NbZn
BAhR+wcBRnAmApEjBLZ171TzOLiqpiBAqTIZjz68bI1jj/PI0rzNyoTrKIj7LKuSDhGdvLw42OAz
i0eE76wYS7p3zmEusizqhmETaMJiXM7FqsWkB8rjpSP+aCMUuhchcGSEhcCV7a1icxHZsc/cxkjC
DNhma4eYzj0fV2XXtM1PDgUIZe9QNMTgW2GEQzATsjv0NyZJ+zGMCjy4Te7ZEBeVeYC8+Shy3cS4
bo5ZVnbxywf8UYwUgKmEToeAPgZi6PsVs6IqJxFptykRpUmbyRqUJfXq5VV2YvrG0cHVYJVdHSk4
kkBJ7sT8zbmIy3Bb9ZXbRGr0cRQEJ3lgzz0Ow2RGDf3JmZ6T4rer7SmNEZT3Oa3dRowTjjOt4nxs
hrgrqy7WUg6xqaqPLx8whED6wwmBSmVAqDIJBrkXynxRMTFN4Ha4YOScaFK/zZHLtkwv4tDpvEpd
f8VHL5K+JvaeDUgcdTQ6dLnRm9HJceXmcIrNxLtP8xwFWw/NjzjMhv56MT6ueZEnuOqXnwQm/Iz+
I0Q4wowKHv5gccLmLNQDuJGaHKliEkwVj+eZjqsgiFCsLO6TTugpjUB6q7CeyQe08PnCYdGd8WGJ
krzL5Tlgh/wnvkCf3RrE552HU/hvzxlKWbNqofWwmYdiFWYFTZUp5qQXbFjZPrdvZhWVCZqYrFNd
L+3R3JbmxGbNWKXNPIzxiNq4IraMe9+iOMJdlmatQHEb5v44d6E5C9kSbJdq0mk/DkM6cdol/WDk
Wzep4O0wiiyRkeoTQwK+BuZKxWNkxMrp+WiojI2noHbJkFEZzzU9Lkj1xk3CnlXER7GPlmptIqfS
KRjOteTLYa/4EntSR/Gc1dkJKjy6DUw/bsq2CpKM+sfKR1eDGKpY8rw6HFgxnMOT2/XL1vqjg+z6
NFEIXg85mPM9Y51tTh2ddkq3xVlQuSJRAm2xmm/cknUr5xr8yy4JKwIXwSiifBdvvg8A0syjkEs1
bEyWbbElqxrnn2RLTkzUkqSS7N3LJ/wxbgvKIdpg6N5KgD57Yc3mcmxBN8Om9HUXhyOZtrmeopUI
jU9fXupHMxVUhMBNAhODIuhJfn+03NGxnEYNWVCM9FgHPd7qyfGfCPDZVQgDFkFEEQD1PQE2KAua
YQIBBswgE/dcBoeuz8XFy4fBP8YxOI3AWABaBFKP7q1TqWDBrJN2M89Ypxrbcs3mJk+ZbXVMMssB
UoDhIx7lR0bcmjDfaFKpn4UlIHv3win0biOGgcKiEcZkT399r8miRm43ZK75auplvc6mcliTaVAi
ichCtrid5cog/VDriV9VQzltcorG02ZZoiNa6ewnGgif3RPn0C8QkQTMupdWchIEQVZEdtPmrt0i
Q1cSuSle2qE/y2znkoK77n1NwZXrPvDnrlM+YQqFqRStTnlbP9R4Hs8qMafLMn1wZRAmvRq6a986
FXeDooc0L6aj1tdnARp+Bi6eP4AEiiQCSA/+v9P9N1k4w0Y2Xkwg1MJf5YZ3azeR/E0BUSzpel6m
mcUoaTgbIGOZ5sgXy51Q/MYaJreuy7JkFmZcFUjLS71wfSPI8rDQrD2KRCHXU5f7dKrKAHLFUK+N
6rufpAS8U/v3OGLX0v/zBHvWOQ01bFh7u/FBmR9li2yPBjq3aRmgdFAGgrxjPi5LtI20HxPbkeYn
VhA9awUSWqYUnBHzfXcXHmKJp85uyqAYutjVgn4EWHXBiW3jWqJ7XY/zLQ9x8cmaZHBjnpQ6LNIq
Ktp4zO06RFanhhEeTwpPTcxD1yUFLLiZaVkmpMzxg28xhlDJr3lUrSgqdcoCeduJ0hzikaKTgOL6
cNH6jo/omnlYKCfYJd0kLf2JzH+EboJBNUgIIASGoFr63mhoKHiVlRAQ+rK+bbMNH8s6DRZUxHqh
0U9w4jNhmwFWhMqTcHgw2qsobF2x1kDQ2XR5+yiVyCBrj2VM5kX+ZKXdk/YsCVYSMpSEMI72gX2f
5a7jGQVLMvlNhaP8tqyXrI4bD9UE9VVdx4gF4ihjuPiJCT2TfRkMSTAeQa8XCPq9Qw656sOsRHbj
uH+fDeJi5v0VItljzYePUPKynySoP7DnD2eloRQ4hIKb7cd0OQZ2VgpMFsrw9spFgHt8FqW+LcYk
GpcHlDU3WtVzmvsOwA0RKhltblIEaOXl9PKsMcFUAmSWiBO0n5aVG0ZajOC/k9BDijrOYlJkRRwo
nSe0KB9fXu6ZpMkQIEchMdTeUOR/b7tMllXeuBmU7M28yTucJYsTxU9qxGflC7wzAUvajVyIPQRQ
WpxrTDq7gRrZJGKci3RsS5mwTATbyUbgnSNxaeD7ejVleZMAG1Cv5jE4Xhb2sxj5Y1EuoBsHaBmB
Dwm676+Td3QpbAWbGQe0KnKer61ZTv3o8yRvcJB0tmk3BR/CWFcO/cSt8HMeDGgIhA24XZB9Wxvy
MQujFpmNx6T42HET0Hgy+XBuFaZNPDHNWKIdPCAOvAwAULO+pikquyqMm54XVTIFfjodiyjP4nAY
HE5oTu39y5bxzDaFZIxBjOGAc/CeZRSBUJ62rN+wOTNrR5ZxRWwvV4Dl1U9E8sxSEuInhykDoOGg
Z/e9EaoS2643vN8MS9Y8ksjzy6UtGhMHDP2NYwEGpQTtJntgwb1jdW23DJ0g/YaGylxKmEVZa8+z
49IMdy8L8JkgBisBLQIQkQOptWfz4ZLlpXawkopQnmZD2103eR+uILstMZobEhNd+J+Ej2dFCfU1
YTBEQ6jcO16eo3aQBe03PsRj0tB5ilXZhKlBof3JUtCc+DFDANKAhgWXMLQGEet7vYmKaJcvGEyE
GNSvmfeDSVRBpiWlTdbWCTM2TBlg8jrpo3EK1lA5unm1zDxqLhtBwblUBBzjNrO+fht2Y12kpq2E
S7u6Zioesr640xMNTqtIULvOizovY9tiVcQtHClKONNCpHKkE15PEYr8MQ0KuVHe8GWliSnKOK8K
fMNcuOC0JjMN1yVuZraKZFeE7+SEVfPASiBL8riDCqY4ngsTZalRlSne2Fpjv61bYNc2hcINWQWo
w0fNMs/BxrpqtGe0aZ04JYPz2SWzuG7X8DmY1s1kbDXHjsiqTdtqJPmp4C3lqaORLteO9vX1GEiW
HZk20IfYVG0W+9yEJpaFettYFpF4dkSXW55PeZcIp3W19pXy+arpfGtOyhHKSZUw2U31xtpJVuk8
Uj+nevQZOm4CmyHgHZouTLuG7sCVEiK84zYDvoRnw5wsgmhz3VEV8I0ebOkvpoyP160iZlj5oJf8
CulG5Cvnx9xtAcTO617MUq1Jm7MuJl2+LIm1pdy0BlLUqs529B8KQlnFvaXiTVn0dTLXjY4SS4oR
x2XX0cNGuEvgeddupN1t1oX1uxqY+quhZVOcNeV8GPiyXkW9PHe1X7e9Xc8Fb68yDiQqKfJVtbRq
E5JqSitZNevcjUfR6Kck7OxdWTESUxdmqSvnaN1E0T2Jgmk1tt7CHgzfMDuhlSSKbYhcdAyIeYnL
VubHlnTzRz70U0qcL+OWj3dLz+jhGM1LPM4+pqp+ixBbsYD1F1Q2ZoVRqy6qaFoShxQ+Fk1dnEYT
6AOqBRVblb2dl4huaIAvlSq6uPBzts0kqZK5rByACsuTGrJEai1fLqt63vYDGWK1eAp/VecVsEvz
RMxRNc9huqCqX82DqeOyyMak4lVzPEVFqkCzF5kgV01QzCs8iWK9LGZJfDC4NAt9uFkAul5led19
aIVFJ23BReqHnqUzGswjC/o2CYaxSwUQ1huuNd2aWi4xb7N5GyEVbq3nYgUkxVGI57WiHV5X1L9r
kOvftSo75JRcK+ff0TlrVxOSQNS57F3DgtyABzZiOzrersegz9KFBjeVFNmRzSKVslyLFSpJAHro
l5iUckkLqBuulAnGiz434sq6GfJiZE8Gn/G4nhcV+wCGavqpOxTRoA6VbZrDthHjI7GDi72aFmC4
qlENi0+c7tslgtI8RCbPVlrJ4abSoljiEIzntglRNKe8hzoCkikEiTJ30/sOZH/WT2Blpc/aWFR4
i1zuV4Ee9JrhRRzDP/RqBodYZTSk3p4IP+WTfe8Lw20f+zAjU5UuNjTvAxytUZmLPA5C2POGB6H+
NPOl6g6jqg5d2gjDx9hrzMVJELChjCsuTB7XfqTBEdCzyAJJ26tDY0BS8VC1dbqIZrwpgNW/COsy
vMmatlLbqWRmRaXqz/AUirVW47TEcw9kXKEs+shQBngS+N1uxRdUH3eQZD8NVuRstetcJeVEVXQy
z5Zdk7HKHiWQ+y4BFNBA8Z2NKF28mN9An6l5NJ1hbewbiz+0MzcplGj0XLZh917JdkptYf1mAMRy
Izwp348WnuODel7pIeyPFg31tJpbsoVpN3sLLBy0QUpbLOthdGAJRST7d0Uu+k99R6p1NQf9O96H
6rA02VBvo3mo1soje0t176E+1NOUsow2Q+oWC85RhwFNKkSqNGeMJiUArq3raZVyoJBXUJVKs66g
bmoOm07D7weVj2/7bMqXlaAKi1jmU6YSjUgvkwZag9uuLeqdDQbTUS7L4ho1RR1rbly4tiDO4G0r
CRyRd5UsjvNwga2yanw7hrObTvMsy8+V6EWqUbec6kGIE1IQeGrUqQ1Bil2PQ0iXGJBIf8S6ojgv
J9t9AOouXAFxRs9zA666anWzrBc3V+tJz6TZcM7z87ruRp50tKDn4EQ9OBVoF0j4/qhqJDnnRdF9
NGNuLsli8I1VIG9VVn6z+NZvRAFCDQzxxwGY5mVHTfeR7irMpGVLN6ZVX6oNSFYd0rmBxwZuvsCG
9EcdLuXJMtru4+A7824sQK4L5/0njXPTx4srQKx922RHObARGycHey8nS8/J0gdTPGqZn8+Kqg7w
btP4+6WMiJghA08RqeNowpk/wZCWu3SSZZ4Ehej7OG+LsoUI5TIb9xrhmw57eq6ozt50rMjPGHX6
A8tZlQ6uWIo4DJYMx6MAEEldFK7yQfRH3qAszQM3HpsGDk8kn9+IoIS4mGfqMOrg7g4F+bmTPVvi
QlBA4C0S0LGI+nprqqzJ4kECiZOqasqOimaAH2SjFHGeT/WQlkunXbyAnwON1dpb74G0Fny09zwn
NMkyX2+xGXZW7orOQc8lpNeqKca3RA+OJ5OGTdYUVVdiMN1dVBbsOpBLX8ddOxXnnjUtji1pzbu6
X+YLwax7i7q5ulI7dYcmEye0xNlVT0ZYqAr8WnKOwhhARnFOLEhNlIW/QHngH9Gi1SaYCW1jIO2z
q7ApybZHRXvCogmeqJfqCiD7/EYi6Mgs00iCo8UAJb4KmsI/8g5oviRzRaZj4FusiVsWTG3CAs1b
iORLEyQqYNkVKaDkijtne79txpEVcHawpCXoDYReRsDSIGYV53VVapw0eNEXQVQCiTv6GnSNrCjG
LYu0aBNph0ctAqiZRtSUSd9M/WOgS/yW5N2UjpPFD2wsnUvA9fpLiBbLow7LziQsbH2VmJK6h1C4
hYLOONh+14FYGGRyu0FThU0MbzvhmyWsgys5IIhmnI0Pcyf6yyFrgfjvw+5sGH33fi6z/hIPIj/P
WK82g3QCXsMS0RbimDQrL8C/2yAfbnulWnRpAmEhxuuqoVvtNQhPRPwUauJs3bnMQBBjIQfedIgc
NIQj8WGxYjjLmi7fjHU9HhLWgGogbZ5EhlQupjxXF4zYbt21xL4x3ZjFZikeh1zDV7brujQbu+gj
lTldk65eko54nYbR3CZ0jNgGg7xi6GiStIJ3x7p4iBp/hRszXwAImeKWlNnbsM5JUgf6epDkdOQQ
EmeEFNQyxqSTk+VZD/wPcsV4VDadgWUrdo6mBp8VvIG4ES3QXkcqOJ1Z0J23nmbXLAv1Vs7K5RB0
myXGLTQbe0zRlqrhaPS+ThX45inKJ3PS5rw9yovWxwD1AQJKaP8BhXonadFvK97OV5Ueo/uxJke9
QhhCmoC/ItuvWoa7ZB7I8TyX5BbwNoo9mvVHOe36THpYF8Asb/tMc+iWFQBIx1L7WzFP+RVqi2nN
5+6Q6bpP5RSoPFa9PhTTcgf8X/O+avjCIeeAkMKA5BDoocJJuPekSMqqstsqQFE8ZgE6rxrSra1z
0PjCrksBoU4XRFRoE5WlvXZ9wCDUyfzKWVjE0YxfOCTbGIhpH0NRSu6kkuwts0N9qBR/O5eo2QBd
WgAOBCgXN8rrWKupOFUCiBuNw20WLfhjgbJpPYoAbYYQL6lQLkqnEZzRdsUQTxVQhbn37BjABbkt
Cd20dNZrcCcIwLqE6jRnvdzIWsrHsXLh7dwRfCYbucDUQkNuumIukxkw7JpC7DpuMlu/xZTzSz+C
luho537NARfGZjD5Kp/n7mGBVlOYdPmgzvoSzEC1da7iYG47CGudL2LSlDaZu9Ik0ECI5TKEieMM
AD3Jy7vSz9VRPrWHQ9XXZUxJcKJ9OV8uKLwdVNCswRXXKlpKAGqUAiDj7qwhNHtTVxpgBhnXFYTA
Mu7EoK4EMktaNZE4tl5B9ELFqqB1FVeRoedNR7VOikliaFrUy9Z7PZ4yGkDaaURQgcOx9qjL5/K8
LqNCx3251OB3poWytA5KcCPooY2nMhvKd01I2IZiIOCBWtOQsZYOKA2ngvlCZlF/4oHMhqqOj6qK
nSmrIzkpdAUDaEem5PNhNg7JKGx1WoOWj207cYj6uobm6DTE7WSHE+B9fcxseYjnQL6T0DOFOufO
6NYlTUGXpO/YmJS8LUQ8jgN+N3titjrkH/HCHjKj+w+AWOsPtW00BC0bvOE1DdbR6PLVwF1z6Rkg
ltobDE1vOSxJPmdFB3BoPhzDZlRHQaQnko4cWX7IK4whxxCmz4Mpr/K49VyfA32jURyKMtfQBqgh
CGlMyw9NU7aXYS+aS6aAR46VhwBaFtNwX9sQfWxtWdz3GVq6JAzggT1MARxRU+prD28GTe8MIB7Q
m4IipylYDVkiYNG27gRkFDl37yFbAne21Dh0QPrDJZ2p8AbwMVSmVVOQo7ya7X1T6eHeOgskgvWu
eaxIC6yCXYbsA7Il/lgVBjK9Jn6+sP2cfQgrA0U4yVQgk27J7H1Au6CJw2WUfLVUtL2u+xkCgy3m
Sa95Pox6TeQEjIabCzCPInQAcHRb6+uCuYoCxtTZB4op3CO7uTYpL2VFU9IiMKM28kOVjhZ2uSop
jEulLUxpcShiZli0VKS1x2qhA9SNqB1xkUzdpPI1gFd48hKIWW/JBPRjWhDpg03gdxBggA5pFkMx
JU/KApE2ZaYB0FpnDLQULJDqknp22YfRjEUR507JOc5y2jyGzsGqro88TicSyQ9PwqRjkLs4gvak
ShaLYDKN42XWMdQTehNJmidRz2yVABcEoo8waa8pzI+1m1qVQPfAZIGCArOaq8MOAwt0HvZ0xuuB
LvTYm0Ff0wkmKkCF0G9NpqyH81WcAh9iOlSVxxamGMZN42Hw41SOw/g4MuBGYxfSrjhlAS5uKj+G
m9a17W2DJb+suOyzpOsEupmKzvrDGWj47Jw4OPRhOCLYI6By2LVqM1Ae83MbQP9P0zoBnYDvAvdf
+BR4GZDiGAzw+6UN7b2C6kXFsFl54u1oH1Rpy3ojnemhgSEbVW5QpcI5qRH4TzyBOpfDFvi/o0nZ
AMVgh4DoaEG6couYARLFQG+lhOCiqAFXJ1BwQxKG/JU0DmVV3AoHY1XhMi/1eTFGKOl3ELLmbTjE
NcwGvsElCld9rdER9KTN4dS46LLJxXwCs0zq7bIU05spJONTG+zz1OfFU7vkaXbxk+68UXnx+X30
rx//c6OhD9L88Zb0n1/uXmf/89Ppl/fgX/zV5kHvBjjt/o92u/n6LNjM593t5j6/+/DDEOpfjJk+
vVb/Fxf/dzOo0OIU0GL4OjP3wwzqqW6HuxbY4z9nUD/f83kGFSNyAAiGQa8NZouBSwSi9fMM6u4d
VETg9XoYDMcwGhkCx/p5BpXAwDFCcClkkNVg8AFo888zqLt39hiwv9DkAATHwIx/ZQaV/NH2/qY9
Bo1cxDDMGsBYBcyD/tC+6RZdhVC4FOe86yQGY2yCMp6KkCa0Z5U/5LqK2rWr8gI4LxV1pzng56QG
C7q3mQCKjedNCLkOFf28LZa+aWNtOfu0mFCumlYJ4MKB0jzRfWXqW7XAkKK2C7ovo3yWMXbV7ACq
Yu7TJhjHaANFhX7Dh4EDLdXLcTyaI2WmU9OxdlUM1QzERFj7uPKsOu1gjDfBLoOhRB+cIOc7FZtO
wKxY2S5h2nvzYYRBp1UYFvWWjDPyiS8FVBEUOQojSjlZA1dVhKtsammREFao03rU09bVjkPt7Mx2
1A1MHRrVzpdjH2zC0oWpDuXt1M7RpghqmFNocr3blV/K25naLolc1KXOzyeFxMoclgs2GGJrhTPg
MHRdzjDaC4BkAIAMxHSoa2OTJciqBcegeZAyWhy+UKGiR1Bn2QvbAfVzPGFOP4FE/HFlZZmZG2ie
LdvBEBuQY27yuVqV5v+zd2bLcePY1n4idnAEycufzExlarIt2S7bNwyPnEmAA0Dy6f+Pkvucsqrb
FXV/OqIrw1IqCYLAxt5rr7XSSaRvxCKvhkgWzdGFVHfXV35T+s05bFYA/+4kdnTJSY0PEuedq3Ip
erWkYy1B8W5AILoh3lJn5Mxfjqao56rQnGfD4uqL09ZOrG8a6vYShubiQJWuL3lkhaE8SDrbH7Xn
Og/jyMHaqNhavsVdKKsfMV2gH8DWIAD3cEiD1nkM28w5iakMyZ5oRYcfwLlnP1FtrG9JMupr0c2S
iaIoL9K1matL6ceddxya+o3j9MPxKWoT9Mwr+gs6scuyYlkudX9YZQ2q4DrOdVRxxNI3AVkpy/qq
phx0Srk8TGL2KXXIWw9lPBQdjJUpv46iKfRT32O2U7eKsrPd2Xo6Nt4aXNrFHk5bvI2fe1c2X91J
gfvF9SiCZFDAEVOURU2ST9XgJd0YO9ejNxlytryhfKIJdva7+VNR+SR+W+8Hry1mMCADkfmnfPDt
m7zy21O7BNaV9ji8Qy531whPXjlQmt90/eRcFaaOqlecaiGdwsjMSe3a9Y3r5IrKyR31IQLcuWhj
B/fllFVuskyNfyuiarvuss1OtspeD7DdPjPG6hTZrXOaG4CVgl7HYfbFLb3C8UOx1NmnYoDQAiCl
ryTYzRHuanc9O6F8RwFxH3Rh8GZf2a8yZ7QPoe11R6Gcu60K16Qo5ZRGngxOUSlpd/ietH/QZ7Ff
9UGdf8jBXm8G5ZvbXtfNeWzoM6ylyK+qStdXWTlmSabk+M01tHClGOJHeEdBIrzIvY3q8P3m2q86
r1JpaGXitt50cCtLZZ0pucwfgepNkVT1Ym7hRrofW9olNGnWrc8T09jeg3D9+eh0o/fDCqOiTSdm
41Rv1XSZp+Yr/dw4HcpsjA7WvKo4qbXwH6VnliJ1Q91/9aM1fxtUfm5T6g/Bl6kFYeniceQzpHVp
Isogz5OQvmfgGWOLHmBftWlUVdUx09Vy8ro8Oi+ByCh1Ox0ls1gqcqLcYaHPU3njxMX8diqGOm2Y
n7cUWzQWqv4hctfb2BRWGtRZfLbCQkZJ5KnwOqIxEyex30TfFtEVr+MmKs8667tvYWnHh8Ze3TqR
7d7WWHt/L5SdSyaqh6kdosvq6QVizho8OlYv4Vib1T3Hs5elZtreRXblHKhjcurhUJX3VaOJ7LPt
feqb3CRtMVuHxTh+RZdBBB+DyMQHSKbbQ08LKfXDwfxRF5CCAq/q79xG1mOiw+UrdaE+atebfuS1
sdI6UPTymgLGne96H9xua19tThm/0ku0vV67oD85TT69dodB3mSWsR9DZ9jqdFRDrU59P+bHsVf2
50jOw8Ff5v4BoLSf0tUUXlpUs5X4zpT/WLbcPne6Cz969AGsw8bSOm6EnLSYVi3Iagtz6Hoif2QG
KwkjLe5cteUpO9I7+bnjvstVLG8iExTXfTzI18op9GFStmZm42L9Tldyegx0rsCtYOuSuq+NSgpn
bNNsUVD0He1e4DKvMzR69b1tS+/oLH1Miu32d0slq9Ty1HC7db1504QWXbk6vlPaDcij17LILp6w
6rvCRjLhuKqitNPu22ps5F0oo/XRNs640FQv4gc/Xqazjqbl0i9Z6Sc93YpUF6X9atCy/qONe/VH
HnXD625usveyzsqbeVFLUphoewcCvO4ctwpqkF6PGX0kqEDdWBx87rYHeHHt6UL9rKmHw/md79v2
mpTQvw5WGYAPBn5/BGa0X6sxzL1jGGX9dWcsf0rb2tDCrda2TssB9DvqfY95nMwHfwmDJNCFuFqX
VgO1qGy7dkpHfHX5fCvtMxpx+VSYVFR2/Me6BePZ9jcO+qiz5yYZ87E8ibIWt2Ep5VvanDRYLLhE
dZJnUekfIrPczqofTnDigDWfMr7/S47/kzz6T4kuyRUUhf+eG/+/odz6X3Pj5z/5n9SYLNe3Aw8c
ngIRYcSfUmP/XygyBHRppCAxLKb/SY0xprL3v4rAUPffuIzhZ2qMcgu2U2TzcRBnYT39k8wYWvav
FAgbxRLjQuyFBobhvdQSQccZx6UW5pacodn3cGQmHMLAoaipb3qpIxcyk0IGMF/Vbtu09h8TIkLn
WHeyHd+6rT9tQ4I2gIqtGaqBNC4Ndadk9FiKTo5iSueqK5+Yi4vfncg8qP26Ll7PlWWMVaRd4ILG
XIa5aSk+k22au0nedc0KZqVpC49JHMnuNsiq5bq3Wm1fyMvWu9XPsreVp+R1Z4kP1tjrK9PrME/t
JT7EIFO3VTuWV2CCM8VpQCOvEOXWQe+YjZXErQHjgeoaH42n6Jc3wwbGIxqxPGy1Dj7b0t0r1WnU
d6VdZKTXxUQ6Mui53JLYy+3mqlt0c7XooYkOQdyXFwE7JrynOamrdFzt8kpZVs9nynW6moZaz4nV
0DYsWh+8IBvMqdogeSSh1fHBO1xNfawz/cqFbvtxMqvzYETRaXgN1XQoxlHnSS5X6vAxX7dkrNvh
UCEn+kB6vL7Pth70Y8iVXC5LHy11kg0BN+pn9ux+yJpK3RoYpVejS4PVd2p9FLlUNGKc4db0vSMP
oR+aI4uUEp/GUHARMMHfx0CXt+4E6fSqrHwF7jwOdpNolvrB8ubVfkP9dHQnq2uvvKnJUtEHO9Wg
mkKEJRXZaqBbHSbI2Ib+YM9+kADqtWfVc3wsuZ6jk2uMOZqp6qkxXJ2fVneymehcyoAMvTE/gO3t
z1vggJ4E7MYTsZzMuPPXz6AisXuKhza4Qq8hH51uKG5qMTUfersSSWZrx6SSHsa50UVuH9whfEWz
bjjMbpEdh6IPUb4U6BRS21kcTRbdqBNEkeVYhEP8agmUvFLZMKez8vPrIs6WMOm9tn4UjRdIII+5
+WZXVn/ZU9HL1IbtQQRh9ondMOikq5z4C1IVh27/OJH65ZOiz92U88UMbXhyGx0CFXfZ+Bj5+qsN
TQiEPdoOWTTQFGYHlJc+lF6brvmi4zQXkXPbCpoFdRFEHzGOcK/0WJBoBeNG8RVoKq3RbS3vMGbq
beA3w72K7O0L9RtcEpWv7+dStudsy9iClmXHIMrW5h213JVa1Hf3CnqySaa+okBzdZmlwVhHB4f+
2DuRK6B3K+4uXVzmf0yqaZckmrLmofalm46QAa701F5NfcQ6BPunxePX9htaHXTOp8Uj2QYKMkSW
zMluQLEqOgaTfAVKGZ9GYTffO6deLyrG+24pVLXzVeKky6avlc3p5tF7SAPOuXMFrp/2vvt5Mesf
QTOgaavzeIFE5VJJHZQX8BxNIumLzOK1Ga0s57J1IOZ1eKaQ/d+p+Hwqfv2zCeEv8M9OBvzvh+J/
lIrvemAyGT7m85M6WYh/cYZ5bAjOixj9B1S/Z9AIIt6/AsfFkSb2/g0M/cSMQk4/NEao1JH1/ulU
dHCmQ0LGfkfJCRbqhv/kWHyhANihKMe1Y/AiNxSYsLzUDTdONXSOqYPvtKWmOT660peEblvqcnsf
BLOsP/vWAKGvU+u4+ofJXQJ0a1af2V/ybvA70jl3qcNrqIzrDMfL6tTZxG0z3jVBK62V4moJdqrC
VC39wRKCdkyaw8J0vodLv84PTbGEzecoCmT21WuBoe9zgdrCS1oH0LVJfRkM7avCsSfTHfImGHbh
owna9haUSTHkvG2d9cZtva76YY16J6z86ZH+REv/rOz+lR7qi9jGyglRLvIyHp9rv6CHhk5bzoUo
ou+Z6btKnafWb/xz4+txCM/bSKvMpBtJRfkD3Lh0s9PvL/+Cks31wxCRi+t7SHUEJM4X5E0IFxFR
Q5TfKqf26jKdeoB84mnsWqo6DbRCh+kwFFPuQz73rU12r4H+19FNHX8TxrtGeteNddL3yhtoDwaR
4ne/H+TOVv1f3BHNJUIubCp3mZOPTO0lwXQpSsuFjWl9E9agUQnlW5iH6gRfbkJ52Q2TEJ/qwM6m
y++v++LZ7Nf1Y/QV2NWgCfBeXlfOax/2lhd9y1fWnIBqIBtgDz9zO2CCqpzLV12G/ysC5KLH1OY5
LD67i/6HpfFrUrnfdrhrjSOUF+Ct7KFfebV5oEvLXgrvmxU2ofLSAJwg+MxGsqZLT5umuS8tp3fu
vFqt82M92jboEs4tDZPy+4n4lU7MSAIEr6DLqHaR//+FKj+hzapWiKlfs3jrguGqV7LNYMFl7Riv
V2s0LDyV31/yrzcfIRL2EduCbWOm8ULXVoQF2dZqD998Ydjlp9URm1OfgsHMiCIRvPji0zAz6yoZ
EW6KT729aip1XUKuMn+zEBxqiF9XYAC1hV3CRkXV5kUvRpPHWxXEcrK+FOUQttYZoe2+IdqlLzhn
Z1Ohs0vLdlxdmcBP8BhVQMI7P7ZSVGvaWc7QPcYtPLvuoIJ+cB/onHbjl9/P2a9SHT9E7mVT5PpA
4MTwvwgsZ0PKY8MG+rLQcmcR2HNtM1n2YrzASpbB09ajdGu1b5rJ9PtLCXfnn04WzYqQfioyT8gt
PqHt13UbKXec1lH0XzoaycTwiui1QfZa7WkNbrwsIO6P+TzUn9sqgBGQDnTEneAM/crS8IULou0e
+VHVQUApt0bf+Hg19H8n83NerjHnyfwBfVFEw4X+yAvBwUIRJWNIoV/GzBVWe6ymUTbza7VNpexS
o1bF4Kyw1fyuX1XbrwCn22o9GimzyxgPDZw0VJT2etMWqpuypKMKzajVAttqHkQb5xsdOi9eCImu
Va1Od21v8V6+1GVmoLL9/vm/0KQSqYSDWCPe1Weol1isv848K7NTutPyE/3RoAowKIgClmKWzXE8
pM4WWoT2bH2OnmDo/G5+CicIfiJ+tZjJE4pmp/f3G9p/GcVdso3YptZ28IcgkLxYFvR3xzYrevlJ
DuwidfRIiv075H+w9b0RGFUlcaab7X1bLOsaJnAHjSpSAr4RD7naMus8tHQ53g/WPIr7qBR7ggCt
o23iq3oO9sfTj17MElp1GOgHCZtie78hjjd1YjfNfmiVzD4PqO9iMPLEo725vY/aZeHZeeBNvNBw
giB4kMEIi0XAFOWv6iUvSTDU0+XjCM4cCXi/VHxET/LAyEur23ODSQZt/RniLKX7KdaDox99r9+m
24HmxJA0TTsABFh51i7n3Odw/dhFXea/19RYLLIwyskztOp6UpTfr42XIZzZf1LwRLsRCK34F0vD
y9Yud2LZfNqcdgTyWqAR0DQxfdXDpJ2VIVD8/oovo5GL2MXGpGPPSjm7X16RCncsTOuZj94274vR
zP4e/twxrDm8hVaB+JRV3sYiNO48jfkd6qOQdfr7Yezp7C+x2wsFnDkOrsDdjWxeYjMbTBaFwKJ9
3/pdO3nUZXNgfe9VoYhGRY2M5IiAtC9faxjQRBxZBD18pWhyNRyGMDS0jCY3VzdNFonHxQOpWJPR
OEI/TJCrylQFsB1uWERIPSvkifA2fNSQ+2YvbNZhrwuyi0tW1dO+8zXo1iusRkKJwUc9eIu++v0d
v4xr6N4xRsFDDzcWUvy/aMJrkRWdAVN9p2cwz/gYDINLEqu3fd0iGfL9c+GYhWW71DG4Dc2op8zW
EnJf0t5cGTd7zBaxL2lXlVs7nGnReHuIVDA8nJNqtAQW2tB/susy0+45tbNGLbszdBTb6Pe39MI1
hFYzIB7HJlGNJ0jv8UWoVl7Xbn3Vue+iqQCtOk0y3wcwgZ7sW/dpH2O8SdPilBXLvsWJlXtIGZCU
1Z+twiGNd5Zg/xHt5bH+3MRV6J9LA1yn8L0wvbjP1MK7SpTrfMyat4J2jRUO3kkCcXkjnYJOcrt/
c2svskxuLXbQtzpsFTSu5Hu/Bu1pqZ2wmfv1nZfrPVJNg2Jpbc1W9l8nO6pdGsZTr7b3odvt52Nr
9fAzYa20DUqErRV0LU6xZ83mHVnqwHSYsPJYfShWiSYdTCWWmG8auUe3mbB5Ll1pCGsTGQkXpAVo
8y9qLIepaHOfqaCpXlhTijdMxZYoYrfiX8/zs4fC+m9Eci/2KJ5BeIJwfmGtwpcI/CXVdczmC3hm
1lvdhsBJp+f01i2iRdcplWWR/0Ti/2ty7b44jvZL+h6JPVgc/ydr+nXakYqTQsolfDvOiK4+T+s0
saA4+5kfv5J+H9Dqt3o68MBUKxPe6KwjZSHoMUtmWJrpdSjGKKtO2eRHBAM2pH4YMIvjBGgtNv60
dBxUPx8bvdeOqVyaqGOvsIv2xwEFbX8QUAYdXuK1ivUDSquekQR1zdkEDLfXqb9fcqjEf42J3Px+
CBAkQKvJgl5WNqSDo5Xby/q2KFYBdRF/Kk+mmbGz6l64mz+sR1UMgt5hDBheFckwqFJd283sLWCP
ZDvWzZC3ln+XtUXopQolQv7VLhv7bDIaxAdouX3zzUcqPjy0vWj5AozNacwrX8Mjh4uKzmp3kCF/
HOeTMUGk7wdVZLDGREu7+Rboz4kPHQQDJ62WaR7g4C2R2iDQdXrwF1iItWYz6G0wa5MsFs3W6hS7
zuwDK06rvyPYzmzmK0k31EHvs2b5dJmKkMwsDbfGbBtlLUtRXpZ6zWBbj7ISJ1h8uYds0Vq2t0hw
3fL97Dd5dvD8yXXSlfq0h2yZTyPoeEnrOcU+KT8j4p4OSBHMdpPFHQYFjnEK94R1U1TYR1n3rf9u
peNXW+/i3l6WtwtI3nRnjVNn7YL2cP5GB0oM77ZQ59iHSKDkYnwTQ+3aW92gGyeoAFHbJ3Hde26R
hsM2quiL01ZR961wZb+3Z8W0qu/xPBljp3UDBb46Q1ZXQXSgDggacZW1Vi3uYye06vpKC+mOTfG9
iDpvYpYXx4sG/w6JlGZJQ0SBJfwGOtIk7GPX+VKGlznOyqK5hSZcq/xY6XwyMDCCLC/LU+a3Zg4e
ss711EVUqPOiE2tFIKeSerM51psxKk2c5JYvFEh8NmzVejH5aBXllSlbThvsbYxPgNWynIMPvTWL
YLywOIxFn9kjbXHuZ0nWFSfT6kWLeNWguOVlev6hVZbQTRJ0Oj6X2/rRV1+2WcUuvHQxyNzdGbLw
TyD2BPWMPwvQctuAr+r9XLRReHA7uRdwqHxeshWLzrQKCviLr1ZolTJ8XWVWZZpTWHuWKy/1vGJk
80pUXkBjXcXxjkmEwxQU9fsQrY+13fh+g//SET07IfuOqK2K4MbysiFs6BSp0mlegxTDHzmaikCQ
o0pzPMZOyNqHtGqroSFk58VaqoMt62qAADrZVtB9cHO343rtDuO+m9FI4b1EHczMImsoOUFSRxT7
hzB+UpZEqXjP6X0EWXthUDidJ06QbfcZ85qp5qUfi8l67NpwD/nQT/IoTGHK9ywACI6uQNwwtLxP
Pt9qAUOT6VMV+qOQs2TMuFpTOBSZKHP3x+NIH3LYH06z7PPc+THqaggT1sCjsND3Fv53pShoFBYo
JZlWaiIH6RMeS0UwWzv7ZVbz+6nC9KVjvqxi66+KefOd5S6qwn3IEH0GuT0KVhZX8PiV+pJZy77A
xGDtTx62Fz9r4nafGq0d3soRGynDGDROqtzjz/sZBs9TXwDcCn4WLLIXj3XgZ7GX+iYGAIJ7VDjM
xc/Vk21jzEeGlbXfXDatT5OBXp/n9zPHjaGw7v/yxqC+Qz05WI8/p9p6fvu/J/n5fSAFbn0XurJl
AE5nFfpLXQpZDlclPGBuWkH25Fq56+Wl/UgBnkMKCJ4fVL/piaVG5T0P+QWl8poFiVPjISFexe3c
M0vQtRve4sLdY1TAHMiVktpe96Q3b7HFYI+Gua2+wMbaZ7CX7CDi2vM9FS66Tho9PeJc57ziDsGf
2c+P9nl5iKxumB/hl/zFMYBGzicuYi1Yp7kz7Jcp/ELwwxUeRli8g/jrzxOdx8Lbp/d5IW3zSpPl
yE3unwJ3aOTv8Hmic5GMU7EP/XlCrc1s/KNvvN4PEWQHXV1dNtya4LTlO6JlH005w8O/RTq2Ix8j
PcoveCW56osj8o7lMwZkrNz8oEl2X41g2fsHunp/8XUe8dJ09r4d2i3Yx9/NAvrHO8hQCBdOUHT4
3EJ5Tu6d63ENnekGIce+ViD/xlN49XPK40oPDAeqUc2HcAL0XLySZc05rx21CfsdmVsV6YNU1tSV
qT3mGRcPqoLvTTpMjQTbRBe7Izc8pmK+hH2+b+eZ85Wf1essquhUkywu6zWGoM3Snye/37nYDZSf
VifZmAMbOrEz8/5iUiMvJI1Bc9+qmf+uLTzxTwHcEKAiBZbf3Ot6ygAFzFBxdafIe/1eoAOmCsjW
bV/7Bv8BQOLFUy4RJhqKZo6OTcsR2x4XC4vE8QI5ddiWjzbsJeJN3qBdr88/4WS8j4oBCXzRUO9+
Xf2Rrzw4y6pgOq68pz2j+qhhwsbM1Nn23iuw15veKc8URpyRdO23vsT5yBR5ctlq7qhGexscxWY7
RDlauvv0OQvkzyEFr9qX+DN+iqICn4DEmd39fqeydHkZWOC8X5VAoVZSNhu4cuy7dRcnQBaraO88
6aDyOIjV2WtYHcwj6+oZZNkcmmjZae7UkLmXPFPom5PtGXrL6OyDGipaeeClGeR8gfqB2qlLJ/QQ
1KFtLfb9NPmmBITPa0R/08ETGbKL+3El0kDD88Q+eXPp7VABMoIaLL5qupw/H1YMs+RHQ3qWWdcm
G4ehvI+9agcp+5nj7g5vIk9Mb3xgrDU7LlllrcVJGBk0I2wmy0EsHwICiU9+juWmwmjGxDz8zUIv
mp1E1+7HRhtk+5xjTuCw+J5nspp6kGivtEtPX5sNxwco9hvsgEfYjhOowiZVLD4Rb1lflpEbM1D5
9n4PmYR0oE6UlztK1WAAtmMBcdsb+UnEa6GcL7iaieZeCCXX7OS7/ThZP3CDqpbsyInmNUEyNuDf
Vho1Tji8B5HEZuIttpZVnu8+gV6xPJiQ3EZ9i3WplfsRJjLQxNVQz7qNU8vdxvr95s+ujzaF02Gh
2Ic0Sk4ZhkE8OzOrvK1iN9X80EK6Fxo6U8vh5508P0slKwDiNAi8db+tp3CDWm+Pf/Ga79GE7H/f
vCjU93d0T+g93e79Z3gSW7xjxcmUl8wDnWiPVO57b6NsMslWzskWs/ttWh15rNio+66M2/03P5cs
OSWRKEZ9xa+e8fA9nFp5Oizr4IWJ4w529Hou8JDoE0Pbnwe9blnsXozq9l2eW9sOB470iXjxScum
i9ps1jesKh4wuOU+8rqEgv7p54WCIeZIUywV6/G5YuvKagtrXBTk7L+pnwNW/Qw0qsjZwWgLx7d9
jIMYfP/Q5i0chqRQYrYeZ+wEuOfJ0MXT16Wb72lc4S9cI9TNPqz5acNZfc05kmTBvG9y6e5txkNn
ln1Nhtnm1qgwoBO27bGoGnYjbfG9QQAOvAe9mo4/n+uPjlXdFK7X4Gfw+/LqRUEPlrMT8THDJbgJ
5y+wcjHRQwCvdh+LvheMOszzhd2wK0hQSvr7Dmo0wEuBEYfax/77y++F65+6ZfvlofrDS3/+CqWX
OCvOKr1lxhCo6jk0VmDAjII6gJ30+0u9ANDZTTZKBa4FZMV/xV7W/8knz0S1ghPvdP9eI3a9oJtT
MvNRnMf0rIjIotgf6lxCsHzEicXnkf0Mjr8fy68QAubKrJ/dAzHa7cJY5+6vY8m05wLfVvljTFdN
fCphuhCixzEKvSPChb+f579eEJtegINdrwG4+NJjB2GYjdWwjcR66Tgocrj20yVca5baz539+xt8
6enHHYLdPtPcMCL3XwKZSwOfuJsa8fAzYphi20H7VcDLDU6LP0b6VMlsG97MxlurQzt3ezz3BkKD
NW4+59HfjOjXlc6cU0rtlmFeGGPqRavu1zlfY9sy4eqph+Z5UxnyOvb4MteIoU9lpEseQeFDcMLa
EXMURqAstFW4PEhPzVuqFZX9KWi9PuAoJ7TgA6mk4u3sj8y5L1ePejI1z/0s+Rxmf38TLx8jDw4H
MKiFAZCs8xfjas5dNaGm0/d4ge2RaXtKhOQYdPOb1Ypm/29M0P7T9YLdSHj/H8ZaL+YsRAcLj9Ge
738ee0u+s3TsnsjaJwMK4H8ErWHm5kS7UTYbg6+MwJvwBc7lmQwkWpfV/fOxRJK8P42wbtgX3Yjf
yd+59v0af8BnY9pPPjsQPgrky5d4plm3pRy2oD6HnTXUQRq2beh9EgMb5p+Fuv1SPLrdjTnyqfT/
YjHZZm67zrnIz8+piMbMlFizuKrl5ffL5EVvjU+HoRHTjN+/eCMWGIL9utY7eyrgTsr4q43M7t/b
yhX1nioOHqS7szaRhhJmt/7gwoQfGjodSUMqOqaThzvKu8rYBMG/GdczReR/Az7+xC5TEEPceSIM
/MU3zbbpF4UlvPgBzUMxHt1g2VkSs+27c/9j3Doa7Sn0dzDfOGmzjSo2QUkwOZgGxS2E2Tztawki
dev6YCL26zaD+9WfV3KWoL/PlrJ2ljXNXFphH0elWsqzAausTh3bZt7cKbV7W4ztIRoCIMBbD0Nc
T7yOn/uM2H1ry3sFWc5Ryx3aMB1D5Zm1KB2wmgoKyZkCKCzbA8ppyRL5mTiFFn9WoNQ1+xKlcog4
xMRTeH0ugeqn2TRF63KkULLu6YnRLqK0cw/1t7nvdr3qI6mfmMN7b2z2JNN6zrkkTVuemy0jBxch
FMGYTSDGGeIOJyIZNtWMoP4ZilEc5wVGbU8J1lNmR8fPML+bivbkIlQaxIuapxbuEQNwLtnWVDv6
2qaLUuYIjdqROo8+Q1M17zzS8di7FyteCvJSCTyyAClGjUVauj7Xh7FZR08d0FOhcHoAGQrpfuD0
NEV9llpYpBu7TRSWc4H7OkZqAOE0V+gAISuufE9D/5Y+yN5pIzdFNHiPoRfNjbelBAXPD6xzaA6n
YlCOU+GxQTL8Y6UkHqPrQCzG/eQEyzpF98B5mXzTxThDuseqQ6FKhU5AW6aUr8agx48NzcqzPZjF
RauA1xeIiU5JGZ0gSld/zcxtjUsHNgK0yU1JlR8jQUmXssDQ07ebyeBD1NZrcch8CoEuacOuHT50
IELWnETPrcCfMVLRp8/FbdRynlQnPHgEmu6f+R+A/J6/rh2Earxenqrj5ilL7UJcUsn00U/NMtGD
LXDrHsa8DxmGW2OjaGpLx285XProUXax1ZzaEg/FpMDD5TFYy6A6YCKVXZW+9s6l7W0XjDH0GYSl
fwgHgSc/HhT3YTk1qG99PbzNWNRnPw9QqrH7ii8wuZsPuV32hyV2ME2NGg/jexDY1LhdcBNJ+1Nf
sx07I8WtMOXOHy4Knq5tDSfk//6x6sv51VY1WFRSLUzHaLW9hhUr2q8QMx9drENuMF3Pb1o9Tsdg
BBqHIJOfdT/HhyI20ZtQFgq+gSy/lSO2W00hc9wDuu4QZLG6jja3PeFtRXe6k5BdyY/XDm/dLjwZ
PvISUSd+wbhgvoKPkX1TMb5g9eI02LPHVYCBht0/Sr4SYksaoKMxwQ0gf2eWLfrcWB3qdm9u35rI
LY82hORr38bULulxzL/1gQ9PwzRi4FWF2RtAzRIe1eTF3xxaUNRZjnQetFsV5QmXO+uIPGZ6GLUP
EEIoOKAbnK+9cVjrJGhNlGZhnBXRh1K78XqBGTF/HV2/co79LHEjzHHWWeFbB9H3aAogGFuZNVy3
MTSJg+9M1ZtFezX1W9vfBOOE11oWFf1nuxrl7RKiuRuFs69QHJDo7ebaXC+k2Xd2WOsLqLx1XWJa
7B4iot83xxivS7Ytwg53gu/40UhlvkNiX1K3dLbPuOT1LkwHCa1x20ZWbtFgfwGTa8DvcDP1ci1m
vpYhsR1Z3q9OSCCm1Eu18Rrvmu9MaeT1sKjh5MrZvQl2/jAI9PvArF/5GoXs3nfYPnqcpwOQp803
OiCTCQ/B2ntHP5y6e1n4w8dVLuSKNm33fEzmGm4G1iVlDhvbmj3/Mx3zPvHcprvC3sRLXLud3ix8
McWbscCPIK2nKX/3/9k7j+24kbTbvsud41/wZnAnCaRPJilSpEhNsEhRgg0gYALu6e8G1XVbqv67
avW8h90qkmmAwGfO2adJ5+a5naQwN82kphBotsw3Oa+PTbDPLJAbb0qX0J788S4wuxT7/DJA8RBy
2bB8Ek8kTzdgPwbjU8By4yjN1g8VWKaTnVX2a+e702U1xA6sQ2zFH8W7GyutoVNWCWZFjbiK0iiC
11aj2Ip86kagIHnX3LmjW+w46AGoBtniHXqjTu/QD6E5GdP20awrRNZqMva5HNxXMI+PI/37I4bk
xd830gaM3Yjk+8wHsk9hYKgt5en8QNyBA+XDbtgkFwl4w3QARxSg2G6ojw08Tl3wGADefLMmaX0G
Ula/DQvYYMUFDiCjNm9sBA9gAFwMx1PTP1D3ahtnrIaLBiXy66LX1d4qgV6FFWPuK6kHNs+yiRNJ
zzOfORVQroPHwiiUXZXvC0e1j2jOLF7/YJ5w7Fq73LW6F+aFzV1Qpe3BmMvgQYh2OSddDjPQ48il
PRfZtbL1/tQqe7yrAEF+biGYfrOKgcPBbObhas+Cm4dZ261h9eo8td54zMYJgF6t/GofwyGKaNtR
fjKOCY6L1saXOE7bT4vpp48+I52XZvFB7CVpcuBm824WQ+vRVrnZrgxi58Lm3bDCXpBJ4QMhs7je
22q3JFp9V7AauEumWjYhihV914558yJ7ZSc0/ctyIWJGnRFQYdnSRP05sZZAcGaLaWt5hX8w2EWG
g1zsW39IcF6rVnvXYhNt3GV2oOUH4SwmanAwcIza/UvhWIPXb3UyU0vQCYGML6MmkzumP+Dl7bl6
Kvv2lZ/BF9BnxlMnqGBy5eXXKciRhQJBzE5BLc2vSovVGJbpqIMR9tRjZg5Ds0/N0rLDIDW8sx3X
rb8LdFEFJ5H6MmK/DHVyYA8fEfsgvE2+9MGwEVZcXWsNHcIZ/KbHZ+3qY99ecLmzgDKm1hiPld2I
W2uytU8eXgIZuhNWjG0ayPY+T7JB4H+u5/QssqLOIq2tHJSacWxoe2/ouuV+xtan0v1aeuhR0Ewk
iBd8ajWO6lPBrKAtQ8OjcgkdoeLhhikOaB5LGcnn0VvqGSpe6V6QEcb41Q1KxHPPgKB/cjK60pZz
pJW9A+FLT6BfxYehd72TY056lX9erDk24RxOjR6oE4FWjX70gYLO+6aEZxqlQ+eoh0BLCugCZlIG
7abFfVAWoYZf8SGzUPNszNQuP9WzoS37kQaYeBPIgPoFuzlkK7Nlv3DjlRynEcK9JaqZuJ1ys4eS
anjFqdfmqQPeM2tusABpEhUg3oj5kShW9Rj2dHHb93bu99Hs5m4J0kZ1NfeDz9o1VMZsCtw/qkwv
RcrWeCMqxs/h0k8NBDUxs5DyVF4c4Kc6mMpHZ7wpMsa3UT5l0wGUgOFHLhQEj1EdRvxjkbSSNaly
cEWbI1t5tzf7q+YEkxeKPLax/NpwicKZWeKTIbX2fcCaFVktPqZ9XceGtU2G1FRmSAmXanWIZgCJ
3LjxUvd+1uzaozBT/pyVISdpz39Q61o2Zd84hBrf3aaS6A8naQxyIsBaGV66leZUO86NoQ2uemTJ
LOJD3vj2azIMXyGHJI9JKr8mgXTyDW2CeBjRnGxjP273Og8PXM/KbVnLecu5hMFwba1M7Ya0hZnT
yEVuPOSjciOEIx7aqnSjtiWNQGFL4XzF/vKtT+Jl59Ww5RtwQzdsPn09NKZubKKFh419F3Sp9QAC
vm2BnjKD4nrggtmg0xvfjVoWn2RTdf62A4146eqqhrLV9fBrMUsRNVQJrMqamIKjqPMmMqum3BVN
7DxUhW5sgz6tz0UMbtgsJvtsSpapddKxVA9oiyLTjIfXSnlqv0ymCf3e4yEc6cHQdFtpuPUVXePY
H2U7xpsAxCxosSIhrsDt8MEGhojRtiLUVMfO5c1httaMhyUm0DxmH9+saQlD1HJTEpgxF+2VpzwP
/8wtQKLl1Be8hPiepw7UXC9wQ1XJ9CnPEuMrE8Fph5go2Nd6IHae9PI7DXpeOAg3fdYr8VjmKNQS
GredB1f/pR7Nvt6AIa5fLD1uT8q0Ykg/7ZT7YcbQ9gSRlzed6Ezes2kIacKt25y25DSAS/5WpJb3
tYgT45lUgPEysFGOHNnUR4tR9hNLAbNYz7RJbmD4NTcuKWTUrRyO60Vof7OBb+Eyr8T61J7M7q0G
VZZt4T2zoGXIXbvHyqmyOuzabOrZgS01Q0xvzI3QKjlHNq6W5c5NKTvzLYVPAba15DVsckBAfljw
e4FXwp0FtSuBMrjK9CJa+AFQlMbj+wTys/8i6drSsJCWpX/lwTsCXdb8cThofeFGvcy1Q9Y45uOq
Z9gZwGQVkCoYdo4z5W9qINiJE0mbdrWKUWnVsWNdWCm2ZzkjdlnNd2Z7mTol3wqzn7IQ6jCFbTaU
07cehm2756akT1OArez3gW0a9Ix8GLZVPlgnhudw3ccMP/phlbN+B7g0xDvhpf3Zhi5LL0s50kdl
3GjOVmsEWmR9GZynvivLF08OU1h0VoexX2v0qxo944Gtnx+gVqKG27j9mJb7kaLqxOlXjdupSaFk
N1NA6Ym6RKuvVjpCwVdAyuDYCt2R21YOOB9QynARhXYqoFQUwy4ZXFY8WLXB3vV4PNc2FjIXNC+T
mtqCKPFcdaoqbs3aGLuIriLG4c/FW4P2ag2VlPNe0828sm9dkAL+pjCazHotgUxoVThAscrjHYu8
YtJvirR26yCk255sMkWWVHTgVnngOnOUsleDrKFQmdtzVAG/FsV59qG+6mGnaMDkXTkwtSJUCvl5
oHatkk32nCQAzJNo5FZhvYNLyKpgiUHLdftdQq1WHRUAA/Gja7ppcLYpuixRbZ2GHeADnBJ2QnuJ
gKuvona2NT2/y5Us+B6AC3SZwp6n2E0MyO95+9+FFng6n2OXV3MEenxynp3WMdOHn0NkTa6LkL4k
ieIBLEk8yTMJvqukAB3Dup/hPly89wQ/6uTu0Xsv3G+N0QXZi5JQH+Ch+wzgNDrbOB9dHhEcx/2T
Shko+JeegnK66nmgz3aokk41xX5h68a3xSMvr/M3C6bUICKyxNRcnS3F21s2WY36o8Ou31kifrB6
R2agrxHQZtZJV6qZa/RRWU+NQ++QNLsPU6KJfLCOCtRRNyYiM0p3GXBizgE07N6391nviXmWTIch
PDQZXmasy6O9TarJzsqtJCKuBjzdVrV/WSj9/C0MFjdmOzfEAbxUEgwDe+vNi2Xv2UeKJ+mr8lFD
9dPDycEUt7EV984WFYx416uCKgtVPryMbe12AbkTLfqZabOYDUvRBVPjh/r/hClzuHNQ7R6YT2eX
Wo+tsDBddZMb8yy22EgRkQ0BC2qplQ95MI3esaGE8zZWJWdI7dVYVPu211FXTr4cga3rQ/EuITWu
XuIVGQZOj4yL3lrm+y7TxokCQSu3VKB0iMQWOs6ezJteRLHwpzfQtdMsN0YyNsa9X2SQ4casqr61
ONvbTZcPtAbVog10I21upCvXp+0OKnWK4T3RSCHSQipqswqXIk12+McAUu6EMnxEQ2YTrOBDG4C1
DUX5YHS191KC0WRg6cUmIGgGiplDh+rN3VWQfqMiU3dU/4wkAznHppWo/0K0Jg02XWWY6J0Ybl0T
Om+xsRvq8JuJReC0Ga3C23qFW560pKuR2CsH0weaPymQlJiz6iK/cgJWZVqf7vFT8MV4U6JtLDR/
h0aWoDIUA7O3BSEF10YcfFKaXvM+FwmGW053M192ZAexH2xzNB/fNURVDA9zmVw0juHuK83lmH7y
ctGuVZcF8pcKxj21tudkbxyR1ry3Bju/J/ssvkG+mbwnrcEnD+9zQkYXg44oliUDjZnp46M/Oepu
bMuUt4C9jq21J2pOU09goiic4N5gfOhFQQ4mxGBoQbQdmp0vo2Xjb3SKzj7gVAf/MbbOAwk79a43
K/3ZbTuDPDv0kWCTF5wD3TJv8GXNV7yeZhaZqiN8b1MCBNgE2RAMx8RtUc111YJMNYlHrMRjUK6S
DbrhUFbebO7YXLH/1YHzdVEyWANHL/g/pjA9LCWwfUnXUBQAxb+xlFSXxDQGP9KdRHo7BBry8zh5
PWrovuJdolLwvpKmAMJcUIDfNtpa8XagwqoNNfWcbVyoM8hkiiZLiR/wcxRhjEvuFsEEYAOGSrrb
YkD4F1m6yLZLM/EziYPMDzmLAI1qyR9jl1akGHYTbBlnfvE4LYbz1FetjMpmAAMPDk/x5xynoSHI
mAIJsChWGZtnPy0LD/lSjPG7NeIAnHVqvs1lVpwmTXZ3aAjzEG2a+YpbR1XsP7xgDjOnAzjqjXY2
R2qc825TtliytyrN/JLzt7XKc26Ys7Pr3dF5gkwqpyuTq8JiGFALMielMFbeeTJvBAKRa43yRd96
ozPTFAQmbgswlo7YCiOHRuhM7Rjy3KSqoz6PUqtt/PVzc29Ha2QMbZl1fPVLYT0DJTOSzaDKFws4
53MLan5DMDuzR5SeCLiSgUu+bF8SYDcJtdWkhRqVx02rsB11zF2AWSvt2MLjKdckC++2V3196h1I
Q3TkxYW5AOyyWPefmBhnHpdB4r5JEzP7ZOvd/dDO5rHoYLWH+eCPa7WmCyQ9FSMer+v8Q0dUlxst
gUbhJMBEQpA1h/IeF28WtQy3opZL3Sb0w1FbyhfjXM01tM58NJ7TeJ6eAaSCIeuUjqXTKbbCL+Mf
yJ31yHbs/tGn3N8bdmy81Sjjn+FHzA6wWD44rAjPeIH8mwnxwV4OPXedr14RTvd3UulzjKW+1g3u
g+UuSDQYFa0BKJ3nQVvRZnRW5HuIZvjpy9iY7RdAM0bkTzQqDQHNoPJTo37S/NJ+yFMwjyEBJ9pR
yspgRYcCtLCsb7Ni+t9uC8k8qH3jAVUI6NU+PhvvmY62FvK+tTv4Xbc92Rec8p3vr5qptsGXjXhh
mnPRsGtgEVrf2jMSn3k/mnhIzMiq9alPCRpIRb4cEZjP/WOcTaPzzansujjktS96O4xJW+m1yB8c
e2w5vApUNuza0G3kILdcPUIQaCyUjb4+Z2FbuK0+HWHNMcXcuOYEDtquRv+rW1U9h0oj4T2XnGNO
qjsRdR76iUib3SRBaEOU3IBMmjIetdeMR5ubBnk9GIp5SGX9XSfFz+siFq0ICLedHOcCcuiSJQUq
JpkA/zJDrsGGNUiSJ4vefBosv6eFyazJbdun2h+BXkUsiH36PqxM2ZRf87zuVB11o0uO01aXluqa
NwXIy5g3/JY1M3CsbUqyzQJ9ohkOMfZNwqSYWK/vxHYTPSj3aTINXvNFacliEqUR+wX/hkbfc6cz
7E4a5nM+d3HpwrQmJnPY/fV67vcNOVtDFCDwGlfNwUpvWY37vyokGJX5vY574buo5eptGn5qXCyn
almUd15qKyRpgz6RcJhmOSu6v3kBv6+b1xeAUADzLjRJtoQshX5/AZkz441KMu+9+PkCoKWuyhNR
wHWm7K7Zi/3clP6X5vA3jCOHwMVfLo5/4X+Gr5j0aVOy3xCgP3/qD8yRYf+PYeEI0lebtUOE4x8w
B80gUN7WkVxwE31Y6oz/jzmyzf/RgY8yMbJXUgvb/n9ijkBAWPxCz9d/QpD+IwLon3bglL0gAkxE
cEhsdCxLK9Pp16uZEGNmsiD7r9VoYbUeeRJCckGKTQTNOHxyNWc+5dNQFVtdL/qXvraHx8KGTbfp
gqr58sun97/Y443f762PV2MDLFgvcZ3FvMsn8uursSvojUGqhqvZVMY1IQwIqrFX09ATuI4yehht
9eKBZYH0Kfy+AZDb8ihAuA270Q+86j3oe+jsQZpS2Jal8YhABXT87DrxdwPd+PQ396L5J2nE+vnZ
OG8QDKGQ04FF/ekVZ4wmEDb2V5wRCVGx+DseB5unxq735posg3kyCJTw6IEXz6U0mgvd2guewwYj
IUDV6dR1BmEKEuBzn9V0QyLV2ZW1EBO3SZ2nd4ViskyD00UsRYKnLm3OeEGgocO7cG/IhR7E/q+/
h3/9GjhidI8vwuXawMb1+5vyZo0GRpbdFQN08FQnPgRwuzC5NGRFusM4gWaUsVE+//Wf/f1gW3Ut
HtIWz8JNDx/AtNaX9Yv2jGFXYssuqa6VvxhXlO7qygIf70CcPv31X1qPyF/0FR9/KcAoturG8Er5
f7rOCFaYl4bZ+pV1rf2K1akt93Hvz+amkOlWbxBhh5Y++wTnWM4o/u6iWS+K3/88F4rpgOiwXVgq
f/7zCG0yHiBsbLymcLDMK+e1KNfXgP2i29IA1LAa+er3Y9mMLOOK2vvOBAHnTDDbl8llBhBaY850
Hwi8eGRqbFpR6s/zd6mR9KRrrB1C0Ft2e3Asd1F/J5z51y8KURXHBnIgLH48C3//onRXOZXjxNoN
9F3xmlE4JxtDK/rK3lgzruTTmGbFG2J7dq1LgyiZh3oW0oZ4P3pvWepwJpuREiwfvmdIWd/JCku9
019/xWjV/vwp4wbkIiKaGrsyd+fqmPvlcnJbP9PRpVs38LlkHPgR+XnLfvVpBbt+IEiEalH/NAgS
baF9pB6Dq2rfma3clzbgpqJsxL2ESjNtvHJMvow5NH14Vf1Ggr96ZE/mRzFK21B9UKGYltAaxXlX
XccVG9WsAKkkMWBJ0fEjIjKHVBzYp5T3Zp7cJezHpg2g4eZKFt7n/oNO5a6gKiMj4S9qbbUQJjj6
+aVcoVbQyuxTuoKuFsqfIBz1lCqWiy47ah9UrHEFZBkjqKwln77Jjl2kQuZL5yh6bxd3jTpCOTE/
N/iEcaB5GvStJS3it+CDyZVVjfZVCfbokvHrER27PBpNUL5ngwTTypSkeMg+OF/DivxqV/jXzOdA
NW8Gt+wLpi01a7MzPnhhJWQ/FnYjJqZwWJFigiRQpqLBbRqzKI6QY/cHHjXmCICdbYvfe+XzJPT0
bLaBfHCYSO1JIdHIYHIFQcwuyN9On/JlNxR+stMoql8ZrY8/kEBBQ0OwBBmt+qCkTSswzVrRaXMy
QFFrV6Ba2VvEiPGfIl5deWuQ1gYWcx8cNi8mgMH7oLPZK6jN+mC2tdDbklXm+Gm0QLpl3Up3yz9I
b1a/Ut8my5suLgOEMkac2fRCwLJdl13vKUxpc3npRm1ahwdBy1FefzNnkfcWMRG9UlK/9kWPpojh
VLPskU/1MTqUDClCbhIjoEN1OOazBcJf8R2QHshejQFKym4zquKY52FfFmOzhYOQ6GFb9tDu00Z3
URYUszemoFvLoL+4XW9xRY0xscJjqHgW7lwtzePbgVvHTcLGB5e9MSwwDruqzNpgQ9HNyGU7sZ0g
ryMwAvqBGG05YrMY50kaQCTZjaVXim0XUxXsnCoRS+gvDidmZRZs9UXaaoDwujnp7piGodmuk8z/
QfYLVNpIr80e8Y2v/KvDBjA+VZbXe04eVlPXLPOh0zndWFYlqYfsvhuWZhe0XZXt5tIV80HvOiFD
x2QAEHqTM5d7orYzLeRrNb9oUpDyxji4ADdXCF0jy0PXUEP0BAXkQgTiaLVBX24LBN33i+otluuM
0oxzOqYdwUZeaqb9Pm4HWT3wMLZOdDZmsVOSV0C+WbmmiBnkMQP1neV4I3z0MwTHVbJFmWWoUwu1
q4yS2EoUkecDX2fmdWtkBkym5TtNZuCyP+nZLWE/JunGgN92oJIvQE4XRWNFWZ2Roqdioh5owGWA
P3HM7dBCVL4wiMgX7azHpb0zJOkNvNzAk1sDqEp9JMNyJD0xsFNwB/x3G4OEmYrLJ0FsO41E22/Y
V2hfW/r1GScM95F5NQhbRCznk/5kfZ7L0VRXVwaECVX0tTeOqngkJUge+YGAIbq1wyxqVC9sQqr0
1GCKmnbd6CzZGb96/9nOTeeVlEAGor7BxYtxBp3btnMXyJAMKHP0gBZG/ZDWcJthlnwpx5HKIk/y
4YG2bXyTbWqxGRkJ8/OhP7Gj9WN+j1PW2GWrdjCu7J4s+1PXO8Zno2fDsBldHLlhj8lwAiwscpL0
WOGxSveYWd6Sfhk8VXqzXpx5TmqDV5Jfd0deSu+HerOiLtOx4oXVaC6MM0+w4InmmqtbcEq2kW8E
5G30XRCbd3mLqube9MmDO052PqqbfurX4pPgxzuC710i8EbBn67rZWE5YIp+QRjirW9+fekj5xOv
i8HS1XYq3gW5dXxUaVEXSxgUA7eOLJMi+1ThJWVpSrjQa8K/caaafZXeNoY9M+uwJHzeY4pbXd2Q
CcncMNNVw5oQXb+1nYcGHR3/m6U274gDhCXJWif3lXhibRKcUHBn8KMZJ3NdsH1+HSt2AOwy8vne
6ie9OyeUuTmEU3TFDz5Pi31X6ca1CZLmBTqIC9fYTjPzVPtJoM7gX5hZzWT8stxEOL6XJh/rurqf
vxVl4dxNqmOs24ByKr6MkEC7A+tS8QO72XqGZA0xKvQBvrXNUKN1Owli54tGKjcxqzJhfGxzzM3t
mJJZ1ndndlK5Ezlma+KDKR3b27AlD55aMEPJtjQrbhNg+lZwtKvaALTMgTyffINLaovShWskd1iw
7Fi5DFseMmNzNlplumEclP3Ak9YadEpvAMttgIxQmynTT0vQt8Y7sra5AzJneAOqGZNfNQljFUON
qJWPkq9lDDUGNti6yeS5mWaPZcLQNRvf6w62YKhxWMZV5Mg+ulv2kgSj+qZyJ/ui9QzstymZesM5
wZechr7TifQzlUj3rqNfRenoZd2wgag9MiYeB7/hKTA3DyUL/uzZqBfLHzaIcYr5UfZoKfhlCIBg
dTInO2mxHN+AfGoDXtDOLY4Zau9PE/THZd+yQ8+22bKyWzOzz627qSgX5ypcYnoZIA26e2MbKQrE
meqmIxFA8q2NfkWqFYNGwdnRdSUoa2tqo6FEkLNfsPTzUu0p8aI5ZgkRxpK1+BdGp8bnPF2jd3jS
BU9c66K7qwLYljtlygA3HJk/0BTUC3bn0Tc2RTF4jw6b/DEa0TbbSK1KoAxNDKaJhztX9FaSDdXs
aByAsWZWX9QXr5WpdYcqpXSPsAfYN2Uk+iY3RauRIic61nsbqjHV35RlzOtv8RfuutQvUmSvun6c
G5v7fnaRL4N8Sb2bj6r0v5OUv5mkrB0dXcS/J2Nevw+v77+NUf7xI7/MURhQMFL+OSv5JxSTOQr9
1R/RKQxOdM9iRscog3txBekgd+/T//t/LId/chipEOlomr6D3P+PdJh/jCZ+RuAk3+v/bVRh/g7c
YJ5Dt8qfMQOLx/ZKI/q9vUh7BpVsMKwbb+UBz6PtHGd8nO3GWRh3z6lomggB9YkGtDE2nEbDVl8S
7iHXL/fK7BrIzboyn52UQFq0FRB6GzSrdmjKZnIitcKL2V8Nz/0KNO5XtHH6QTkOBkRwG7nCj6cP
DjIbDuNeWV39Uq2Y5KWlTmdmutKTiw+SMqjecZeteGWvzQWKzJW57K34ZZdYLeAUaT7BvUhqeP7a
bE13TK89d5eyb0gOgW0sKlpHxW+5Kjt2I3NRvDee1tyiphzITqX4v41j7AhIe2Leu2AHiOADBZl3
rOfWJoDDUFi4ecbyr1bnSPOk/GS+g51AbmSCqhhrk5gn7eTzAms0dQupVHUjhPXJ9GX9KbDz5H7J
i+G2WQG2uUccJzYBEPDxyrfOR8iayA6rJsztGnUF8pLprvUVAd2486ZeQlQ0H3spaT8JHo31um8O
seFkao/jJLG8vY/XPIH1kOmLHk3sFCt0MpU/XS1vIZczJChAO+IwrBWyrqRJ3TBnRFsxF2OjRPzt
FzhzdmfdD0VVbFqLDSY83ywepmvxs6QWH/W1rJNW7ORH3c1qfS3CiTWnIo+ZTu3IblgLdfTKa9ne
UDH3l46DO40Q1K3Fvd6Rn0qPlJZx1NjdsF443nJYphzltfZBLyuEC97q1P9sM4x/dB0tlOxxEZti
NKGIPCc/W5TpZ8PS/2xfnJ/NzH8PvKrP+vlvDjzkbhwI//68ozWv29f3+ld48M+f+ePA0znK2OQE
jPlX3u46JPojOkoHnQ9tz3VASwUmnOB/nn8Gg2PTWqe6DD2YOXPo/nH+gRUGRxsw6sW17Bl68J+c
fx+0zl9nWLA8fY/RCqRFwMPYqH4//ohJljpAFO3MXrXJgx1zbH9Wz+0QkGB7ynXhIQUn1dRP873X
wRt1LhYlH8YW0mwdj9CmeiYA57Ru+AvrptJ4HqAYRC2Q6GQu+WWbEbJW5P0U7wufQOHs4iTjwGZ7
4f+N1QE7Pn/rEWEH6eIQ4JUgjo/oRIJfFiTMvkcOr69RlA0uYscTZFaq4cIaSV1keUvm9YtZETod
IgpCdfkABg0Y59a3k9H75KeTSoPbLOsBsAfUHRvhY0MKaYlwApSqhbu2YUwar7Sgmjb6vwuXnxFp
f3PXGLZn8Jz997fN8f01/e2e+cdP/HHTGFz/TFUt22CAzZLsl5vG8P7HtCzDYR6FSpX74o+S4S/S
1gxuGe4lnUsc9iYN1H9yy7Cj+dNEcv0NrHugqDIzYu77p2UBGWANiuDYvZIJqAGUqKbmjKJjJrmc
jpng37VrJHDtxOLSLR+ARDvBG1zv72m9OA82lCLI/7X1maHy9KXwtOzMjT4hH4HtETObd31BwmoX
AM5Gi9TfE3FFC5Um49g86lUTaxuGEqUlzkXAzTUMZZ7DMktR6YxN6e+If66OUICt0MtVE4rZSKJK
lDbjOh9fUGaY+MYC9amQdESbXB/jS2lJeekUM53ZHZoTXq3xnfHAV1v0/ruNZoIev/b2uszk11YU
emg7wj1iaHi1EDfxfsldzDceT7TzMqfTQccYwrbY165VrsVESLO+TTGJt3HYBmYyIOqQyhDDzukQ
tG3MbMxvtTQ1v7BnudiK6DUjm2TYYUm7nzt0Fb1qSMvo9S8lSKfHCSfc7bSGt0kz+DJNKKUHYuFi
axCf7FxrDuxuzWuLu+KoWPyHeDSyixiQ/CB8z26wk70GfcO8WJIY7ZAofm5Yu+7LWhveusKLjyB6
rF1RGSWtJ2EMS07eHPANxqC48upDYGbflSKTjkTY6dkxfNRkSZbzrF9z6xpR+l9NUxVbxwPQNvn1
F5GJL/irsxvoo4yD03F4idHJbFE0IvEqMsb80iN0D4QFESFQYTCtWFkgHrxlstegh1Qe1yvysRk6
dwe0nSRUhE8UgqZqsk3qeT2vHjcRHELi93Tyo+eIvBNKR7cwknu7MIo7pAzLbTymepguBPillslQ
LdMnh79i1Vt45PYeLhyWQSIWsofR7coLMPf5AonOujEhDe7cNB7vmA+3u6rr0Mr6NlEqhm4B1i00
+YMYLfyZyWgbe1hV46VdSGyfnKq79B8pg5M7JkDRSjLeGOKCuuwRrc5KemdDBqT1Ij3UGbDM+sYl
vw6dbmXqVQgyCziZ36kna5rViMES8RRI9GZGGeAhvsK5ioSdsMMCi2m+qYUZnAchphwl1ZoUNDSE
BgWkBzF/Gy9e48oT+q3uMWlZu2wGNmI/arXUW6ypwcFbE4haB6T5gvPdQnrL5D9OCIJuNZY4iH5F
aDEn2Hm5HnzJBkrkofXOck03Yq6b7srE0d8G1yh3uMrcb6jXlxN0KBKR3DUciWgq4uaMfnxmsWPd
aUXsRToBSzsEQEFC1AP5SvVH1JK/pi75zIZlxKwl3c7KXO68NZppWfWBrjsBIJosIhaJvr0vdfSJ
fjmqJwdMKpFjFb66PC4IwgqS7KxJa8aPF/hEmQW8JXY5PsgitlGh8MZms6xBUQipczYrAMSzNUYK
qe3ErrYxdqmjk1QbwF5pezu+gUzX3oF+ieDStJ8zhmb32AkPbWUtt6PS0ZFPeEoUtzWib3M6ZrEY
Dz7UvrtcmBgGR4OYK4rn+QHZubwhF8f8bK55WJlOMpaG5GqjxpYcr4/MrApF5cOUN2AYa4wuk9Rv
BNla+hqylaDxucxr8BaHp37tkPSGtVOhfVyzuQa9CaLEGvXj0hj4/xz3Ku2mOrLCMo/ok91Nhnkx
JOWahDW+ZPSqbBnAxH7WaKuY15tW/7AEJIMJXUryHb35gDrI/kQEwTp0WOPDwGemKNecYg+RWEZZ
zEGum0sPrVRNj1Wp27tGVknornFkOom1APk5iAJoVVFMYfWCqCg9MIcGaM20f9va/axFOYPUFx6C
y8EOAu27kTdgwtc4tNm11Q9wdzXTx6y+7xrXCCWiTjik+muyCERBRllGJtOrvT90WhviOEtfzCUB
dSzK+66uFUkvbhVaLWlsBMj3d5Dj6924ZrXpa2pbhxa32fQqXrY2Msa9sGu2fgg+I3ZlQ6SQxnxn
7zVswfd8w2ozhAVnJqS1YkxB3TnaJdXsZlNLZ/wiP3Lk1kQ5FwEk2trafQFQxr1huTJCVVQejayY
bqpUaRxYZNKNTmZ/LdacOn9NrDPiqkJ3WhuvI+bTaOqXx3hNtzPXnDsHfbvA4Iw/JMuMKZL64h9p
IO/xOh+pHoCctOCPt6DU+IIrBJeRlw2fRrIlv2iTQ/CTEh2YDkL3clriaqM1yfikJ25zgr7rnRI/
BbS5KicPnJvEs/f6pWOpc78s6k4l2GKbUi/P8LCR03Ptfc7xH51i7I/cEhmxgkb1/9g7j+7GkS7b
/qFGL5iAm5IErSiJ8tIESyYT3rtA/PreyK9ev8qsWlnr6572oGqkJAjDQNx7z9nnylFRfPA97S6b
fR61CUfzyrLCaC2WHMFEOsMWonEedNYAocALr4hUznZIoYdDqKceQwcdjWpdiAM/qHg7LHmFUY96
3ZQ5tkEvLK4iu2X5nsLpPU70eqfR7jupsXM/wdfmH21Xa9d2114Qidv3ymOvPYvuOvNDIpMmyz20
PVYtD9tM0Nju+EjPcsBxXrzjvOwPcepG2yZLKnyZM4wrlbsOUM+oAwMUoh1MInHHrL+6VY2Nq4Q3
18h87WJEtfmqTeV0RZT6GJMtHY7PRpJoe0Ln7KuiTtIjCuYtGpVmzYT/JnPEk9QmsdK9Ig+S0gqh
84z5A0zvejf0XnNDODwszK62tnoTfvMywLMg3+Kd1/mENscdSZRVrq5iIaZTveRUjn5H7B7RIJh3
82ZDHaa+203+EBclRrQsde9JWkI6amT9mu8HPTS1ziOragCE8S3shLYqKhHfpHV1lU/afJb4XufQ
EI/5kqXZpJYIhNaOO7Qb/jZZMjeBPskdQ/L2Dcqas6Kz7gfVSOgq7phhmzvd22SwrmAzNLZUQfRX
oyLIifPUBmwS7Yzvxl2yPn2fuiSLctS1J3QzAt1GVWD9zKtoHXsk+MW6mz+mmlPes6nKTuWPLFF7
iRVNpiVhtKp6Ywcxtb7OycctHEJIPam3Z3TOEJkkEaU4RIqtHpvRlQvyNWgJxd1H4RJoOpKdetvY
NUnAIje26DfppKagHCYxvXUGa22FrKXeMfVRNzX2sjW5VcaxQsK5JUFSvg8/clSZA7JJwQ9vrzI6
3NiCaMpu7ErJzxJz3pszj2t9CWMtIj/c8EW+F0PRbFMcmCgLIJQwpdc9bHaZto8UKsk1MosiXRki
K881mIC1lQknmMYCFr0moq+wb8FogvLlleYQzE1yhLzLsvSGfe+6T/R8OxFpvtXDmjco7sijWjJm
eQnXiC48fR9amv6detle9UsY7dBP1YaqMgJ1SLY4Ww+G1wTX2q5CX0w0pDyFId6zpjTJBedWv9H1
ifamDMPA/ZF7G81ddmy7oVtHsdZtmn+F4y45uU2st9Tag4vwUemAAHghraY5Sq+NqTc+JaCLGyUl
C8Jo5msrzMxtWKq8NO49GQ5puAlHbPCfyVCM4OGKEormgysxwGANI0MKy6f0/OphIhZz7aJOgq46
r/ySnfIqbR1DWREGbbyH5bSMYXw6fHQ6I7pscJr61RjN8htygfhr8vmG7BHsF/5N9YaeKCS/bKwP
4RxKYvFGT2506LHHgWHGuan564p8CVTRCQT1ud1yRO2c+X6zGSIskYlr06eMall+taFunKtEegfE
SxgPJ/of1+7gPKgYgVLT2s6XwEIWMo5SpIba/hTYUCXv2qKxVqlTtEeNBuVFn+J441jVHAH8n4a9
yHtvWQ1g1TYVKc+CLQy9smIVRUm2xzuLNQXeyEkvO3Fs9ZYtgM3AzSOPaGM7c4F+miidk06qxaNM
RvHc4V2Sq45gMewJhoaMR8fvii8rvZvAjeHH6+dXULs3UepxWfXcl/dy8qPNiNc3BGqosBxjy1qn
fYfsGoccmjtcvMMqjGrvxuMtvESBoetIO4Mk7q6myyGLNH2IvBylHltPaqZuvJ5LFd0Xtuq23nKx
MXikO83vqb5ss4ivtXBE610R2hc4KBMOqOWb+zAs9J5xNH86KN9GMt6Wd32Eb5eRU/PUxq3xYtRe
81JW0VMIH/JKACBHUVLq2t4ya+w8BGdg5xr1kwvX7n5E5wa/BCyIe6ZPIy5l3Ly7ikDnVa0AJq20
WEdHMOnExyYqEguIFP18ls/5c6rX6SPGg3DnmT66khljyo5SqH/M2mH6GjVc57UpolNXRDXow6jc
pm3Kj1C2KL9bB8/BitKDvQ7Ea3MTxvb0gaddZ8ev2d2qrSStaHcZAZV+nty1kc9OrFH48cZ0MJF5
a0Zguso/TJlIDrFS6ZUdj8mhsHz3mkAUClga8fi5tY/cq9QjQTKLINtwODlrZtHQ7Wx+zlgqTJ58
UM6EJasbba7UJh/qcNcvCnvkQN7GUjxXrRKkgzd6dAwB363BMWjrJPGrfZmGoLMpy+jYl8tG1rDb
KwCFsElLFN6sYFHg491F9NMlaNFfqn7yihsjSzsryJlpWWeCa9m9jxUTrzUhVR2WVBBd6kvDBzDd
Gr6W7p24KvhACMrPfSlr+aAmGMmCzhwFb3876B2xSsEwuKaL+dVq5XTikgAb2FY/+uLWv5rk/1EQ
eBULLFDXKJZ2oeY2D4RlyH9Q8hHr+bOWzlsUtOhqXXZldHd+HcMwK5nS3DKma9Dc9gZAcAwZEf2k
LBBGodCK3szC2o2pebQye8s0YGvHRuC5WJAHRXxwH3CqO9KANjhc/kFH+atO7sd3c0zdWCSi6Hh/
0VEWBrkfemhO13XdXrs1e8Vwn4z/QOz7u4OQ77AIgoWv/2UOZdMhpegdp+vEhC7Jfw7Qm9Kt/iVa
/L/J5T+2JBFa/7YlmecYdJLuz518+vLLP/qjK+m5/4ldwETnSS4EJthFzf1HK983/hPVswPg0f9X
J5+G5f/rSyL01gmT8yC8oVPVl27in1r5jksDnmCgPwJy/41RJnLzn39DGBlMVLf8johGo2Po/yK8
TZyE9o3RxUfZGMy9pxrhMtE5zqlmzEedI1HALT7A+zprmnzVA82hNzZ6ttxEHQXkvsUDH669KneO
SrkiDPKxWti3ui4vjLkKsTNS2uWXDF74cwOq1F6PtYWFfsamgbzB7BBfTIUHMhYGlLkaCl2JVQhy
ANIzgy/CWVp1UIbqBemhFendsO7aYIQaG6+tqQqPXRfWI846rfkgmtX95L1MQjeGqgBzCj17hAs9
cR+ebdobrJfCvPLNnqBuv3DOE0zMVTEOd11ualu3M3gds5HTMb87RnJfp+l8kbHeX0M5L+6KlBTz
gDBCInpTbyG5lLYeUe2l9V1u1+OOj2/oiFTzPpoc/2jWLQKp2NvJxCRdPK6SCtWcjeSrizMu5mRm
xkbaYbMVvWs+5z4UqwS++71hSifwY/EWjTMG9WomPUFZ1u1gpu1hZHqCPdq8jR1MWXbpwMueEyos
TKy3lqvB7y2nO1tnT2vnOSznWrrxpxOa9U64lbWmg5WdjKIAQeDIBl8Yizr5TEl0Ztsprqe4hEnF
HmS40qegMSugcXVbfE9Hx0eDKeZtZyfemkZYd2c6/qfN/JemjkHOrRYDdUOkvopt9ewLDUAXHUq0
TfZxnEj8ctGl3acts1JL+vJkATu7TToMRHUGXcu04ne7cqYNL40Tral5AxGHrpMZCt7ktXYZK1nc
521GVnKGQt20MsSQXBEkPNkFLhmUDZkNa5R03WMmVbgSnSmvZzC9m1raZmDYfFNNTtFGH8PoQTEn
KlY59LNhnZYVlTZCMVJ069o4WXGjH2d9+Mr5+5uI2IgLCc4IlmYZ+ncuvp+LZ+LwB6ec0n6PlLpG
SNeTjsYbJdNltVPaUN7pYDzAYwz9FfpIcZphj9SthYiPx/5cSUu90ge0k0Dr+/go0tjY1ALxMcX+
KDZNlk07Nu6IXpvh5AACJ4LIOY8oi1zclyUqncpLESRK9l0lEFr2iPW4kbj/VkNIwouj+ieNN0Lc
qTsvmfVtCLNmRE3aNeXLPA3pbWy1N1qfPxlzSwRGLu7Ye+RB6dWfXe26hyKtnoAuM/Yyu7cCBuI2
Qyo0r4vEPOFTgwG13Kn5CyYM1hGjrxnQ6c9i8HFDzn64r6dRO0/MOYNwqKNNqotXFsPuxqwLudXo
iq/zLEI7gef6STgM7GSK8awIWx3ymMnPSju6bNlWRGW+jm7YBINbtDviE002vkeC3a76Ardg08Mv
K4EghZQQpFeBqxHFhl4ueqWpTrYZ1D08mml3h6Ywv9SeHR1GYMIrpoXWASysvBQyV7uyz0w00DVK
pkyifmrH49xa0wESQJjBxemmyyTw3zOv32vkTV3TtI4RSlK/iEm/Z2whcn/TGNTFtxDzrIIUaQRV
rfdRNQTQOI7yH1J2hVthohSIvSS8nS0vuYFv/E4mB90aaIwY7Yx3px5t+GlYAt+6llNeRq4b6HPm
KcpLSnCQNjSuohwaiMjZ38X57cyyu4rlMqOscBGs3XJ+UwMG/TFkfR4HnsFklvObP0sUXEWiN/dN
K+9LHVVfxJT0pipigc3GZ196G5FHfLBgEHRMSwSbvdxGHdeptDpAQwjpuoOuJVKg9O/61P1eV/Rv
I1Ma2yn2ckKOPSSeK82hrKrBswA6FAkjWgrnwabZD3FAA8ARq61n9vDq4kbyEy9pZ8rhKSbZzRD7
eSx/sCzigXeL1nxmWkpWSyzSAfJ+TFF+k7XgGVdpJb19NtAAuZKidS6SF/a91Yb8RLKJR49O1Wi/
dCQPHGNVIOPD9mR/9Dz9ydpAIksfVgtdgZi0du+aXANGFxp6e6xM3UPnir++99MS6FXTH0BhRDdg
8fN7wg2xYYPidXfo6HlwfTXFr7UnOpSootgbSRS/e+z6QXR6Ld7waO4FaSQtyntX1LTD1DSEh7Gm
0p2scYRUIZV2qVnav0M3YGuOYWs692PX3c4QUPUNBiKKZ2WUIL1Se8BAIKQaniEaNO9NqyevvJOj
EsX/cO4sVdyE8Mq/kzc6YD/PQ+uOrKnxWUPhd13o7sGlQPmGxMb5sonuSVZJbDUDSIUxDyKfQsfG
IVqw2q479g/zZsZCzXgx5CrSqIu9p2Gc7StaU/kXTJo0PBYDTAlS3ZPpEjbCeeI94gdQlKLtwIgT
RI7r1uHayMgdOACAkZ8ZVY1gMYrCJz8rx1vpUvSsijnWbpPU6eqVaRXtazqH2bWV1xG+aWKZ3LXp
F+rgQ7r4En2T3UFkuM/xApAEiF3swMAK7lMW82MFB9PcqMZqwjXCSSLezI6BQjCTaXiuoda8Qtib
vsEFbN48IcZtqaUUuFrkR/5KNrN2bI10vC1t1psVXELtU+gzeeBtCcXF0jygDO5ct3sXcPybH8kS
SKYKh0Nt9Na0SZO0oXXiFulzAwVJrLzK6u9SsWAHNGk1105f5wd+cwkltqnXM4RNKny+uR9Ybqu/
hn4fiqBMIHBvjFHDEJGL5A5Shr5jkOXCkxtK6C6eSHcszzR8bbQPtLZM92qe+uZoIHLHjSzQoo3Q
GHLMXhhZarUGISGCRsdr76QmgMkYRfPK6OqLMXT9pmMSfpVr41Cs3LBCYuam9QF7HdLjIi/b16xN
e5qF0YBrjSTF6iUjIbUMekHliTKrUd8cNlDnUGf6ZJnOh4hi/9GNy+Id4FK1teLFuc4SH+KXGLNK
W09+xorIYFY/JK7unn0l3LfRbvN9jd4tWpuRrchLs2brw52YE/fAsZ4AOsE78ApLClo+jD7LygSq
D+u/Q/M2gIxLrXgGrxE2I2TQ2HiHrWDCT7BhXImwv9h+zygslab+Oig2kEGkTwPPkt5BKi1d48tv
mCsFYeFEqNKqNHxJ/L58nAkT67ZWGcvT0A0zdSU8go1qkVsXrpUd0ii71ZHTvjSlex3N46aKi3EN
BgnR7MBwCUbsRfQ+9B4XcmtEhk1CG602b5ycvaEH4HzXIJWB3dWO4sN3lenQwa2jJxxroMSAKNFc
NjTLmNdGl+g7P4+i6643VTCZKjyYcAF2YMH7jaqtfDvo+nBlMAF0hrb4FqcmzmSSXNxvTkrrGY9G
GW8y5C+PEaqED0dU4XasdPKduJuqW2OEH86xKbNDxDarI3TUpqWTtFEqiDkT6VcNIqtEQsv/ai3O
WVqs6VwxNnrOQ5k/0CCLd3pik/JphMNVy0yHLmzmeKesJagh0tkjFlMEsLTQSAxvm2HvJT4Kn9KM
shcw70a7Ym7MFCBObOgNdW06AVNRdco0oz5OyD+uOMMcyHGSfIYq6YG99v2+qBsQRr5VHpqc6C8z
U8/1zEh7jaWtfccQ4d5aTcNwjPyew4/S7/+q5H+qkpfggN9Vyef3pPz2U4n8r3/xR4m8ZN6TeC8w
my7VsO3TKvmjRCbZXvdwasLbRM/7k3KHutrGAo8OTTe9BZb93xWysFDIEeeB6YH0QSQ//1bs/S8t
FkFQFS44PgfhDsq6X4Hrs4/iiOGq2rNOzIRvzoRV3fzpavyNnvivh4B/jD8cmRxfGWHfz3K6cBpy
LTJ9tR9DmGrKW9GRW3kOl/S/xVL/g6Ms3+JPlsg29CUkD47ilm+d9lbJb729/t8d4hdZtJtUWC9G
DjGoi6tf5mTTqI/fH2L5iD9JDwW5oT8aXYgOSSrgvfXzWTgSowcMsXY/CToGo4b6IUEkXBTNDmHV
P5mh/3JnfhzNNyyE5zaSsl/uDC4z2dsMrvZzRa1PjBOjlwL7Rx7V+eb3J/Z3h0K96fpLGwKh2tLr
/NPt0TvSK9lAc2LweB4kbkOwGKNx1nvqut8f6hcp2o9rSNfHRFIPZ56m1M+HYjahz7RN233ZlsMV
lNRlxkGueSiVRMYti13FNOfffTa4lJiOjIVfYC9RGz8flK6RYcL47fYzFd+Kjj1d8taj0aPxv9+f
32JB/vUZMU1G9QtKAKnsL5cyszSglLXW7tlOMhLOyfmjXPPSQ2bq+G7ztrmtZ0MyYVTxecil/Ifj
L0/FX45vISpd2n0sTb88NXMk8GlluJ08gicDp+QEnWZ6/P1JLifx60GwOOserTuWyF8zPyUuWjYU
Zrvv4cLs8H0ygYlcK7zOTR1V+GyiwqEODyrKx+3vD/13zw/bN9sEofJDavzzrfRtIQ12Be2eeOE5
qC27pyQBGbN2wcrTu4io2OeYl/bvD4sEbHlIfj5pxq64zs3Fvm8A0fj5yF2u1TD7m3Zva2X7Wblg
dAMAXmbgTqw6Nol1d5CowiXZNAQnrg9b2VncghQ69CzHaZfU8GnMWFlgF1SXbtrevVBLjzaYWonu
oIVnXNF+2GCHG+nShOF9Qg8nXrnFkD7MmYchPHXTU+eMLnVp/VZA/U09rwvyygAlTy8K8FlM+8I3
iE3Fgw3SkmTorBnIQk3a6uS0Q3qIIeucdE85rxqcfIN22Ryf9UZzTkTRzWuFczWIyZw99RFl8yqT
FNvsbIergfrnkX1OvonrmPGg23w6ZuEew6RgHqk146bDs7ATZncFtKF/lOUsLmS4GjttcPOgQnl5
EIVOkMVgiC3SHFx2sjbOnp6RBm0Bd2MRGu/w5fIhmddfudC9gkp5Jrx16vIz2E9ehSnLblQN8SVM
x+nT74v5MiqIPmsnBHLrjinHS9S3qXTCl7imibdBYKMeIXnbFlwg41vbSoJb7U7037VG0MiVMPGf
kEiihZNOLy7jqPNBywW2BSPf2Tb7VdHj/3Vm28FlEvaUn6HVkxmJGiK0S7de8/2ytW/37nrIU+2a
uLRvoHMp7ed++EqVfBTK/OZT775K00ZLM2gJBhvJIB6PNc6NmB9SOYlvqq+wQ8dIy/dpw4qR5jU3
wQ7ppmGrZ3Qu+R7kOGTHwre7p2R59JnQuqeCff65JmohsBA37IYORt2UM+mPSgucVFu3qAk8fVfh
EQd07+AA8RmKBx4FULpWuRcRcCnMvTIcDmAqZ900ab+jOQ4mysYpm1VquO/rkD9mvMuD4SX2hdzo
apmYZkdGDWIFqHIIRt8XN57P5UT5aISbAkzEQvtzrzGwp+khNR2sKDkzUardhNYtwT3GnRjC6DIv
aZSEdGbA8abEvjFzI4W7FBGDK9rwI2SKQIlsauG1Ofl0djKEpMNKGCW9mDAUN8BMzc0Sf7am/BdH
quTmqtFc484o1AJYr53bULO0XbeY9VzSAa4mYTNHbtSFlGosMJJWEyzAxjEPTdtDAB1kDv00icOP
XlJB+/VU9RThg7aDiO19F2mGxTxCzt9p3XRqMYZ9xPgcg2hoBAQ+ujCB1vU+MwV/uR4hFNCNoeQX
BCuuZDfKPIijWoeYaMz7glnNFZWVeNBlpshG9AyaM5pt7Dy3bHc2epYXD/DiWxna8UUvGn0/JibQ
YzHAuUiQilmrAiT0p0EOybFBnnJNs2Z6b5Htnssh8m8ksogHLPqIQDvmy6BaDfsEGXu+hfqltlHd
erfUaOX7zLD60s5YjCVxIdcS3d6VId353DW+fQJzW+6Mxob2OffOfU0ncdOrWe2bSfPGta2bHKAx
lsUrN6l6W6Vjc1/Ile4KlK69STyrwnY06d9F4vQg1/MKcGk7pl+2cuBHjixCiGMJosEthd3Mt7f1
XHe7Hqh4selqCIRsKEVAMk1zyidnSXMGI/qgzCLEkzHmfKYdwsRLfRftnVuqI982ejAxrR7nbG5O
dmrO69wOE7xbDjAItKapfwCtjcYrTZ0NdbJ/sNG0g+qTVUDDU9u1McBWTgBNxNqzoEJQIEB7n9v2
oMFp4DQabyY1PtQCgIg4YU3UFWu6R1wHiY5oZeLsui3ZBHxgfepZxsbskiNsRdyEHLxnFXijN6WQ
YLlkDZhwSlyYnFsz8uyTWYIJmaokx0VNvM17l1XGR++WizPOT6Dd+UP+NHdMDHxDz44//twsHfue
1irSJBkRr6Bsd7qZAHXc0Jbqg9HLqjngGVZc3d7bCCOi5fTjkAlaI7YOnRjXA42rbkXcrP4Blbd7
RvnfbUY75k9Fa2lBkjjzmdZgymQpMu9EKcNXKMfV05gUxa73h3Jn2wrrvTJ03tV6sZ7ASqx1OWRH
pxreiY/tD57reED4CZjceGGmL693zDRzO177MDYozWNbC1rgAmcnkyM0cUQhqxku6L7SfPg5Xm1Y
h9a0cCjq3lgc0abIDLyG0w8bkSq173HAtytYt2qPfMi5N2Snv/SAHi6J6Lh18PsTRO0EErh4+1GU
1AOHTbIpPBJB0q3wa8PudhvtgQ7yNNFL49Z7ljKuKkaChyG34i/f4K+zPHXui9axT6FR+bvIQUVj
NlDV+fVr3o5CtKW7rWVPk5/4u7JsnHu/cbTAFjDNvb4vdxE2iXW7vOw634CxmbrydnIQXlgGBJbK
7yzaE468tZgNvBtFw9Ck5gF3QpEdFU/0mlyHPiiEXn5LeYcfzE7vHrrMUU88SNEtYc4RKMHBZ2hA
k8gRnY8isC53Xms5Lz21aE/InonJAnTAvO7Qt+1MopBv+z5TF6Xp47exDLXHYmmrqr5PAR5qzh/3
KcM39X0GJAL30Zq2uqiNazvJtYcozFhk0FgdUVgPgWbL5BUUvkdix8g8Rh/sZ2uYxfPYauI5tev5
mjcVXtAm1kjOSbSNRgT03mXedybZob2jwQXbs8WMTfcHt+Ny1Xu7gBUKHvHGzPStXpYVL74uPSE3
NZhXxdUShoHYmwdxK+0KiVADILT0kY0Wc28FdVOg2Gx1xoyEwMzHAd7HTUh37GAQ+pKRTM2zrDxD
XXxNeOwrPHFSXiKv3a6ENQOxcG2IfmxWNq7OGxCHxYHOuQOcMhx3PXxce+UlvAwZMnP7VaPOIDHV
2Wg6ulKEpCKfA3fIEmgYd7GWfLTZDB40xqtqIte/cQFhoo2yB8bEXT0/MemzmQKrKQ3UMHdb18ho
ofoYW4bMTW+YUGrbwTKzoxgK+5SCn72FSKAFIR2xm8bteHXTIO13blNpkKyBN2UbOlUhDU6DbjDv
pvHg/whbJjigPk89er516ZbVw1DJcgv3mpCLpHS7EzCe/qaJ1LhuBxD3UZyr8zzRK2tCZ9papoGa
Dwmq9tDpZGOsUd2yYxYWzpGRZUOPOn6ayHzSleqWpCRvRDLXQI7c9UaZP+kDjxNZL2yr/cT40CMx
n0XRdBsxTfoH0enmsJJJZa000YXHuOOHmRi2iYlhUpc2c92jM4k58Pq5RaGPGhB11FjDoPWdUa76
sWKlKxlcXMik4jevWaRdQDN25INAX90ze4jHK8IO0nXIn96mFvk1q0o14b4zUvjTS5oTkGCsEih5
ljO6cWNprtGvxaBOEoDXQ1Lc089sA2amJTG2sbajtsfMZAFVfIMV4SGPLpt7a1xUVVminaJwvB3q
2V0hCIzXU6p98xp4SoYoX6whN1Y544krTiODyl6xctpR1249r52CKo/MXRgmgJTZl+BpttthnZNi
EbBDjI81ubpr8N23Zg0RH7Vr8Um63men7BtpdtbWlNMSCWY0By9mNO+q5GGq4E20nhbtWa3QNkN0
MHRkuVFIeedn3otWEikBxQF+WLIEQ2HfBiJrQezUvV4Dvl+LIHdrzrf8EQwF+YK5RF3CdEYOVcbR
OhujMnCSHCV6ZY3QvVUav0UD8Io/EqIGZIII/n9OiIIcfIpTp77FD12/kPIBsx/e0Wun1cNnPbrO
Pa1cEnZzr84OjI0UEm4/24k8HvZajExyg3RM3AoPuGuKc+C+RnMZjAXzlbWULTQfcpsD6eICC1uU
2zlyre3YZHTj9Dw5Rqkxgw/vkX60qjihYrP2KluyyjdThYuj3noDcUinrvxge2+8SsrxswF0CXSS
ieVlhCKogRgfpttQzfBe5thfQhu6bY+FfGMWmDiwsmox0IuWu7iRof0hYtFM6zFW841Y4qZKu6+2
QzK3r1BZIYNLIzavZ2g/r1kO3AzlYPkMSVYPV005WE/68oZ0jKLG1OXFe1mWwwk4sTiDv++fy96y
97JvpmNuR+MJDXn2SXgJ/GswtkteTx/ejm5dfBWdq6/xDBGu9P9DqIzMFFdEutFd0SiwmbOUglq3
E0Mwa714tErYSqRhGBkcoDEmlWb+BmvDezErtwyQViPsiHK1eOxSMMHFvGKPp3gVEg/AgBAxxMaZ
W1ayNE/3iB0Qlziuzu3lbXucqSqYelhqNZGJEnW12nRJ8aDlyYssexparPIreraArPyZotion1sr
tZhD5HQvUEE1A7B6v99VvlM8VFlRXfUqNw8tGdwl+3myriOLQT5weBQP3aQVe8olR/s29wyt4QPb
B2NwvKdeQzlO3elhIpbTytSS8DG3tP6KlyKD8rZN38mQrh7TJmte6gF5zK4GdmkAlG2SbDdWNhrO
jOEWxVRfXgQSw3LdoTt+y1oHgeFAhNFxNIdv0eRNTE0hs0nfK08WO9vPstYdtE0LQFfLriHC5EiY
LC3f9ZlL9im36opcpgk4WFP31zQCo+uUzdAqFXnaYSezm3MbOYwt29S84/f/1ZfkfAy80/wVwktk
pWGP2B+a7i04GeqOKI+fJJoaXlyuERiEu1wwPFQftMHeRNpNb2KW9wrqhNi6Dsoo4BBkZTWKlb3W
LBQEyzzbd6d+HcdNi24ox94UMupy4kHfqhFehM0Tv9e8Suzi2HHRsjhIpxHguoe48KlNUzP6sGf0
tFiXlgwSLdp6kXQfKHV4nzDqelt0wrCD/WchsVrohKbu+JQ/grNEIr7c3GtvgGLOH5EKseZlk0e2
AFFAZ5/Z+g6ZDFes8kj0ilIG4ZrPRbFC99kdY/GQjJj10iHhB9v6YO/A6cAZRK5kMzvtCXO7pQZ5
YkHObmStnGPTOAgBpt4J6rwM3ysfDFPeTh5tQiu9dmTI1HFBlK1MBMJ72TEvjcapvCtVx/za1Og3
L8kB3lxcwkRzbl2G1xuihcBqxaP13Ygwi1TpRMTGkCDlxah0U9o41HM7w8tbp8DFl3mxNrymeLvC
OOt2BcttgDAOgxMkpguIemefT/WwrkDb7ObRygmSiIhexngW+P5IEmI+PEQDKifp6s7Riqp510/t
W+yX7j7F5LImO10ymXe1PWrl8YqtnHucRMHQMGoy9r9V+X3o0zEBkVd/WE1av3YenllKgCbOPio9
TfWTUQ/hCWhXuqFbMvGwdebDYBLPuUZua/vXSY4wbl2R8ygxO2Lf2jYlbeS1F7f+dTm3+UNZ+IyP
ybLcxUkXbWpaWA+O2X2TEhOvrtiqtI3VHnU1fbo2VYOdm8ANbZsiqRlnFA9ZeoBGbgSUE3vNNNMj
v3/7xS2cpyJib0wIV7RnV5hvaHd8dmYybCp9Xvy7vF/nadoP0nl3KUFACF7ZrX5hDwXBw6VNpA2e
8QlzfTqJyrYCpyEPTc/K9gbG9X4EPP89diz71ibV89JJ/3sjhfYU8dN7NE23jTd2V2Gk9VsZbtBJ
kEGEJ24HrW8IzATrMTaQkYEyHYDfN0L/2gU1mTqB21qGUwCyGH39eVRgdWStuMgE98Rn5kcc0Y9Q
aNU+cqhufZdG/u8P93eTCWjuqFAF6H/j1yjuqG10Q/NmDtf19gOj8R0VgGQY6+q73x/p10zsH5MJ
xKimYBvOxEX/xSRPguIfTW3ApdNn96NJP4fDF0gXudK63DjTV9J3jqf095hh8L7H9Po/6N5bCynD
EdBvvb9MD1yrV5AV273lRuJiDxUtPViW/3CUv7uo3MKlhw3V0Pw1/VsgeBpEwQzmxzhkROS3RkUh
MSql9T/cv78bR0CZphCyaM1hvvn5cckkITBzPjFZwum/MafqzfGqt9/fuX86xi/THUb0wOFGnhF4
dWeF/1N4xeX3h/jbh4Pnj5xeHkUb3vHP50F2rTe1Zt/u/4u982iOG0nX9V+ZuHt0wCTcjTibsqii
NyJFbRBUS4I3CZvArz8P2N1zpSIveXTWs5iJmJ6WUAASmZ95v+etOcAuol43j3g/Ui0fxuRzjCPn
VpaDfhU11FoRGONCF6KSev9HvP70gDjY1FH5/nzyl5MGhLDr3tIqXwaRgeyvqzpnPRqZRDSTygNs
hN+2xF5svl0EkmympuGefnuS2MqbaksGRcmshXCmGzc23A/2k9dr0aKHbhs29Z1FqW6ePNjI6BiV
y2WQdFG/bmsmd6t6YMSPgub7j++NK3ETDGwIx7At4Z4sE2Yrk3kCrRywteGlo7VnqJnu6yZ9eP86
b7wmwxUMX/Cu2LleYBw/NVMZ8IW32QBNwg8J48RnzB8YninXiQw/QA2br5uN1i+XOmk2kqg6CIW4
VD+AGRYlrpZ4XEMKVv7AcOxQzp8wsCr2NkXQZiMFJT69keGTQ9y67WZEWCktoL3ZkksXTHoVVI/n
7Gh7aX3sLAUqZIznizAnGGQK3Vr1ESVjgqsO5CEYsKOL/9jliD3wvpx6J8cZwsVn0UnmD250waec
9N5oZVLc1/kADLA/J59fns+a5Zc9z7SNu0cfm7FLRvluGS1Knou5d499zsxTk4dPjVpwWtlE4qQA
fjjFNrFpzxiYUqzN/lPBdPa6g2NbVkCWR+9iDvEfLqpMbtsMf1rcwlzMlVIEwNEIFL0ZTPeopRo8
S1GJgAbXuOk6z4ThnKUb8nj3PMN+mBfsh2vFfr3xo3E9uxEWQtyhz9MysdJC1aR/BfhbfnBove6G
ApxZ6OXMn73Qmn79ehwJbnlyZBlQEH+Wqntm/vtKWNrOKipcrsbqgy3o9TckGHXiazU4o2j/nnyt
djyV0mKUPuhkvDzYS4YIDmNX/qVm+lP937chd6/XNZdBI8DqtliL/sllhMIQsFF+GdAuuanrBNfl
0ftTZp8Ity5Ivda9bX6JmvL8/S/Xevu6bEU8Ub5f52SZ+XUhi3q0y6CopvlzvFgDolnUbmjpokwn
OyQ+lcBTt102yE1eUg5DaN/QYWdi2qafZaejdrD0HoVxJ3DEogS6Atm7R91ArOanX9FKVqtRUfTK
3DnaMA3p7JPBnTeREd4h0wdSO9vwq7pUoIab62ib8nuwLKy/0900rlMPqXitRujEtsE/L2Z7Hbdd
unU113yQmIF88CreeuMOWCOg/PRHrYVr+HO8l+itXZTZUAZ69zwhkFlNo77PjG74YGW9PsQZN/p/
1zn1MxjqocgrfywDz8YBvYydBegcb99/wa+35uUiIORtiLOG452coLo060qiKA2IrBDN2hhO6eZj
leFWyADuB8qqNy/mmabHpBQSrtNYzmlqCtBwYKk0OcVKq+Bti3pHrZOuQZd88Pje2ggczjYDOJqJ
8GP5MT8dOvk0WQwsdGXQpM2N2brOGj7AY5U337sEhVLsfPAkjbfWhUv46GPNI0z3NBiZ2zrn+eZl
kKo8Rs9gGsgpIaDgbSU2laXFgahlt1a1b90meggwJKJ9F+GJdOFFXraDJTN9cml+04gMIyz13n/T
b/48shNDR4JHxnKyg4wqbDUUzUUwyvq75UcPsTncQYH+6Lm/eR3XYwDSQKL1SgnTMq0aow4tAnC0
9XHKu+dy0nAK7pv792/oteSGb3Ah3zHgx3+5J9+hhRmbHVJlDDq6o3FLMXcsb5rKPkJ6usoreV/k
/tn7l3xrAf90yVNqWDoLpulsvQhwFtxHffXdFzltHJzuqo9mSV8sNn4V19CWNhgqRFdJ2nP6+TMv
LBjHdgu2GXP60sV4tyW+sx5ySAiVgR+phvfKumBH3iZy6appxlKDbChv+UP7KJjHewzlIo036c2h
36CjHnfNXTQDJfPKPF8XYevtlDt6D57NrrlyypbSgNaqzZwVeTBX5g99hPXjVh74VP1LynQ/wrt6
i4Xv98QbRgYErGTbF5N5V9NeQEKMC9TvPnHLBGuKIJMUlDR++cp/+orDYpCoqibCnFRrscH1rQNB
nAoixsqrlQqtMXj/gq9XFbQfd/mEfVSsfCm/XlBWYhhAtQAI8zro4klVbGXUAPC3anj0HgiemHbK
vUj86IPF9frDgdtObQhWAm/8lZayQaOuxb1TBpSup8+DMxpfJD3ce/C56fffvklEWyQX1C+XsZeT
XR+tAzWkqedUHxo6nYNBY57ubrvR0rI54KfBQGGLaGbCIpxG3PsXf+M+KZMQxeg2ike0Y78+YZgo
PaXksgxaKDt7OZb3EYTqBeTffLB4Xl9JLDmH4SIYdv1XA+nUdduITyUPOB8ecUMZN6aneoJiy/og
6nxjYyBnY87eJS8Ed3hyT/WCZIrwEkQr1DMw6dBMsdKrcbSdHcXkb7/7AIVucWMmgS7KkNOdPEpy
XHNyyW3ZhRVo9VQSQE30adt8mQ14/2Jv3ZlFpYJM30akcpqNSvReRB7LdqCJ+9jSHuXsfUuVdR+N
zgclhTdObN1Cbutwa2SLp6F0YcUJzBjEVVadM3hTbv3KzhmUGSDJl8OR1sNHxaW3r+hTWfIXPfup
f5vG6BfTbFxRGsMx8+tnPO/vrQWdBZEhX8W9+UE8/daKpI5mvRQRuOJJUGITXDld6GaB1vecjUMg
RHaFneAHl1m+35OzAxYDklds6SgmnAqlB09XCYNOWTBopgYIrRSHWpHgvr80Xm+VeKaRExjszIQ9
p6chrnqKCV0jCxq8JFZUb9d52v9wS+cmlR0iGQ/npqn6YJc0Xye+XJWNA3Qu9B/n9FMLi7nzkbNm
gQ9ddjXmGIytyzqbL5SP8mYuEaa0k89kr1YJBpKBhdS0snV33ykZHXK0IbuRKsc82fLWx0diE9U1
uf6S5UObsc+QujqffHN0gggHww9+/ZsvxsMChQa/R6B4svEiM4pzupUMVDHWvU0nPz1qit7F+y/m
zVXGmISLK4yJpdbJGVYIyTESVXlQYuYDq24I9My499zuoyLEW8vMh33MEeTgDHGy69luji+zLNmI
VG0hTgvjg3L0j4zd3tqBmB9ivMCjxs6z+/W8mFPdVFGvZQgCWzA7LseUsvtuS3z5dUjF7xfFiOFt
bKp40RDqT5MUr0ucARFlRik4/LY8uyZxboomfHz/Hb318UCZwewPqi03dvLsVJuVgAn4ePLE9q6z
yaBtHtrfaKBWuyayvT/HvE5hnTrtB0fVW3secSWxM4fv6xom7RAd29UhC6LIvOpK7XlOo12dPmBV
c8cm88HV3lrwVDFJ+PAL8F6lfDn36Dp1mwV1BBKvcGz3ZjRTbfP+w8Qw4PWGx0N0TY4ji6mlk33V
703V27TRAvwq9AeQs9VOY4AIEzBryOm3u+On1MBDrq86wPVTmV3aYCv2MWOL23mqHcQiKcBaCQ4v
Hz00Vn2fflSsPrVUpJ1C3R+q8vJlWjbxz68LuYE0hoNdwWmjBK2/Tj4b3cJJs7yWeUvvsVc0G9w6
pjFZWslDNg7tIfSrLzEqLdydu2M9ghCkKeTDYdMg/sTcx/sP8o3niE6FEBTjO2z/Tg/E3OU3JIpw
eyxnfNWNbqcz5FqFOZq06fn9a72xEBf31iWuYACFqPvXx2Eak64LrISDOTS+6fQPNoWtP7cTGbTr
l+mWEaDugwjjjY/OoIzl6FwNIvvp8Ts0OVPbUcXtpfZnCBva2kSJR2+yWZyhJ/lJNqPcoLAagt+/
V8NgOoMGEwHi6U4pNB8JsddWwVIhlA6ULzBmN0wZ4XqURQ/AUKLfj9u44FLVN2HdsJWdPF0HBUEr
ZBVoeoQBkTGgNCqt7maUlAAKh7r4+3f4xpnD9YihLA42gsWTLxBIBFZEYFEDNURMZIlm3OiykhsL
lfv/5lK+7lse/Bw09CcHQu2KpCvAGASGX5XXdi4hi7mdc5b0hvHB9vXWGrX4oJaxwmWC6WSNDshc
S0DL5CpFf9+T9to27CwQOIxdyxuvL7vfTo7YwHwdg1rDpIJ9+gEaiv652c5lMIN7XenueNuAbqwp
639woTc2ZkPQO7AW32SmMpf3+VNiXc9Yh+ohKSCs48dIqb03y/sPloTF33EShv5yjZM1AcIsSwX0
5oAhHWPFZDDQZru1b83eCVdhjoNSwqz3yh5xn2+dNPpUjY2LABD9Re/BYx2NHoVzmaDeEApVq2UY
DG9PeYDBUHOchYhvTKb9meUewqeQ4uK+aBFckt1Oa6Tt4SG2PYavdIUrmNGgvwdHZNzOfoGAsjTa
bFcVLTCPQYY+CZSKrlJQsDsE5cmqzJLmKgbUszeadjrkDIFfDlZcXAzQQgOPOfmkwj+NJ5ztClo/
jEcj/g0QHOOWMs41hJXYZgAgG8+hUybrMQEe+v7jfWtt+sukLjER+ctpAzaHrNjiesNSqQEydbMB
5Ek82rV9RpL12CXT+MF399bhsIxnMDHokp2dnl81lPhJ8vSCRPoa4pi+qXczx+XGwmsmhKyIMPW3
b5GWxzJt7DOI8+o48p3JKzrTyoPMj8Q2biYHyjCvdMK9/DFtjDlAh/T1/Wu+6DVOVi3aG6wJXgxV
XyUYEQ7ndGbzIsDv0l8DpHTuRGwA2rQm+yyu8vyhNgtvkwokWy86ZS8G2VP0c7ft0BLttXFEMvvB
j3oj60GVQJi4FLTdV4dlpOy5DgeKne0comezIMKiSrN2mIu1QGIda8VKQT5l51s/amIY022G/FoY
H0Rai1XU6Te9zIUjx1gcT8RpbgFdJHKKLimYW04taimLuDmx8vkGgWVpn/G63EOXIklkzqJdRTlZ
p6EV9FHBHAzXozXquwkfy8+x4Es1u1n/zHdUwpBkSTE2ke1Q9gBB7+PvE4pMqtnDVjhpvEUwKDaN
VnZB7EgX5kzvbrzozKwy6w6fBnVFRZNJFKgQ82Ps4dOc6+6TvvCO338Tb90/JTNm0N2lQ38aaRKf
g5lePEzdPFN3MfO5AUzh5DEB7vDBB/7WpVBfojVgGp2K+sk5R5VKymKp2PuVFW9q6S0jParOjn6c
R4/v39bLeztd9Uu6aHHc0SE4jRdKzcn7sUjomw42DtkdDWMmPmZsAGDtDpvSzY0zo9LD605BUTRN
LboxO81fC3gw+7rU/4Nv+Nf/yHcFszSHj//fKIFXTvdXzfeoKn/mN/z9R/5tvOL8AVQLvCGHgoWY
icjvH7cibO5t56XqCz+BOJ+WyT+IQ+ePlz1vYR4s9E6Txfg34lAs1ivgCFGK0M8Rzu+5FTGZ/OsO
QvGG5Ic6KdVEy2atnaRBWdtzKkLCukYhYKX+mm9cyVUTZc6VH9ZC3AhHsqlVuV42u/Av59txccHN
wqEa1aWk7V+D1l76ZF2SddYtkKvF98v2Bg1fEwekyYpJCTJcGLjjdYfS/xu68ZFQg6kUSttA/xfj
hN6ooN1WsQkSH42ziLY4wabHIi2NH1ZUYmbht9L7qi3oV+UwDepmCxO/igD3UFi5BZQd7qMZdix2
SuDPIawvp4TT9ytpYrGymvO6sVezJTT6etpXb0HTFguktlxwtYh/k0OyIGzVArN1B7v/AmLc3Aq9
9mHPlk5827ywcNsFizugLfU3+DQXzdaqueOVx5HjbVuZ1xvkt3jWhdkuGpJo3VGb/ZqMQ/epHZw4
vbRNpSH9rt2rhEmeEXdkFSfrnNndNTOeMYhvH3kMnV+ChjvXZuBqw5uYPodTBU8fskwPeDKM7qg3
Eim1FRgoDpgY900nxC1mVOozwZ1h7x2h9Jfp2q3vsKuvdZxmjR2xOXp9JJL149QolAuRTOnqu6hL
tbZEoazZHsraIpxhKWcj46tWvgCYUgZFFqAvvLxNardts3Fyd3rq+kk619yJqa/NbCgUpDzIz4ne
43CrQ+3FQCT+AR2PiGEBRreJ6HdjZDkbW6JG7avYvZEzrphM0GXRxpy66iZbYNRTJcIVI6TGjbag
qsuhcI6hAJa5zBo438bahw7JR4NRz0K7jicQbahzmbYxkNlq9bnAL2u60Mted+sj0oXRqxmALlvP
2/IgRL3GQaSsr0Um4+qA4a8BKt9KJjhhwOccDKmLVpyPIZUh/GBKkgOIzLgriU0x8/Ru+hYZMQrc
wb0r6hL5r6spv37Im8FFZ1G1i9WhT2Td6HCD15ZSi+jdBPV0TBmi988drJy/FRJS1jrNXeZOcxTT
2vlgJxHWoJ6qLlvNS84hvcVnTliOzzCpQYJm7ci0Akjr6aAihmCR3mPXtdJyZzG9YHSNXpkOZX7V
GRN4/5FZtC7Qm8LdlVGSXFNOMOZ1LAckBVUTMsBahTB/cc+dkm5DF68f8beoh+F8npNebkxNWOsq
5m1uUEAMBpxujfQ81UqfQb1ST9p1wxive8F01niZtzbS68ztN3GEDIcVJ5jFSd3a2+Sam1xqVZUj
Xw/DPIbKpTvNBmef8bOZtBVzmFSEj0Jvb2fVpUyw9dqf2uyXfFOaUyGaBrxqX3aV1c471D1Ft4v6
qfqswkpnVmfqma1lEr/aC3ic5Z5/iHuQT4TSBexE052Qi2MxwRSmv0mem84+h9U/Htw0tA5WVTc/
UMt+spmQOLcSu53vhoxBrGDMGCw5NOGkNl6tgb5sWx1NVmreiHLkewyFD0gxfUmceuQ4TO6m+1lZ
3jFFFox/w4gn+7kyxurMtcheN1wp22NEAxTBiEIA1ryrirlmOMvmLKwbGkj6sLP6ON84fmqeVQ5e
ApaXYl6rgUyPNyJWxn09i2SjW7nJe8byIP3aSDd9TvVO+wQhdXhqdTU026YSgm9NKOYa0tnCu9nR
ukPD/PY6t3oGKpy4jZoz/gVBvZMOdg753IEttkJEXMDcbDVI6PDXgMwzGTvlAoBmjzjNbB2AdLbT
RBbOWfXAaECD4VHYQa3qVpVd9OIC9++eSeAyzO+NKbIesFl8FCxhJvJaNHDA83UzwMPEvXHsxNhE
mORsOhPzb8pNrr4t587c5pqN9rdSo7oFXyku88Lsh1XRuIVxge8Hk5bd7KR7T1bWZ9mpz2TODILg
qYfduZHgirsGldBhdD6kClfoxWJ6nowWVG0FjALXGBXdGGoIG8y2RT7NTLhDd1hc1wUDDuER9Obo
XQovM/4KJv+Dw/oAh2Vaxvvx1OX38V9PVZP9ElH99Yf+jqjAXiHHpb0L/3lhRi+S7X+IWP4fUE1M
sdQSPThBP0dUmNzSGaPb51DzRRxI7eifiEqHQu1T+F9IRjbMH/t3zOxepQmEdHwP5Mm6jVD+tJNg
DEi9dT2qDrDtiFSyMrKvrGasL19y859Czeu/8oF/MQJxjeqoa//r/5zEbsJbwkffoIy95H6vylMD
Fqiz9Izy4FojK3uYjMu0t/yHiSdwLikObN+/3lKl/CUrwVsTZphJUEqN6lXdtAE7y1auc73C4Ase
9RrT6lTNxmXHMPWh7ELH2lrKM+7R2Jof1K9eFVhsZh5IdKl5OHTRTlMiqemtqnBbOMxN130jh20d
LDcG75wDTd0yleTj465/dMtvPGIEvSjaIQi/UXLskC42o+cWh6Yw1DUTi923ATTlvPKTRl1HOtSz
95/xqwvSwKXSziICcY674vL//1QJTHVN1Wbb+EGshZwZeHoRR3T+tvAs7YsVDs7T+9d73QcBBkc1
lXkkmnkUdk7yWrgwuC+HCj5PpQjiKQa25tU8S53xnFGUbP99Ylx6OV1rd8qMWznY5UNZ1+64jp2M
WbDIbd3bbjIZcm6ImodVXcctLA5ffZ5M74NVAKvudBG6VKDMpWHG23zdTWdiyovSousD26Xucq+h
cgrP2ijX5S7CcXRTyMgYj0YVT3lESmIb93yD063m501ggoh2jknrWczT1zbIw5YIFXEBa6kNzeqs
YHj+UiXMcx4H3cTSvWwG47LANK9Yy4y59w2jghH+dU2y2MuYs7erbWVcao2rNdve1auzWpvUrQGT
4zpMfEy88IGr7K/eQIS1cZqZMWEvk2Z61li2unbYJRxgI0PmB6k+aI9pHvvhrWzIWIg6UgmxmDl4
DWcLc44NPBPhMUMoxvgpVRed8AdxA8ZoPGcMMk/WDvreFeav2Bu9bATNVPCdwv5U19rYqWs/k423
VqGsn/rUrJ/mRrcONFiJidQw1E804IZrvW0JWH05L4mWnvrb1GjsZ6/R1W3V5IYJET6sn6y4U7ea
1FBEdb23SebEfsYq1CwP5eSrJ6fqAIdTtqoQAIS2uu1Fw53C7ECnRslGrv0yCR/MNMNVvvdG+znv
eY7ePPDcGmHc9z4vbfak/wBqyH52NEfdEhn7W2mNWElOVdJ5a19pWNu0Q6hu/1qrcRphZhtbydhf
4ILWfsvTClYG0LX6yWSmvt2345DPa436c3xk6iApDpnUZNGtqEF6PbhWM36Mh9F/8Gr2002X9SDt
ikmwTobSEc/QG+oniDh8/LLwz33Y4A91XhBsijJhZais1tYiUtVZw6BdTmBdqeu+n+pxMzhL7srX
XT8p8NsFeJVslruhb5ZwKIYP0sdpwqhuvdzryOzdyosqSGLL8xfA9tZW75FGAQzY4H8WtzglQUx9
+Xe6MCwxJtVT9o05DjTu9SZ2u2EzRr6/62XLAgZA4zF3l401alBwRGdGO+j1eiCjwOMDfyP4YK7R
WKuOglu/6nKcYC47pkFrsBBFZqo7eNV6E8EKUkyh5iBhVlg88QfKPDH0w2h0LryCqNDK+NhSDdD2
k96n40ZSxQ1vayCzqHiYXkQCEjOpfW7O/vSEuh6rmgk8FxSBdk6ux0kzx8eWxx/v27Ic9q0ZlyNw
nozclKLCutKzhCx1sHnO7X1thfFWJRN5M4PTO9/K1xJm9mG0pNjVXmpd2qCwCQTHIGSIDGpYpe6d
osfyq4Yk4ZjahPMfZlgt00OfkQRJxiYmZ9Xh7nClOXF3O8YSC/cOaPSXTmS+YH21o7WO/ESdDa6G
bMirIqjyulnlK72aL72mj77Jlm3TKRL3WCYxNol66WPCOIvp3Chx3luxdttqRbs/2Zf13H3zk1iO
m1bDBW/D4vaP0Hjxo/TF0PorRizCB6tsqQUYpCl4QZM5NPK5NNz0kj6JLQI5WmzZSAxYdI0+sKSm
zG6/xQb/Y8W+rG455ljLJhO3SeBoIaf03CT7qe3qJ5ve9wNEQFzw3MgrcLkYBkUiFocP8MQNTB6N
+gnzLZXj7jk+q8qLHlLbYcOszOweZk5KA2Dmw/In28Jmr01wprKsg1cvo8i+H5YbjtHq3rGL7Zyk
5QbjJxHtDKvwbIZaZ91/RLFtfCkaTaN9EoveO8C4nq1xbdSt2sEGb4DxUC/9OkeD7dCHyo65X4fn
o1ZH1zBU4kPk+ffUT+RD3jXPU0FFgSVoPLSF32/SnucEZZd93q6N5OhXtfml10KyXXjX+kXtj+4d
1ERsu5IBU1ur1zCiHKWx5rvEFyCsGm/nl2Z5pRZxw24W5kMRg7erVIs2fCjwnhSTKRlzzYVNimKF
5SVWROJrblj8+zUnVvMJwqgZfvW9EVK4lHVY7WYPXtIKqm8vQF1k2jnuuD2PrsAyYO7s6POEJC5I
ROmB7LB0XCy7ZO8a5JDryQzbJ/juxCJ1Z5O1jom2zoyB1yp9v9kmeSvYLEQeNZc0u6fDZKUeHhCT
/9AUVVpsKBm03/Q89c+Z6Gd7g7/DopEQxW7bCAxBpLRlKfXU3jZRXBmX6PbYS6VjsqenPn/PYPJr
nC72z9uRV7POc599EBggv8n16Hgl9ZKFx1nJElRWRNEjr5NiE5kZ+30zMOAZYyu7HoCD0Deh0XHu
13jZph4aB0DuJpuW5UKkYmKfb8lmRHPvglsPqoYLW+EsnueJvsf6ZQt044Vo5ULZYOmPeh5fd2PJ
JF1fj9Rx+l7f41M2MzLVae23EvhMvTKshhVhztJ+dnPOR+Au7NMFKgQM+mSFo0Xe0XY4JhMpyv6v
n2WUILj3EqwH9ShN4/hyG3Z7mTdNMEw9FCKQZ/cF5pxbA4O56WiOJlruVT8VQl0YDnDItd741dNo
yjq+Mm3Sz21CCQns1DBzybJJJpd5tjpvOS2cDqPCVR4jp8lXo6cD3lpHWBgf+6zF6TGR9nSHean9
5MQGG+vUaOn5WDcKx8ycFJ8jw4juRxfXFfbN3DkXMwIX9kXXuMOdWT/Wfaz96BrJBHo/4n7BbybK
STTXf4C0wrLAcJ6TXDIJhBZTcjxFjSqzXeMKuACRSpYnKiveeG5PHOs98+ccmA1b1V24vNE0tXhN
fcGKy1teo2ZIsgbI3DokSbtFNr/NPTvUH2DwoAPnORFa3jlWovV3A0hbaH/JGEexd5tnaPk4qmp/
tmqORjkluwkWTWR8Sj2i5Wivxs5e0SlSmPfiKZHoWFOsw7xINt1IT3R0cMwrNJ8YBHdvHfZIE19a
BerIRIunLf+RGyVsulXpXF/w+uUtPJz4kA2x9llpfnKE6hWCB6fsJmiGBhED6BRjXW1Hu8bmPqSz
wdgqRirgn4mpDbGutm5gWiUbq4n6naFHxqaZjWLVKCUP1QAcNOpy47YUbDErwhAsBIYmAQZORNI5
RfZDS4S984YqDPy5wiK3k9hv8gWOVI7KH7DBf2j5dOUrMR5Y1wQGvdSv/K7Wr+wCzPoAzcxppyJA
kSW3xMbhnXL6aZdyiG5SGY9bJcSV0Dtxocy+vOFtcy6XKj9y8oG5LBa748W7xSsc3A/yi54ZMJB/
8XSlY8L3qdac/qmpTOuyGqiqrBktJoBUEhRNzpD/cG0Vxi2RHygsDZie7YT20bIGCtQrTKVTKmal
O4oQuEQ6f7elwwsBPRllO9u2RurzzLUtcmptqNdYKQKxn3qobexHOjsE5xW7YZdWZ700tYNjTbK+
aLOcRVrE7DZUcVmR87D0w+Gux+31hNtJsh4Iuzfvp1FLlvRLaszoCwkHrRQTQdMrAeE8mKnPiVcH
tf0S9A8KT7tmCXzfv86r7IduJ1PeCwmbzj+J26/pIaQnnGqrrg7ycoHA9QwK3kssGPIV3FkAqmJJ
XV62w/ev+yr157qIGlA4kpm+ln2SkudWWqk6gEXqPHdaAUC4BT25w1SP/asqyunWcWL2YjksUe77
V1+Gh06eLo1XsmI+cH7EqZxpalOqJ4aDUgzrFSiBXmPee8uuiyMOu32HmhF5Tt2QliyRN+QCNveX
n/Cfit0HFTsUSSY1rv9/B/T+e1l+b9vv338u2f39p/7xeTP+QErqUrMRS3Xtn3Kdr/+BMSHjjib8
DwtBMZ3WvxuglvOH49EA8EjyBRrBpQzyd7nOEn9A+KOlutDAUY1SsPgNjzfhvpJFIXd0DJ/ZFItm
KtWlX78oFxMjLWaG9YAJTGvUe6yUYIsvw8mY03eF7hkrfOjM8ZzBL8ydWjltjFZZezcK3UAWIlmF
dtgWWxOtyGUrhXOvMj2DFaYDIAOuiMtvQ+k9ctTngk1fbibmO579qDSA5un5uvftkYwFRQ0+tt/6
su4Og9VGezspweZQK2BSEuU89I8e0o2OnzHyOBIHX7U7O5bFOi89QoOUXggTjd5z2bTFATshfHkT
Z9e3JItg0oFhpUl0BTzPC8opye/N2BqwPwIyHCG2dKrPMYY/e3PQ5mM7IOMnSHOcr/SGatCgBTRc
yu5RdFE1E+6iaeedQ4zRb3ugE5syd2+G3vAv9NSSOFZH0Rf2WsJ+KxuC2e2HTQZbAPWv3uwbNyyD
MSHabazppqor99AQVu/AQYGz6QfjqnT9Y1RmG7tS2bXmhZw/2H2ujGn0QMuTMvWZtO8oXJTbUQp9
DatQYIan2kPfzloQarNxZNRAO+YtMKDMlLS7OFw2bapXF9KJ3XgrPY22L8Kge4MIdYtk0z2HFWfv
gUEWO5MpZf7Wdr6pB7O9cBMtXGW9ee+oQv05Zb2zbceUbNPN2ps5C/mLJiffOZTPQECq6VYkqfu1
DxWmKtMXvUjavVFbKQgEsHeE0OHD4OF0l6ah840+YzZdwC9NLyKbFjUcuAX3rLpii2n3sElizwta
p2l2RN3JZtINc0vhm9l/D/ZvQ+3hq9eU449onPzdrJfKW8sQ7CTfDY37aWzz8ymtP8W9gU+sQjOs
Me1Duj7b+oVWZcOZp3FMVbTjIYn6cb0F5oJTkRl6m3jOvCOMwfIKqGd1wfb7KVZa3UEfFBJhd5Xd
qEpiAQO9+cosGuIdmThgkXNBawX9TeEGvcbw3K5pM2JEvxdZtp57NR5pz+zS0qRTM6vG2sWi9tam
gdsUCEwTahl+VesSOCGEKUFPbQ2OsyAZ44wlYolcckfiIGXOxbWm2QyeULWM+xIymGM+V7l0w3MJ
ADc+q4380Uka97aobHxWPUM7tEkvQnOfd1ZKx3Vgntv/k5RcJtsonOYrqk/tddubXvGnj2H6fC4A
N5dwnz7ZtbKuG4RQDZr0zL0XYZtu/aYHvJaX/nGsXHPxgGrzieqBU9/WSitSYrRpiIJauFnzycxH
gWORDUMJf0V8CSsqA/gWtxoJR4phOxslz70Y6nkXOmnpcKpGof40Uxbo1nqtRZdycgv3EayHKXHO
hsl2Uyq/D7+locTNMJlRouOpFdN0FVu9r+5YuXa28vyiHwExCQDgaliCIx3Xrq+uFuLU5kGFqXC0
ykdtVXk9VL+/ylEhki5xAct4KQtQKc0MGA+rSp8W1mjckc+VcgQV3LmCKQmryyCwKvql7iTdcjNo
YAzpQKMX2ZZ2xiVn0lC0AEoni0CkUZDt5lTLdBzo4GeL5RDPaAuvIPnS4yyiJLVWA4aI1RWJpFkh
sutlbHVnWT7a+oZBEI26s3KjrR6XzpUiUdjZYuR/6vmQrhqbZ7x2GDG/RxFpnjWO1jarrGokHsOF
P+5TBMYX2DvBpUkQuAlsJjd2losOBofl7nvDjPelO3j7Km6y69LMzwG1GZiaGXZ1rmI7PgupgO+q
sRMQpEFRLX3QpMaUu+xpyQI7O3ouQGwNJyq+1ZT9K3KSLWp32Be6C0QcxylE9YiLDXw6bW3laGV5
SQpb3XpwIS872khPdhqClgcVcMZUgrXKZWNsMiWifdd0c4serM/1FSLb6U85ya+cUc3l0lcgJlsa
y0OieytTlzpDxka4o5TrfbKpmN0ImpscDmV+yKnd/zd759Uct5G14V8EF3K4HUweDjMp0TcoUgEZ
jdQAGr/+ezCydiXan1S+39oq2WubxADT6D7nvOlG9D79i6b040Dv8mnGZ+FWRQZm+W58YOuM0KWm
+sfcM9I1wxT/ZTCaSTAPM2uM15vp5BEofmbE6uONNpEuNqrszwQk8Og0CLGZhW57rbJXU6/PWYjh
HHyhbLBsBFfRfAvInTHSDHZdUdVPsydIknMHCdG3mndYnjkwT4wRy5IOJsGIC/cNShosWNvJ9E8p
iqcNLDpnXbdMykeu/zAFuNiaRpqsYjNKbkGzcaOckxwb6SDeudzAFgUM3ozGaCdsjbP9EWofPReZ
cPXr4OPRZHi48A8S7Y9DIN4mJ79z73aN9YGA03pjBgKnNpLptwxrcbEj7O8618fmmTTK5izbvr3F
oSS4osWuwjmpsqs8mZDWWslwnQtnDh0c0ffFPCAottMrZSdIw4XUr6PICPglnUslUM54u/tCD0Vp
6dfdBN8hTHnzbx3Mlnd4YbSvWK6HTefma9Lx+ru2c6ZyZZe+eyiDLoBDk8wnI8vF24ij3aqeSn2T
K6ETrxB/iKAzhZgh6hQPHjMrTVmb1Mxbf4WbGXaUkb6x27g+O2mqnyytY0bF6U9zrGHBhwTVZs5t
9E+aKXHsgQjTdSub0WKwGLp0A27oYQOWh8GsD22xis2ePnjRWGMg5xooZnnvfeYQvNTt0K9FBHZg
Tj41hZ1kjI6gtXK6tXmAl/ngqsR7IJoBsXfBbJnswMfOVXX6TYzyv/r+d/U9aDnF9f9f3z/1r8lP
pf23H/jOb9QDAqV0usNFebqk5vynvDcM+w+014gZEDEtBEd62e/8RhM0nhPjAt5/r+u9P3BPQoyL
QtxZZJL/Coa/wJY/tIw0x4iYdJzI2PFgj79vlMkUTROhfHUOqlmb89Afa6W2pQuyU5aA1flEgkE4
xHF96hy7+2wolZJEDGynmqrdtw2MHdxYpttMStDX1JjuE6Wc25I3nxJKFFMawQiDQS3xii7R8ETj
veapqWIGFgwA9k9JNAVlvZclvDk3HgcC3Eii0G4CEuDLo8AJBTU/LnjC/2rVnkrlnggQiDuH2JOw
Vw6RN2kZIJXfDA/1wEN+0CrqjA0+46a9iTOin088S9uCp0e5qXNZNr1ad3lNTN55XEtUf9+WdhnK
sUivo7JMdo1nzla4hI9gPmlCmoJRteemxLqYpfY2JmX66Gd224SQjTJqPDhXU9scZnhp20RE8hVC
QrqiyaDyTfMW0JGyP8QkHaI+gNzsmdWRHBqkVfEKaulkbsYRUcfJJHsFP6KMhIHrJM4H7TCNYlTr
PNdi9aAhuZz1tR7n6B8ju3ZMb2dCjJS7IdKJq9wzOiNhk30IZ6N8uncLMurONQRAuh8cNE2zHL7p
dv+3I/xmR0ATZ8EC/v93hBukYz/uCH/9wPdmX//jotfVTQzRjMCx6Or/4uf49h90+ujg0KW5AWIk
Np7vOwK0ZljIboClFhsSP/bfht//AwKujlMdfeiyafj/puH/mzGQBxkbtgPd+OLmx0ji534/GrUY
3qfjHBjR1dHazOb8Pinq6Ii0Z0Ai73QfIEITONHSphgY9Rx9LGBfAih1Tw7hzy8IILoPtJ8dQi3d
/A394/2cjU+3qPfhY7OZouKGpvQj/SNAaRUZY2AfssEWrySITLcNJe5V5UwL9pIWakfQ6bAYEWIK
/8O3+A90Ipw138/ZoC1BrUHLqeNyg1/Bz1ePErOoXZk2B8hvH8smstg4ZBqc86AVS2YqfTLJv9QO
lnK902QH6ZORtemf04xAFSk4EUv1rKxjTKO+yV2Jr3PRynwDQOBizugT5jpJzzlEY9lf0RUT9qzX
NhQJufCIysAIQTvLm8RU4NIeWFao+w1psSP451pKIoqhWSdas7LgV6wGyuwX0pnxugf/w5rfhzAD
HAfvsZD3Cf45W8Lgq2Gl9RaOTjGwWEKmUJKFVmrrH7S2xSyQXk5Oc1uE9tzQhSCPrq5b6MigAdoI
tIHb+15pJVE+2mxBgobvvJo9NvMVTkNJWCdVEpbmpD5W2YKbaiRiXDljFsH1UP0HOOkeujq9GHVK
q2QiLQdv171PzARp0IW7m4h1CjXijLsVEtkGDwQtQ4kKf3udxY3+UgjdXQsIke3aT6ZgM0qrTbcD
JCu1SnmVID7hd7iKmgaHjNlO+kcDSvWGvmyUh8AnBnXNeKW/n1Lpk+ZsjV20ShkCbGFwISypoj4H
S3Hc2tA2djxbpwoh4riK49QcVxhUkVvUztA+a+K7986A0oR2B3L06DgfcdP1N4njVrfYAk9bykwT
1jSO6Cu77TOIQTqZ1xglt9u2H+kpClPbzVh6f24wu9rmeroN+mFY86YGByh95f0MRQP2gZDZcc58
YhaIq3qFxVDv51KfN0FR93uVtgICsNnHFIqZSZJSM8CNCIem6nZ0WsaJTn86wgIHMCfYde+T/kZE
t+ckX2wOohtDGBNJhVi9f8F5CE4B8B++iozbaOCNGAcuNcyOtXK91s3WvHsPgO2wCGSeSgC2DEPL
8cFoy3SqV/S6iAwiK2piMq8iwsr8us8/V1kSpah22mxn6mL8nMOLNwDOibxNVnVVD/qSUtSmrwNM
5HofVINt3sCoj46znK1DoVvZ8HHh+QRXyjHF6wwAI8MokND1PaPR+k9VJLNi3QYQoUO3F3a66WVb
aRvI3OoMbwXn1073emMjGeilD8oSSpEa3oDkaREm6CtRtWW8biVMlj/tYMSvNceguVqB31eLmyEJ
NzMTGY6CvrpqkzGt141uideOMJkD6s2CpT4xOVCg1vcUIctmCEmehM60uslm6V2bUjRBqBFKDQd+
uTeVRMztotkYN43TRd0qGewOZaRLam6bDnx6jIdIaBLTvE/FiOF25ICSDku4T+DAMl4nIy/yptPl
pMG2mOQbUnGpnxFzO/p1QKa8hF1Ti9e2KwJaQg2r/stWHnDnSWgvao4epBBoVOsHaF7m/Fx0lrbE
TIzWjM51ikzsNtecBIZ6daRs9fro0/zylxwejc06YgBC9yOMeRw+VvFUpOTfaE71KlXPVEq1c3cS
7exeN8ySgd/EILTtKPs0W9laW+8a3yxuVEWg3soVJG+g08ymO4zQzRtbCF4sqsripkVGXYZV7ArS
htQwHCbh9eZKH/qkvCohmzF05BOwdsvaPlRQQ+mzm3bCT95yIrmuutb7UxuqkWTklD4qLBDfGGvh
uwqT9ET5CGQbb3wRhiauE1cF5dp3cfCKqOLJNKZmy8dOvHX0eMRzuQcS0zJnB0dkvMNG1SrWWm6T
GOMnfkNCtp+WAykRGIzaTCy2htTzM9PliJB7wlqvEuyVH81cTsRsJ9L55MCjwjnEMhLmJ/kmM4WG
wTyg7RUm/+JElklyJb25xYS+8YvDhO2Ws/GnFvK9VvQHPKxmb8UC0h5zzhnciKxAre2gASgEWvZM
WHBd568k8TzZShFApQiusxS73+BmLbmDcxw6sWNvp4gNvyut7sPlHP1f4fibwpGjy/6lWO7Da5eA
WvQ/C+b++rHvDaVB4jEWulhpkasFiZuu8a/ykWrtj28auosg7nvlSAO60EAXtiwhtJd68zuz2/kD
ozoDiw8SXXln+XT/AioCqPoBhIRsDQEYzwiqVoAp3L7eFUcoyxqpddK9K4einMMqneRdC5XRXWF3
2v3GM/znOvByMerURUceYAeNv/XPlVjsTHbhJb19l2iqfqlsYT4qQi6e87RnjoqbSf0Sw9J+DYas
3f+6DPzHSy9OxgvRGgv/dxBzquXG1AvDvgNi4tJBi/RkUCPzHU+6jG/9iUkw0i54LF00s5v++vLL
r/9v477cOWadJug21Qlf3PvLm1YaE3hVWHdFuRDofW0Aw9d7OdfHVCyXm0omRb++5jsbq78uylKB
VoxAwXvvfkI8WSTjOjDv4ByZjxXT1oNZupAzkXXC71z4VXbKSbGShkQNCQjff3ZrWG6FBiktbNjL
d7UXZ9O+09o42sxodV8hXXdNGDmDbpyGOoJNms4CpB6iGzPuCVsZ6zc4+c/sgG+3gX8srHEcK5bh
x8+rxh99S+KSYN5h1cBakQWeiQUxL1u/QzRUpPh/TQsp8NdP72d0/q+rBrweHkMgeOTvFoyr6V42
Oa1xl1GxP1YUHEwZquSrnk3N3YWd79g1KWteQGl44Wz8+vp/fzE9bE4wVwPdYN28f1c4nCrkp5Nx
940kvLwwilrpNh4a4zeOPAb72fvVaRHCs5hRcUHsGn9+wgQVkTijS+MOy0n4z5T/+XYgI7SACWt1
n9GO2q+D7i5vpw6zDSoTL8slIC8Dk/zN1/1PN45hCLslFZb1t1VrkmYaNHqk38m+4SWxvagQVyaY
9UB9S9Tarx/zP70kC4bPe8n/aNbfdc5GnempZg3mHeQuUooUIWrfmM5y4b2XbWYfrKGDCtekrHIy
bY3rcggm0lwyQxtXRjaLk+bCK40bhwYrx8PxCqPqYHNhyyfJAP+1UhlvmePj6I+wXpfF9tc38c6b
6rJYPSYTwP0cFczO3r0iWRFH0leBQYhMhmRg9qDtXdYNoGv90ralFiJJZN9TPMALiy9OZ6j1uNg1
+/rCp09zPON28zjDEjTgun6+cON//Tn/YRf0GKZC8bH5sI7+7mNqkLEG7EuMO2f2eCAXQjm0z/rF
0CHuQjb83cpmvPrzyl7MLDDFwg4LAQrci3dXLPvYzPRcdXcjbMuT05fOK0Lk5Q8LDqfUrem2tVzo
klEawfjRhywBcQF4fkhpjTCHqFT/2SIr8TbT2QF0jZcgxd7gipZenC6PCO0khxfQDITRwROni05J
g+F2IDFmkebJ3/kTcgfvb4s74Xu2WLk4iEAo+fmFnf088BpUvXdIT1UY1Gpu15mnZTdgxKrfVwNk
fxSqQ9avTQdKLLhZGSXbALFytiqWeXWoppo5bWYOG70k4m64SGoTt5OEDWLCQqwfDJAZOeYcwEJK
Rg1WXBmTLecJQad8UenioJh0a2ZmvBnZIuHlCFjUvBlVq+3X1Z1cdL5+V2ZX2JmIa0JPPLgUooWI
X5uF9tFQXk7vqopPet4Z64I6IFmZap6Jdp6G5LNyhHKPJLRV67Tn/D7qAX6kBOVl9TJBAnGdLnJk
e1EmO8ximhVUUq1+llUBRZ+0KO8huKRzNxni/1VrDg08ZidG7RsQodPSZ5r+W6MVKEgqstjy/Qzu
ZC6EYeJbTciY2oEoSvvKjCXsq3ogaRwWz4MaB0OGnj3E7Z02WqisM6evHKArE1oLPL26vvXismhD
kLuEbL6MEX2cSI7dnDXiKUmV7gqEVg0sa/zmCyvYeKRy8OnQErx2gU2ZUPnsNpSAbMTDIp/oUrJj
VsrrINRGVqWFfhcVYJD4z3pXDH1yyclsJAaa8PmbQhzmInJx1xLNFUJuROQkRy+K8jqd/IMdp8k1
Ip3+E+MmVwAtJvpOT2knAovMqNa0GXIEZAM2on4ZdX3+aHR+ejQHH90wdcAbsnYBRN90O8x1oi0z
ePEnOJ3zEUDYgVNdJ59ZKNOXWEbEwM1JXK2XVMk6TCICV8HinHVpeEPIwip1CwlGNU3+StFgrXzR
f7YbctUmRvT1I/L9ND8NOG/m9hGD96B89AZE0gELoFDCW5deiTRx1SPr9d0cbUwQmfzVgKfs1CHm
B5oBG0Rpirw6lK8BwYXJ4Fp83Bw/YnjRqvS3qPEofmb4jSLPedKVNoiTHmM+yG6v2a8Nwl4MAAjp
UqsSQ6In1A58YyrqORQwg0eQ4S1k8UCwV6SKVYnqntjKrV01/A6wdkauMEeAFwwiMFYpOp5Q11t/
PQYjy6uKO776fGDLTu34Tnr+3IezQqATORhsE9NNvYqChd2oRFx0kQeOptl97hAXHFwJMVmz2Yc8
uwTdaVF4MMxJOj8sMb6FRt04fDg6DvRcEL2e8dXx17kqxSmvcvOx0Z3lPyI/46rvITsAehL7xGQs
YKhiGD3/JJ5RK0JhoPAxdZ1/MHu5yLe+w8NpTU5q9DUW/0WbGNk17BW2mAsBPr6oijwx3f+lVdfY
US97JDWcfxU5HKJe1rT7SPjd5yZYHuXC7XjsOrnMP5ZPW0oJtwL9y3QrKDtNhnKpuqXh52/zwrXb
m6rMWywn0bbhWmFcDzaVoTJH43EwUI3SOKt7mdJuWESrPMJCmG6Re0GNv0hKlMmzN0rFTfFKcqU8
GbrP5L5O99nyd0NLEvYqzqg+9XxAOlbAhQet6z7XC0m+CeLmJctLqt8p7dT9pVCY8waq/IVcekGC
M+zqX9pFwgrOn33G14Z8QAi21gHSkX7NWE4LXREBjbdFLq5YRnx35vJpK4G6DUOBFkdrPpGe6RTh
glnUxjHy+iUiiSXFlMxErxfhvPPqdjMTqkG4BFzCpOWTD/zMgLMIJmSEs5PgG14KHLmUKvmc9Z+/
NT8XqqnK0P+vob7bTJC1vEE/wwQd5oyj/KukdGzmlyjydxw7fMDahDVHOnZFIi5i9Oit0BIuXl1e
IQxHs2k7ALZRBnHyYMcw3vn2iIgt6PiO6sinuOP/BmRxtJvKdtjbxNKqMFhMd4YyKAyAQw8u3/R1
1VnegdsRJ2vQ3PtUSUIltaTg0w4yXfKuOHH7ZXk6VWFc63HGyZQTct9ussGbbm0cwOW5HmOSEkoC
w6nSXLT8TI9m39qAB/NhmM8xpCFykj8NP3iehtR7JHCewOe+0VFoXAQjRVI4r0nJ7HU11SX3f9kE
8sKa7lWKHUdYwMG5wv4EM/mAN6x2l8uXI/q+bHnrix7tUUa85ylY1HCU+80eaIJvlfkZxhIc5DyH
kRL0IimEmk4mvIrd1xY7y1OuFyXkzHRGfRgjwLlq245PclmJ9pQZ3WlM2QIcA17FhtwqNh87buLu
NmAYOB58YpzBJhqbrckUEVlTZHw/p/084TNAO9ptZrdfNCS+pAYyIUw9IMJzXi2smB9NzacHCDLa
EPuiirYWorZl4v+4Yp8PYLCnQf3ixjXVe2OMCDSXO+QkokZeLPiAH1BoXRreGaHTy0ygxCNJtOZj
ytatr0Za2kdJGO6jgC1rbfqlSpsBHaCDL0Toy7GpZp0VVRcaPhd+wr3PTh1cVaavIRI1S4bAkk5m
eWptPUzBOhsNZqDt8nESl7vI08h+rWXP+0oSLgHOecVrBcwTrT1rtqCYEoLAQC5mO0oh34ff6NdJ
1zJFJ3wCj/cKfPo+SRd5+Ig9CkN8B22tQy6hcz+1IxPnCnLcIsvUF6XjsrPwXwfP1cIXKwppI9IU
mthA3x2LYzm4/HQhE7N5MHSTuJ0iynnQ83K44Oy37H0TtrY7EaMyY+IOyk9Lbvf0K/BoxOnyAL7t
RUvjPixS2MvG2sYeJ85l7UbxYlIx9XW7n7xUvWFvF91d1qdtymiXMQjYDVVj52dP+iwRX5ftHh3h
cExiBZHm24Iox9L/WntDPoTlonfC0T/YFAuhLgb8e7ysCpekpnmVmxESJzSkuNhV6PidZdqQd8tw
2iXHp1r1TsVOpOZcCz2Alm7XOovOKl1uSMMrrMbTzSHiyh75d4pCiJBfwzSuDZtbYMkZj07iinFt
FDFvlhc1nDBLxNFW1CwaRAXs9lZq3JB7hPlKMrOodc0AMOhHNu3LDmjnfU6GbeTxsPtIW45vqG3w
hz3kX+FyAFUrrD4UFjJDz6Yg4naIto3mI0erLqqwTPa8ZlajuG5cq+n+m7K2plV7DhZpWuzE3LdU
mKaTdmD3Gs5+7WRgKarVeLIwa572vRyq5MZYCL2HavH0+CZ3dDCLnjn5BatdN6K5fewdSRESa3nw
fCEaVpA4uV8vGG9taXoP0p/KG9hjn9Dao51DHrhn8A7DepEWjHmcfY0tCMeeCXvZcmmpw0FYvMAT
xyPcL04klY5z2DPyDKhQlPucZ1jWOynuzbigjPO002RmEfTOEB9ynOjBPKbyAG0sO1t2Zxghp2Z5
oLOf9pUBXzgs6ro6R8ISX4OpoF5wTewyobqwwtrOxGBqmrpePzbL5n/E/Y9BJJbr1FTSFnQwBaQ+
TZhMYZiyocUogLsf4szk62nLmj+bwOAhWQ5R60wAx5VvkX0Iu4p9qRmocUgeme6bxJ/u8xiNXTE1
hFktXJhLo5wjqzqN1pIIGyRNhT8TOiayoRGL5aagPoAEwyclPorfF0H0e4E2IvIv4iKKwdIfMfly
hhuwCp8jP2IFXRrDWI+r+lgUWc2W17OnCXfyohPzNII1E4GSB8fJw2L5dI33YoBUrO8+m7NCzmzl
IBYsJ2tbuSbnZwvgAeUmZreaFxOKATlOeNk3gyxncww4MDcXio9ZLPVmHQX+VdmCYayxPTIex8mu
SaYmGVn07HttwytEuhVFaqTlR4R2WzdeduZ5FpxA9HbJ3nSS9Is9uHp3cmrJG9cvrGonb4Ir4K+l
wmhQKGmczGVe+dgoeLPuHWjYpn7f0d+Aact2J/pObgvcN3x6ld551fPZeEQMxMjOCdiVmPPwSLwM
I4NVFJl0EqXLweIOyn1MmFiv5wZo7uJG0M7xsh1cSmbycb6iOST8NIDvt43z0vM3rurNLVdOHuEz
T09T4s5Xia3Sp1rG+RqML2B3ptuZtxyI0gMVL3UTH6Bau0XLhRkTbhsYM1mtNe3N2NE+ydpyPmeB
nL8UVJVfYUd1z6M54sBAXWUSlNvpV8bi8lQsfk8oPrB+khcbqKapsmYD6NccHWtKr1MPx4s4c9MP
Zd3HDxhnDlNI4gVEocVcCm9mdR1YdfREtF3+STSK3+RcfKhSbfGkmi/+VIUej0bo9XoLGTj4bprx
P4TnNwgPjpQ+nJH/nxp0JWTapa/V64/8oL9+6js/yIcE5DI2h17CQAYLm/8APAGEQZpOBlG+S5Su
v5jB/oXyWNYfjANx/HB9qAABZor/4QeZ/MKAeSw7mhkwkAn+FcpjLQOh/+IPeIsYEAYJenNgL2Hk
837Kmap2lCI12oNTRR7Gsplm3OtJM599mrmtaDK/R0Pu6W+d5kUIzoP2oMoqOmIJEh07xiahV3jG
FbyNapdfbFUHA8NV7OO0R78uu7WX1E66EZDwQyPJphuj0uSXrDXJSU/i4tk2m57mwE/DmNLzjJEZ
dnqV6Q3rJQo6NGK9HXd9qc170ZTuA4Tz6TdD7p9nj8sTsOF4orWFWU4F8B6ByYCHwa3r+jC1eN7g
B0OclZKMwPp+uS8+9w9L5Pbbs/3RxujnyeO36zF2ZNyJ4Itgw3czdVPDcjLO8/owaq3F4VGQcj6i
yY14Br++0s/4yOVKnKUG7FJgJgOC1bthIPgVAZ1ucRhRTED9ytRCeNB2vhWlD4NZ2DuVZNH9ry/6
D7cHJR0Cm8tiIsNi+fc/OfqY3VhWXXHAOQ3Xa02yJ2Ez4TlrCWqifgOf/dPVHJKIgGIJePhbiE68
uAtUZVYcDH108jM0j3k7uVTzN7IIHn99Z+9Th5eVAmuPi3g48C4WxD/fGhVykZQQeQ5NMhVWaCUI
YNZNUxJpRr2MJ2My3UhEMlcj2/h+LqDybNKOePlff46/3zMDcvzgGZUH/Pk+SKAwOEVLaWWHhiwr
kLVOYbUYR9Fj4NZC/83F/r6GHLjLEEpRH+ICbL6bk6OULyww2OxQG/N8J/y2W/cab3Cd1HlyUFgI
ZGuvCnL/N9f9p5skGRIE2nWxkH6fEkY1OqaxSwpJRfR7vUKj9wjhhVlXleLa8a8eKAIKfj/4M+gz
u6D+3uuYEeBoDEmAISqyrHUzMXte1XqrTrEaradfX+vdfnu5loOfG2CHp9OvvnsnMcZwtVZjDc1q
HuGo0F0ci9QafueV/TNK6Xy7DkZXgcsmw3I1f16r8FbwehJTijuJM2Tracy4KVtV5ioaLOchSemk
VlPbC0Z1bZ1FDPvj5Pzre323dpbPYNCHM4dGMQo1/t3agZiFEtLp+QxDt2hIIGQxKNTic2QpGOGx
76w711K/2c/fYV6XW4f/wI1T23KGvsdAhtgdxBx56SEh9ftDm7nlEda8uq6zKtm1Vo07Ra+JCThH
QcEKo5H+6zC61fTZcBEdfaqHoDzmURXtY10rjwBA/EEE4N2vn84/fU6HL2aR9gbwOd575+WOFY3A
XdqeMC33TSmABXh9RcBXVLhEQFVaVnsr5suet9HgDp31wVT0Y1UUHWQu7FPQBxEpgb51HWhu523d
IRHZWiSBN+x+/Vn/vmoXABjDQAgKuPy9/6h6UPWC6XaK2EZXeZjH/pSHVdf1m19f591bz4qBcsVX
RtjFEqz5/mxMNZOHggDnIEZBW84Ya0lDEM4Jdxfn4dfXer+dXy7mEXbI6Yh34d8ixJRPHgQzMbZz
HBrXsR8Na73AC7jgVdki94pDkn3VyYBj8KKVFX4bwul/82ANsgt4E3+owJaPgXSDmEDytLF3WSyz
fzwwi7bWAJ/MaO/JsVUHr8ASeoU9rFUfYlnPdxpC7jcHimWYprJsV6rG9ou/X/RLNCoObnCATwGm
W7dQZrCl65qsbmmGe8lwKi/nM/Lk6JikjXk/F1b0dZhk8UySxXwG0qXzC5rWffDQsh3B4pzTwHwB
l7FyNO8dmbsPblLrewaexlVS2Uqu9TpdYt1GXPfjyJKrAnrfTdkSSFxESn+bYQ+fOw3kEc+nKvoK
+uLUx6psynkxT43IDDfsbptBjksYpSzJGGhzbR2Fpcn4OIiMT3hEWk+jZdUNIZsDEHU3RfbXYuht
3Gr6yUo2HT4lZ1yVy6PNJG5ttEP6JvHDX4sudr7GxOqZoHaUjSHiLj8mASPAjwQ7PHs32jrFUOXh
luZ7UCTpx7wXvxlb/564RtYbbz+GHLkIuHxdt9qdb3bsnXonvZfZjpz1RCDE2Vt+tnMEH4NRrr1p
0rHDZyUttEcc89WZc6Z4bho13lweb+SO/casEv2utpokP4rZK5JDhEzSOpp6mZwhXJZkxM9JVm+A
ytmtpKFOCB/ZoXxj0v6sRM6KFJCMkbERbbVnAsuzU+BfmBLresJ4LbU/QOIsSBaK9erWyk3EqZnN
7xmTNDm7fR2vu8ZL31odKTC56q2Kd8EMIgEsxqGAm5z1hEQWf1jN5NmWlpm+Fahrtgbeuq+oH5lz
8NIULah4Od85uP32YZ9jDYnkZboB2BqSNalL6Z8FSYOHaTaKZ5KWbBIVl3VYjgJ5ARZpcCQSxlfr
eVqoQUYJxbka8OhdeWU/n5F3Lw4mtF5q1XfDfIdtub4oWalzZNLBqs+4gW6F4niOwo4FttG7pH4F
LtX3WESxep0cMKiNkknsZULH4DpCe3STnAemx7Y6x1qRHXOfvIpZy9cTDPgbqErNts88Yx+Ps9g0
wCmh0kR7F/dJetARnp/GeLTDFM+qNUpW/WxY1XzEf8bdw1GKHuPe2whb5q+NW+VnLMrx4okc7wb/
7F2eAlwzQZoWFNV68X1eu9oud7pQSMxz7KZ1bZpDJpRmCPDQbnFvLkOisYscUbVtPgfpcANTTB0z
I9ji+mXBsk3EEZgJL3BNAq2XYwA+xW3hG9SGSZ4XazX0cmV2GIv3jv3Sep11RlF40069vxog1a8H
5eONjKJ0izv5kxu55UZ1tXkiyQN9Ve6EdV+NO4SJesh4JlklM4OXoMYCDPn8fZeot6A2GZaDC2Ra
aa0BJCsI5oN50HT/Y+N2UQXztS7A7IkqjyQuZKVlH9FCwg83U7i4GInntvs4DNEJ2n/8sa/NGRcv
NR2TomQDtpcaqTTVtZta1hkZcHOHLKo7aoOTr+fZvcq9Rvk1SlC8UYJ82UTi7kuj5/VeGSJjFh8t
zFzGtBkmmbYwVpEWe1fSKfhAorAtfTXga/nkzLa1nXBNwhMRCvapN4zmhkLJTtajy36Re3rx1KKu
fZKmPj4o0L8KHUbtx8zbZ3UmPt7awJX3tkyNySgt0/YwFe50SBiic1Gq6HMb6/c+cO29Nyq1sWYp
N8v546wmUQ+EdtdNedv13hx6vGnFAVk7pYCZiyhsFbVI7k+chZXbIUHzUrYiXAJjO+JE8OLA2+O5
Nm8l6484SVVtg1m3d3IcMH5va7O86fT+2SvmZm2M6cKennEdiAv8nta9m9vZFk1+edKQCm+rLHdu
IZ13W9eT8Yc+i8cTPLt1n0bjMRul3jPtH4M/LUwoopVTmfh2DeyTB7iTydFqqNtBhsh+noeShZlR
O9AiFNpdoVoPb8n2YyV8Zwu5ZHiRWL197e0JNwy3MsxHs3S8D9M4B/NOdzB4U3JE7SEk9Vg1Nft6
noPrSWvchYmqQkuIxSep8QhbGIN9AFOzx7Retl9qQnc39ZipY9NbZ6+09XMQtSOgJXoVKAAVJUyF
8N0rgrsiarCwQtVg0fxnic2YojUetVRj+tAXwZEvNXiYHAlRPomKfsH+7U/TrHd3Xq8xNUCJAXOl
MWE+sASwMgAqj2JnN3oaPhl+P2xGP7Wf4BqJ27jvrFUZGdkBs1PzzBPEKqscEHVExm5wHBZ2UJ2R
jelhVAYmppuFs3eYdF4FcQx6Xs/OQ+Q0xhqqFtNFfa63BVDwq+y5JTaaJhy6MbVCoEAk3nnk+Ltk
QM+/qkYDjJpo9+dKn1B36L640eeIsj+whLuqO6CajcqJLWWQOhQ7UC/vxcldhjiiiU8TNAuxjiK7
OCgtUF962vGr3hrlXW9rMDOsmtjvUMsrzvRFXxEiFHGu6djrHRNYjwbAEMcCi37err4+j1lZ3Nau
09+A8k97q+mSIEwDf1+iTTqMfqWtiIX2T6KZonMmK39nx0P5lleN524wRGs+2LHTbF03y7/C+0kj
iAC1OGiwijZ1VrTPXlf/iWHTtEixgKoDZzaLhb47vCLAykY2gU47xDUJPRyuOnptJHJrGyHHCRMF
hs8i2/CNp5u8ND+NWlCvU1lH+Qo77W5TxbE6e4EUbyjeSQaeSJQE8kG5lljzTjkqWmOh3t8a+tC9
ZW3Ont2QDsQYO8D5FOmO7eGt+9TrsvK6T65Nr7jS7WpKvkJ+bsI+hcTDi90DjFi99hUPl+o8ObV5
nY6OfNLiaHiz29R/iWXQ/h97Z7ZlJ3Jt7SfCg6Dn3B3YXe7spJSUSumGkWqSHgIImuDp/4+tso9S
VS4N/9e+sD3KKu2GHQSx1przm/DEmtCodou5Brh1XF1Xfh3TEWlOhucA44PTRbKIN33USuR3Zll3
OyMgxp0ZLwaIfC7hMXhIerSl/R1hJXQ1GP9shIzF5lOp5eQ0hXnrzHm1q8qZZ0YLFwgKzziSCsfm
lIHSL7rlJJJZnfEJyXGniBFlO9Nr+i7Ak4QJzrXGKzfEkx8LukOsS8iJcQq/5n1eheYhLFt+Nx4K
R9uUJE0SxfBVUhtRYZAL0Bg1V4GRxecEtXK1dZTM28yXFqxgq19OnmknjxiH7GfDksaL5Y3zDb6g
9L3bAGDAbiyOi7OEH0ST49sY3f4zQS85x0k0QlBLP3AwTvawvE3Ijd2DZz+muEfIcmJ7haTGoqof
TVrukRkYDwBfCXLzmzXGUXhwmLITlaJ07JRmHS0cTnY+TM5INGBjA2pswlacFptw/qWswLrGBnUy
mgLV8qhMSa41rMPozd/BLoRHankn7norPJQ4yeOSABBrqN1Y5JNAmTYegjTEyhFYxg5E0BYcuYhr
7dbHcRXPq+SFs3YMjiRJ4hCudXV0VL686zyLAIMxSG+LZnoxpIlIDmdy5E2TdWaoZ+4HulnnHI8T
SRq0B6xl0tzP/XiUmTK/lEqEjM0cnjochM7O2Dr7Icy7A4qF4cZUC7wHsRxLD54NaNolpqj24A8u
97NnighHp3dye/xIZj0FlCZyV2HN4wHRJm8WvOXoggp5CNTwXfWMvKXRrkfh5W1Ud+HnHiviAXmN
d60kvYM1Na+KeXg72sZz7jmHNskI3RjDOwR659roPs31ej+WyVm13gfZJ7dsuTSMEA9eg6J+gabz
KMLwAcv2ET+pjJuieg7NfD6uJU1KX4Vf0IoO8Qq7cBcawv3QVjnSz9b6soSCg5WRssln1lXl9WqH
sfVQjPJ6yfw5GlPvK+JfJBE1Xe3IhRq0T4Fwflzt9etC1I6H9uDQ+VU+xzrU6UeTdHiSI/ugPDu9
RCmGXCVvc/so1v3U5U8LaJ7TqLIbt/tgBtP4vguQ9GRD/s630+zkz2EZ9900PhlWz5R0ntQJPXF/
w2jNOOGM2m5zECeunftP3uA0x7zuvGA3ZHN/lZMBej/OTB9jRl/Zcmxn7JAYzLHYroLZmJpcoz9k
9fKwWZi/mZ6vjbMhKxo6URkOgQk4y5rtaxXUWypyx5T3TWX12+tZXVk8a5rOM40LkairlFC28ODP
pewjupoOcj+zqMQBoAgZRyXnoZNvI/27w2PgQ1wx2gIjVUjT1BtmSs4yzON+tJJPQVomL0OCfAAG
zMCIgaQwChGSE9DDWEFLWZSy7Mddy/ZCn2mbaeh2TD6NKQVCYnTUGFvENioCYpx4xj0GXaJvDcel
Ss59Y69I9jHvCsPNpz0p35Qdo8+2NA/4/RuxVSciX6bvxWrN94WnxY0pSizTKaTerJyTT4CgaXKn
ji8exOCqvef2VCLpOplfEFd57q3Kpq3kDRVw0syVw8eumTg64KkwjxI26xVne14aeqSxz1oK9J2r
4Zr5AoGQOXvqMzoQa5f3HP8iJ5Nv3H7dCLggyGVaxJAN0KWWMBbywU7OdubSFBgo8gMsyNeXSc3l
/SbpGHuN9+4KfQozm7Kajmiy66fLvxIGtfVgepT9rU+cIN6L9WTZpXweakUNtvQWXQKm6PfzyrEH
Acs261kb711YcjGJ2XORBKvucGkUy2phjLK0QFNK+saASclVydFDH42Qj4i+FcjxiuDTq93hIxRo
vkBe8IrsI+vbgcbLG9i04gksJr96U5p85nnpr+AdEU6wcN5djQznZjkSwA7vQgFw53s5Nb1w6VL2
kfsj0aHqojtyVNuUFmPl97upTOYyyle6IjQv2QxGlIKJ2Ye71plcIEkJZgbWv7kaSO1SSUq1gcS7
LOgoBut12KNNiEQVKloyXaIy5Jlre4A0Dnm36pR554rZvW6LlQnZ6tK8Ssh3v6w7I2/Ww1TwC9gr
uY1VT3ZhhqCKMmlB9cijQSYvBswImiKUWW+rcbsm1ciUTfCP/FbLXYu+5uzRpIyhVK+3FmqZY7u1
4oaxWW99ncz3l/CNFkrtwXNYAcrZFJnA83nBqvDepQjV9mGG/kFWLf38bQa9YLp+qk3+StkgcPab
7U9bxdUS3sKCFbaP1ZYX2qPtw27azQY5isJ1ih0ymfBIzLV4yAyO1zC6QShfGk/CsJKXFWvC9VSw
muyVFy0Wo32mldjYOx7n0wdlLeImFHNynrKkfU4yEyYJrkiJfI9b2LFHZpOzSs4J1I7n0h/wRHaQ
eSINuA95V18lAGURbvCwtTzaX0malpyAk7k5opCzbqhb+o8q3C5vbVbleWy5TIj0rYe5VPCqthvW
GkrSqdZaouTNeetlHKZzpXRyBQaRBTkGxgB8OY1Tk44c9pMCwhi6YzbfL6M7THEmckoPJb82OL3i
kGHecZhwAZvkOR+VSrjZF2alyahDOhZNeFSggPYpcoFbmxb4rSRl4FOPjNJFx7GK6yq1YAPaHpwG
wifh4FL5uDsyw8Kjabs0PxiLBjt3WwWzpDXnSpeWwoXpUAaKmnAOR1YJ0osvCL3lM6NIo42ZxXJP
tz34r5bq9DCa7I/wgZtj6qUGiVJJ8uIn8P1ROm1rsDc1K8+FFoFjd1N92Xo9GSjAdn7gU/YF5LB9
DzzqZBRtYnka2nz5vEyAnKKBA3lPK1Wm+4xjBU9GWXQ3YpiaO3zN4/scJtI3OTnJS94u4XlyUWtH
RMfN904+dwft+hq9VcMKmMIu+VR4Lnbtobd7ZHgtDe4dIpVW/2g//1fo8BuhA+iNbUry74UOH/Ph
a9sM+avoxz/+1j+FDt4/Ln44ZoXultCz0U7+cLKG1j9Q7vwsgviX0MEBgxTYDIrBkzhb8Dsf4592
VougInvri1MDbf7I/4h8+nrKj40rROEA3NWxeTXxJ0CSJcysBNbg/VDVXuJtXI7pp1Vr5F2qR+P9
0wX6izH/X73hNvViUOyaCDy2kcpPc/CSby0tWV8CkYOdmOb8uG42PQ9s9iklh+Y3Y6/Xo5MfX5CA
TK4XPtKAudfr9wsLbx1C5mLXfpt5z8Wmob6ocgd3yn8ztPjVZMS15KfG+4jzksHFr/NS+AhZOpbC
uabp6D7nPp5cyHFosAj8Qz7GVvXolwVCxU2R/vdX9S++JSsJrzQELvzCl5naT1d17spJm0bvXA8W
/jv4NDy54RFsIMkUvejfv5n41f7IF2UFIuhhkIlv5ddJ4tJWQ+3TVb+eW1zLaN0ZjURzYaL6nZSP
LK7Bb5SdAd2i69ZkDA+IvTaOPqAE/BtW8ztT4p+/PkDoLWYrAHZCJNAvs6JCZAj608S5Di5ZRWHd
bdazkv/6/3svqGU4zFnCLJxfFlRa2IQKaO0QAkgkxugQI+AraoJx0w///YV+PV7c1i61IO4/MEUm
S+tXS2uO7Bid3ehcT0n2MljE3qDU/k/to5c3wcl++V92qV9uSBx8DlSJyrkGfQFKO+BsGAUe8TUC
kfHvbN2/DBd/fCXywYTFaJlL+KtzlsmzmFZD2NeFlaMitjdXoKDtRIpXPxA9RAvo2aGKuLM3Zy2Z
V/YVYzz7B9Tr6/I/6ff2Lzahv1jBSBvY9sztVt3UlK93hcQSVpLQ4L1eAmWdbdI9jYjE+eBG0gGL
TZrT9b4srd6j4TFuAUDbzUttkh/ZQX5ntf+r1es4NsPu7ZfG7P/6w5RV6C11Kbl5twgjcxPkzg0m
SCTbv8sV+6u32gQAWIV5tPwJKLDIAC+B39nXOX2nhzBMuWWJ6WWrDzx+ib9fvq+3encTc5DN5W9B
U7zdn5YvfRI4vJ00zsw/kUIbkE8+NTaOnnXGkTU1mt3h799RvN6Ct7cEKuYDxPe4dZw/idZkSSQL
zv7wbCZYJhw6pkzm+gFSHDO5h3wAfre/yJ6zAJNQnnJL1QvSed9o0C0DYu4A3vD4u+wgPzwtesU2
QukFUXqXb/6Tv//I7kVu9vOgmx1rixt0t6S3S5z865+fqqZwlm3+M1RmfTDXbD20uWccUjGUI7Dd
GjkGo82iZ+LRFlJ7e8GLvYVbhf+BrFc5REmd8EMmbqq+rXatvi1QPD3CpDb5vsV0MtshgcVuQgGG
UF+kyJEv6u7Kw0JmFvy1frMM+Zq/txsKy76araL7pDZ7bpA69hm1CGhgjbD9DeBOTFNkXIePagUM
GzOb7sSJ2p6XJj2pZxgdkgkXV0gh7Sgdc5uU1abjPWi/X3uMx950HQq5yJmI2YqY10JMR6FBgg2V
2yfMiWo9GmiLvfPFhDyotMZw2AvypC7Re9hlu0++5PR8rkWuH5jBY46zlIGphQiA/LPQSCQiRk9e
WUYzRphHsDCsPVV6zyWEUwzrheU+axHiBBRye0JPONRq/GBf5ZpY9Iz87qH3iL5wZ4YHfp469EiH
cHIpIFweqBeblWGj6Ma8gbk5wY9h0059qJDFPDKZzI8XEsDFI3+R4qvV4vqEkMAeBnpcj9YEgUGG
Dr/TBUcpln74VtapZUWeTdIfVbigXNMEi41S828BaraviFDiVerNX7AqrhtkbPTnl6dcw5P6IAfA
PJGus744pQCx8Bb5/qbIZ8SPBbPRq3/OtoPJBUZwcRmahYXMH9vwsq9MA3/UxQnW5R2rpoTT+ex7
jGlpWxWSJj39lyaezIQ4nItm3sDIQ5yag0DnCDGID2O7flnvL/E6Xptx/7Vmqmm2b5l6mYHDd0dz
Fu8JzkUsGj7gW/kH9Vk0Nmt5Qtv+OJhIMwF5UVJR0y5vpNiATUr5UCx0xXM5wjyMkUGCkb5FMwDM
R+R41aeWEB8P2zBskqYPt1aR6N+l9mqd1nWGGm6lnvO5mabmfbDm+rbqJqSKRErS+TcwMB1Ebvbn
vGrBbwJ54lWqhd5ts7YIPOiyYUNa8zmibIQ3R0KsvkOvY17XTtaSNlKGdJncAUcj/s5YN6t+X4am
u4fFJmFHmRsGlzUJpM4cmrd4Y8glKpKxxhnRq5fAWWFwW/54F3ru2DAcLuB5jiU7U7xu9rXZhEaI
RkvLJ6+ic3QA/u0xcvOhNKumucHT3acHBEt0XsNR5jtRtM1xasf2LiwmMYNTH7LP6WY19gkP2Wbx
3hHDJRFwAJK6YzDM3ieSmdRBk0X2GVhpSyOoTjVoG2f93FRduQdYuMaDmPgZA5gmcVnOzedCFr7a
YaJnIGz2jPU5jA6EhGPu3vWwFPYdZ8AIlHJ9AACsto0Ju2NrJg8j3qYruB3yquizgfJ21N+TtJ33
GYPGtzps66e8nBjG64Y+QpMzZWA2QdB8/+wrMqnJvTJ2CZnY8Tj14lAz7Sr6wMBohzPbQdDb0kzt
gU3vtuiSVsXYMchviXo0s2m7/fJyvuGkG9DNE5pOArlfkZMkvJFThUysxjTD/ScH/IdDtltbbeyt
uh0/yNLrCM1rhsPolhpLnPm18of2KaxyCxWAAIRnJPZurPgcIYnIb3kqraTPs73feE6HzCE1+UV9
cAs3dJubN7Bt5Bs4QixqRlS+er74Iw2r4JYYNg/rvpWKwEhv2fwylr1gFmS3Vd/S3mRDatdQvNfm
ypI1kTs99j7hD/sAbTHA5zxjKq/azsQsj+cYQYVrtJ8SgRjkYu25pGmpgRZ2HIwucXiV5bQAzKrt
1cRCXuIP4NAlgOsSZWgs1FE0uTnCeRMOFbqn3Ppj5nYnZ3EA4FxctpKWCR/NnzCIlpiSPlkMTTnP
kTFF6Fa7BeUJhCv1Z7eACvmi6XtsHmqV7NEIM1EsnPk7E12wem5puB/JUQ+v+iwcTlWrmas0S5qj
sxJF9mWY1HOBf2zvOnmaxolm+3iqVmM03iExgW0bWFlwN2ELir0qL/fZPHcnWsrrQQcbcDxMaz8K
fWf+MLl9/YAX88Wq1qfFcsR9qSwcOsTcV7EVAv53Rml9Y+iTflvzfH6Xjj6/HHd8se/I2wvxXCIC
i6YsZ3rfVYN/Jtl6aJGaVrKOByL3dFyOQzqfELOZ107X6ttuUPaDty45sfZ1OYrI41cgfpp+wqPR
TEuzB7Rd3S5979yvgEjuO+GMD3UedHHfiuGrMxnVvmVc9qUNvelaeXLFepRYOYGmgU3+cAYmYh5R
AzA/qtguQvRaRR04Z7gMXxJpzO9mlZYAg0bzts9T93M5e2Ua9+SQ8qxsBB5vbad3Ie6g235xbebx
c8hkbUqHZyuf5XXtw2NocpdJsWcaSeSooe6Pgi3vYHCYJTFcWBbQSQec8SEDevTeK6U8TY29vpN5
ltyYeqSDmJktDdl0/jRWqhv3hJA6+XnJl8WN6Z4xVqR/GZR33oKT7xhm43CiyjVuCpLNPjCpsUAN
liNjPMvwzRIDWDDfzTzhX9DYDrejlNNx4UF43RRDXe1kiFI9agXlRcbmhk8DtvA2MsdVnk7+9Da1
phmkf5EwQ6ar2n8qF2VHG/bwBmwg26ht6pApuYSxtyP9YkwgqbfWrfL16kagYkSwDyrfYUMU8/eW
EWxyCLeJSyoxsjlOZ+3tyltPSOjyh6EW3YdR6OExqLSznxZw1WuxJbgRhxw5Jv6+aFkLf2fL2c+J
g1mzb4hFeA6prR2ZGGAkdw6X6s20Uqc0FV692IWqfm+Z/vKBxqhx6+YKakRuo5MKDLv3I5BX7qEb
fMJnWisPB6Qf8/qSVNnyUQa2+krSkv+NGYuXH0zpjUOMyxcRVNEyL4ATiEGR7PUu3/UZ2JYTwv4X
N1vSN0MBPyFa80Gd7XlhoNW2TbeDfw/F1YG1Q+5D098bFQZ4y/QSpobplvey6mVhTtL6WeSOjgqu
y5FwUcPxpyfwhMR3+ula3GOA880okU1134TVpjxhYAwhzeZXq2ggOadaztUyklmJTuIPPO5/e6G/
64W6poVE99/3Qh+/93XbqJ8tX/aPv/NHJ5TIdse3iSaGLcR89ILo+6MT6tv/cGzH34K92R4QU9v/
1wm9RLZTodM0oBVCofRzJxTwGg9nymbkKBsk8D8A+71utrgA6uFUYxyxbd6EyvWXPkggpnHNUWCd
AoyXJMdlQQR7145+uiZ/0Xn4pUB1Nksb3xESvk0rGOX462IvGZE02yS6nMYCPzeQiTCIgiVpPzeK
aTGaKsCvIIj7Xcv5/jftpO33eiWp3t6cfgcmOS6bz8V+/eZYnpCvEJ9IaRDiKvb7gTjiheKpJo/m
oRBAZpHbypCzc27vhlXn3xeDk+Xe6z17B22KMgAD91FNQRXbBCYTP0kUB6pjdsyiQhmqdC/3A0qR
WyKnkofaq+bd31/Av/wStPhC4XJ0ZiH9cgXN3pGUuGt46lYIpYuDSLY2aucqRz74obOhYieixPBt
EHwY4ymDxANPmyApBMmoiEJazWwYb9ohIOdigjsDD5rhI+lZV0s4wWaZAKDU+bidglcGWkjcf9co
ft2FcS+LAE4dBHJ6p4DOf2n4DAzvRo1W4ZSzl+96k5SPBVwKI6ji5e+v1i8tmB/vhEeB93Qxu/3a
bnMnMUD1550mcBInreiLKi/ozr2yu7emm/6uNfzLTXR5P1o+zCxY4lb4K0HREkQ110bF+6V5/5Yd
hXyaEVrE33+rv7h+G7mNSjLAyfInwGHYs10QVRSceovxQcBVk3aYn8rhdznzlz7gz70Z7hiXGQgb
07Yv/GlTKFJhhTNr8GSh2b5a/cHaZyFrRmt+OF3DdOEEiyijbVX5oCcAkbIii8VB4/FAGtV6Xbtu
97bXHtWrR8WPDDPnFD4Jez2lG26+JRv2mLM2P0wpjNrYRp9KqBES7p6DJG+ySMfai8DKT4PlDR9n
b81Pf3817Qvt7tW3pNuC4RWmA5bbbSL0el/YcMcAXdCMzYWNpor66wqA0HBldH15aEum+gCxXpaq
N7Z4JOje2i9OpJ2Ph0lIdUDD0t/JMp8pThlfo/M2PwriH+/cUDuf/bmuP7odYc1itt4JOmukusyV
iHsvqd5bZolwG1z0Tk3Z8gHiFUlyaa6PJbnQxZR+ZjsrT55y3ft0tNzTlNOB4+kCjkYmHJ/IUzrh
+CbW1s3rPYkY4jjYbfCeGUtxVRhwbhrRZSoi8vQrY3mP6L4yvXLkOt3LSszgz1bfgfBH+2JKPHcv
J8uJPQe7C3SotoqVSNtT2bfloxrIIOsaNKMwj+7dUOpvqJMGknEzJtalso9u4hRkInuZFa+l9HaG
vzpv3cw238txqD/6aVa+SJG1S1SaISmCYZ8BT5hbtGdtky1PPk2FnV9bjI3CsLoqdLHcrF3o3VPt
BzsV5E0Y2XWOSEk13RdUWuABumEPp4wmXFJ+N0ojuDWaytgBKgNd7/dnEkn41J7oiMALr5bJaO7a
RCao2ZpZkeHbG5HhN0dTFjfb9dy1TKZj0haNCInYEIna/sRwkJKYevoKakBNq0vqD0ZFUcSfmusd
jFE4M3rKrL3J8yUGtGUfwUAHV+Pq2M994g1vCq5Tc4WyE2Uhavv3pXNoMsmKmKoyAlxjP7dd3x7K
DA2fLZegjlqr6T/QIB7jtlxmfhqg1nRp0tOsR3T+9lsrwRbC3jZdKYpBEGibeL/PrG9QLIDZeEK+
1X11myduFkPwJ9AsrUZgAyXM6xqMOs6Qs7SopPE9wKILl/RdU+DAS73P2aLNU6aU+ZCIVe+L3kMl
Wj5bddPsoKoUsVF49D7RWR3svhc3/jLOZ/LNwqid1iW+gNnGojMiRZ+MnEYjY4saiTCvG0o64lOv
DSSLx3JY6PEQbfgJfqjmwyzJIbNKcuVLBNxoDLqJxTXN/o7HUHnI08DDtTLn+Q5VnXXsh8G4BgPW
3mDaM2OKMv2MCNCEIj74IP0xwFC80z64X2m0sE0NorvWWjjUOkt1EnZunvyW28UzyIMqcTtZCIb2
4N/wM/hZF60qSxAOFc3XfnLSpyIR4zfPH/STPfXzGfruRCJyqKIplc5NbxpQzQlvi8lwnq5Gwf1l
6FJGY6UxGaBt8wdx1eShv0ntOwwVtZkiDTXW5YMzmc2BWU0GJyyVe6dqnRjqVEJyJMG+wuuam3yj
qDVUO5Hb8o9FM5Zojz1oEaEkwZgZmT4aHqGF3WDiUSsm/TKpfm7vTJ1WED04FKz0pAApWSSTYefa
5SlPDmA+WzbaKOFYztaeb9yffQCHewxn5Q64n75elTl8XMPZuUeaad7p3OzInk6UR4qPbKfvBF/M
uxDF+YkGaf8185f0AE3If7wg8xvXRzJvcr6g/5zd0yzjdDJx5EP5ZkZeCuF4l9CC6aJRECKCTKt8
qFKneyIuu6SXts67/EJ+c6VGey7oyzsdtJI0HB8hhVRXHe3Gbxe1V1WQyFz0fMlOcvzyKjxFa+jw
ubQt72w6bmd/YCaCddcXsWfjE6E7SG5aP/HNaRHdh2Y979zRtvYdzeq9Q0rc/epLSmQABvwdK6yG
jwCL3HjsobfM5Riax2kiNzshUJLoPtunDavKwt3bYebeCzYGsIrUojSuVsYMHopzf0zOnFWw0CRe
GHGO7M8TvTjaQZl+4Qw8Peb4rPY0h7pzoSsC2jjbWDQS6u6YNIZ7rfrWeNC8QXaJro9wtNJGdnXm
fp4TF30xeRzqwfRhyAB2Hx960+p2vZ+JJ5jB10MpiqM/de2RKcc6R5wX7Wt3MY9ol8ZY9KN9N9md
c5CUjnBaLC+eqgJCPRLefduQFJoYVjwrBZy2JOqbCD/sVE04Ab9Lp2MvJ50dufwwSXon6LKbfqi7
idXskuO9NISGoEEyd71tka8dJjV9BThXAwPzwHKyu2W2UO/9mHX+t2D9TcGKYZ1z9b+vV/+3ggz5
mlBy+Rt/VKsc7MgisjgPbT5xB5XDP3U7wkeBw/mTKoqqkVSx8F/FKiUuLFv+dQi0OAM5T/yrWHX5
IxfVC6ZWykuTU+t/Uqxu8Uk/lXLbxxGW2AgPAmcwUqHt4P+T4CPwJ12j/3S+Z5hdihdQ9Ilt7ubZ
Mjq1Uwp7wSOQ41wdBm1XtB0H7bpfl6SSzY1o2UStgzQQhEZlhwAOEWmYbIH1QUVI4YferI1CxxRa
3uoRRbGkkxFP9tRtyUjVqFd7B19tsO6pMSV9oNSkgfghUxs1sAK8BhbaYQJn8QwZ0TUcyTHG7x4t
eeGGaN/mhYcexsZikCAYh4zb+ndj4K2A+r8DrcMkldID+gX/IfjsT4SPdvAE2+PqfpfDPEFKqlM/
46jRO7Zd3oYpRicjXgR+kJfO63P93qHPwEezsrHn+zRiTpcPP62tNz/e+2e6yaWme/WRfJ+SFYhz
QHcjAN/w+gfzmbLV7dCn30RlQuTAapGW59UZGWccMwPDH/ptPwcDylYigxEm8AL5Nip4ypTP7TJo
HhL+SJf5jLpzMLP9mqTruFurhZ9irxjFro8ZR2pj2XtgNL27dS0Rd+3r0BlIzzRTmozhb5oZr6s9
+jVcZBdCBLN9EaJj2/oNPy3CJCvpWNPY/27OcGLfuU1utA91lbTrm7+/etxRP/+evJHNNg+7wN0I
73+2pFe4HlYmH9/o3VjC3ktQf47Jo5s7fLH9wrknqMSl5ag9tzJULEXqTw9l7ja/K6hfl57bVyao
gmQ0gTudCv7XFoqwU22GS+F9m4ag9+54LhdK0bQ3ALOfoTWurvebi+wFv76ngBNBUCZXIMQGTzX6
+jK76Sz7euzbL1mQI8mKikCr9c3gLX1A7olmvDodw4HR750BwabVu6FBvo3H29OaFRCWTqq/jsFa
Fy/eAJlmu6fhLM6UoQ61849VxbmeS+YuHC6fBlJuEoa9tV/y5SZGX5I2eK889pYGAY9KOEQn27oz
hizjDS29VMHbJJNq+bTqbV+MumVN4HJC17FZubDAva44WE7nap66JAkx0/Wcov7uzaQcCqK8kmF9
E6xJ6D41MPbWx35FEsCcSOKUxGNAou4TAiVgFfvRW6r1ceW8Mb2f+s6bHoaC/2eOSFmduCQZhMOl
5fxGIgeB5fY2iYkLWxoskCTgNai3CKTK0gOcbK9xI5K8Lf5Nj7hF/pWcU27tkTq7ZOqtmv2aO1R3
2NlUPPROkVISYCydsELO4dbltuft3YxUS+8OKF7efUIs7U6nhKF4fls5YP+Os+C0f511hh7P4zIu
oYyXIOm5dAT0YkQPJiwomLATtW0EXcBIsz/JoFODFbdOI8vy9McXcAuV8VWRpYdbMJWZGFxQFymx
vh6WdEuprGofPscep7bH/0BS03VBUlzJ1P+P1+hkh4TDpjjKs5gl1+Im5YTocg1GO9e89SJRdpwJ
jOI7pT+uKsHdM1fODSS0hdM8q6w8N+S6GRXO0HB7R9vweRRpTnZcFql9Jls7kZLcQdBUqLgV7ZIz
FJ5o3KD1Q6Pc1vcPhb2lf0QSoy22vakJmUKSOg/Pl2bIQmH6wjxbJP5BpQrx6NnAzk/Scb1MXMN2
QS1QEaWLMDB5F1SoM4sdWfN0h7BxNBPAPExr2wOpEIvNn2l6DtuXKELw4LednUxNum+NfvvdfWvK
+XT9Ciq33rcIxPgkPadB/ikNmJlMGEcmcv92rW4dboWxsMlL4pdXWA+i3moVH0nz7fk/57HYPosT
ZkQxx57vcwtq1G2sFHv1POc0ecS/5ZTLOSKlGJ6DScNkQEDnPpFOzj/Eoa19PlbhkAZXYYWlfHwZ
l3nkcq4BaGiyOnmuOadCLUzVDqnpbUt0Oy9M72XQ8N/MnypuYL/ASnHH8xAA4h7LIve57vW6bR4Z
NOrnAqLYdkvTFOZFe9MhdRmSKw9DpsZS2NN7Py8trgKTGTno07SYQ1HfTugweMGuH1AixSsPmG1V
23mOC0yW4Src0xJU7gJp33xPQZCH0w5alb/tTFlFxO+BSeGBujmVNi4RnTrmjrWN7CSdsBO8cbVe
WP7BENBs3If1jAhgBzmi9eAWuNNWyZtYM80Ye7Kd37cCWOwQcQDZfmEG+doUB4t7mYzRfECbioyh
7+C1xEtF7Txfl8ng8xkRH/LbdE4AhPO5GeCwVdAxCp227+hVJQ4dk6ENlwB7ee7M1Z6NmO1mzyCt
wJaayrENQ8o3LyDWD4S6yk6JXYxuitOxZJv1vq4Ee8OfZbPVfOewQG1HLHWfLVmW3mxOUeETrhoO
2+LJi21L8dWsO3kodbKty81zzhpK7Jxowut2SyCSh84ioZ2wBNdmqxw6OO9ofUt+jyZaALaO3R1i
Dostt2i6kV+pEYjJqWF0PfNa5IVsuyDSBTrekZnLRE0HU8mZf5NzWcefKRIo2ZdKc6qXtwBet8dc
hhyC7UliXuT6qcxgd5i4itwLWMwHFtTU9TYEbX79TrvXuE1Z6UE1rHzwbDFG3toR1LvywHbJ42jS
0m/tXc2AlTsvcKqei6DU2LEcF8bmLZTboNfsDzrIDOd+MZkvMMDUILVPsiOEJduTjkC+wlpbPOEi
05hL/ZV2HkesPw5X7PrbxZnbzm7puvTsquE+zYrZNq7GYoXyBJXPhm+FMybZO1g/undJt/Dl8zar
2O231CM+sV/MBleJNACfG7sgp5bFE+TE7ULN/7Gs6c1tfwbH3mbhrvmynQa8lgadjAcj4KElCFjn
GsN3Cfs5wkOTgg3wjTTnznUQ1PgimjOo93cWVIuCOX2JkAolm9DeZ3jhVf/OrJfqfWhZIVmXfY9M
6+wRJQgitp1G+VXWPGOuezx3zm3CJ7Vjavy8+5yz52JhIqiw+uYU1do/1K1X988zbW18UXilAe2S
qwZ323Zn2USMdEJyADrGdgBJ59klWw67arK0EXCdWtyA20ZHkQRqEnHHb9SzyS9BtxY8hafeWWLI
yROXZlp7uCVMfQl+DCMEzVp9Ci0xOu88jEQOiYnQk0nyCytLJ20k4fqLhHWapOpKZTzJqtjHt7Wu
uzCvVrOHQLQCogWNkIyRp8pbchaEPEyhn9o7twYX8j4trKzlwecp/zzAj8KH7yhLxDS/QnqFGHaH
cIcozy+wK+OVjlO3Sk++Zatd15rzep2EpPscxSwy65DIRaA9UmjMcrqstmu8kWVbOx/IOe2Lltap
r2W3DyHQLO8XKDzq1kCNZTzAqRjWR/X/2DuP5riRNA3/lY29owNAwh72Up7eiKREXRCUKMEmTMLj
1++TpDpGLPWQMfe5aEZqsoBK+5nXIPVarFzleep+8QHjV6ui83w8AIPJxR2AFhRS8Rsck4t8H6Ud
2rVL5QQSGEReCTjKPl6CTfDNkllQPif4Gg7TJvcgZf4IM5c+0rqHUeQDCIJbSRkjKhtX8wpNF1vR
CO8s75JWoJHn+8GrbSj0P5KgBF9orasgx9t+Y7ndvHhbMIfC0BYWfJnsuqqkx740EZzxrFvkzCvq
b2OV6gu1lkLW7v04u3XtbOCjqwiZfBPP5hxvSd8lGovMkQ2jqKOy/lFizYiglKDFxbUScpCwuZtA
h4+KC5ztkDiePuHoQuoIMzXmyIp2VH/GuNBfrB6Ds6WJDUJSN2kGrh43kRm3DBjA2EZbwPf5TIBY
lY7+0IrV7+5n4NfJLzHZLsJ938jU++JiBsurWDWisahZGh0JVN03Lsek27b2cIc6J6O0d2yXKHg0
id2MdTiPNWdZhp4Qh15kjNHIHS6Rod0OVukt4hA6dkFIVNokD8aJ7KXJFyUuQTt/7bpS6QNRFjZ3
9AhjnNAEu5yOAapLX9+cwCAn3lTFmrwPAGPxq+XT4GhVoXWF+Q4fZmZVxF5CV0nx/m2Y6XMyd1AP
AZOk6bHVpozq1lJPoQp1vBpGA6eN3fXK+wbUqayQkIaffx5X2cC12NW1jqXK2tchSxJ2eoww7PM6
6yeqNZgebejQDD3gaUCZ8NUpA06MbWgiNy4vOMNhoG8xHCWH9fAA55b6dYPB82Ac8wq1pW7thdBS
S2p7kcFAgnnJwmo/p5Kko8CajMA14F7hDfrWQJnn8PdILA1baNXXYiEixUOMT6wQCJTOJrfKOcB+
wCj0UkyB95OzyClyv9Cd5mVep5EL07IePMTYuzvYzMjH7wQgJuaoB15mqcsS5/ExuV7grETh45CD
5MwPdCRiOZ7AW/KGu8WHwYBiwVLrjFqpfkiTk9osdVBhdpBWwejbc8qlGHgNi0VShLCmdTqCf+w2
DjrYBM52pKP5oaI/5h7MOm6H4Jois12l5x4YFt5nXvAjbbdCUO6nF5UTZN6h6aa3SCMbncWjw8UP
RPhAE6hZhUF42Fh6gYkIi2Z739g+DZBN/Hq7JsMQc2n21UigukYFiSjQE0rHm/R9WY9RkWVE1iYj
kP2MFr/kL/y7/mmiErVcjwUURohZCe9lr5PE16EhJs6xDuZFrd/2dXvkncu8FP1YMalA7EUnz8Uk
aNkNwUj3FwigD3RpLRvWQoHuBTFBtnOUo9duUdoIusjRioduExdtYPWnfIAUBLVjNTO3vYFMDhjA
RfEVzHpIl4estXRoHeLSMdwCGErV06CAl8sVQHkkmdD5GB1x7oxWlyPjhWdu9hPFap0Egg0kYwPL
qCekdULCSxJP5rmb3WU+E6NN/gROf55AiNmiyZ+GxJoYlOg18mljcyDWaOFv823TKcwJDH5lxPC8
QwKDKY5pcCGD0gj+FpOzqC3OPMb0XQx9s1ybxgBTHFuZhHRkSFTcGgd4NqK/85Cf6w3aVBbjbySh
TrrxsNJRmJosneT7odKBfAyScbiLkKth1jpJlQpYYWAsoI7V4JbEKKFbLQ+Muj5xF6sh5z1pwLON
rc4fWE6ey+OpVyD5wsfWnMneofbdqcMs2p9Y+gfA9AmpSh4QR71uPSTIdGhVGDLEHHluYH81dGuH
Vi+Mcqx5TaCus16SKBeO5ZXpTFPZMCCLzrjd0OgYSMy79RYnW47rCw/qjXb6GrN4H9GP6m9Qel/a
E/CqVnEIWpucgovNcIgPQLoOHJ30QCs+JnQ6xVmVNaWORO3S5hQHn/2SNSJESx/jBBEDi0OKgL/3
1m0/cjpvw3jQWeBrYgHvXL90tSBjGK/ZZTMMgC5YyHidIchY6CRJJqt/TMqSKU2tXr96jxtdLLdT
0kddR9e1dHB9qCmO8IPLzIqCPaEPrI5pNJL1lLdpiqCIkbYL5c5ElPmTqCadoaMqo0+OcGp1oIsH
t16V71fM/qFmBOwDyiNVasRbdSn899JcgLrAiLrW+G2KOp1nDiDxE3djOHNTgO/pFd/3g0ceVwMp
U2Ec5+Ie5yDkSuD09pFzXZaB2XndN9cbdUn6dWkUgWFwdb3/7f58lA/kAXyJroJr/c23j7KxC6Of
J6pv4En1+VR5jsB5auKw5ux6/1kvldnfKrc+YrvCBx0B10+ANjgutbemhcRnkYtvk5C4kJ31ibRZ
iW7nIJy3TuDMchcuXsWh0WPH01JEGYoGhBRtL/JuqhC6XBuS8uqz5/Vk/lXQRQ9Hpwil70IRP/e9
ZuRv77/+H0MlhA1WJrRQ1rYs+xjWNqkIT7/Rd5+61Jp4Dy4onRZyuZJC/WePMuE2wSxzGa2XauXR
mjOo9fgAQ8X3oqedP5Or13rqOWkirvr3n/UW2KTrsLRYHGaG0jxQuuPFZqdIANapaz9PVtymzg9S
KRSGTiJE97LTGBYIJ08xe3q3vf/g4/F8IWJ6BK4m0s+0h46WHoifVuEh0X6fTGBlC6pHRTDcRrah
d/T7j7KONzEbGJIexFZYmbSZzKMBzarKomNsy+e2cFzpH1LoP/eF3dFNWXcgdOL6agoXVDnOq1SV
nrl1h4RyQIbIAOcbgozRhDkHXvXhTZaBcAJbMCAVdZ7jwhfMB45Ghxjk/Zf+Y2KAYrohyHRmx/yT
UG4heQ0PyCy/YwSpeAt8g4k0BmsmcvmVVkRywFXjo8H6c2LAA3o2UZ1lQzg8brBEWj++Vq7xbXEN
C5JK6LuU86gf1IlCYEsUZD8HCvq5/4Rnqb46G6V0LELOSCCDcOfIFYbnydJ9i0srC3cCL5H5zMWc
5sND5XhmCVQAxNMKohMEy/94FZFxpHZJrvEUJoHo50M0Y3j4YC2+vk28KB4/PJ2PWygIkVhADSGn
s0ftPxivqmlFELMrnmon0eu2m7iXrvuUIOg2tnGcmjdRSGpM3D3z9x+F7ZvqisBAuq8N6X9Lvj2e
KLqmQG05IWiTIsZ/fHiPZTcNYxiLr5TvqLLgnUJBNyghSSYfrInjUUYV2eTbahVh4HvieEnk5FCB
sDLra19Wfn7R1YWuYqUZRY0DgCWdYL2/+DVQ7verwsb2mA4NTV6MBViJ+qv/1hDrsmDh3p3VV1XS
J0q2SkQ6IiB+mJnXSDUFJkZJil9MuPZzN4l/KXX8+7H9Y3A9znuIpPCIUZtwhf32DSioJIVV++XX
BvRKXG7pZS05WmZlEmb71wh/UInOInFR16HOr/6RgVIBmbj0upIQanwdHJlBrqC06xozF16FLAWJ
9VLAmBGE3CPWg5sALb5gXKVW3nHU+qOr48oBC9eh2iSRyR2J0xk9dPQ0Uc2cv1sj0sqICedUs7do
qaR2d5LSWg4WBKpQkCRiG6AVzZiAYY9IxwUeInPm1SlpANgxHQ3Xtap5Lf+1l9WSBXPLwNbW+QW+
HC/JkW3pvDLKEMPVGsXxyPgHcaYo4tvDBE/nLClzOhjvz/8fCw5gMvYV4FJD+GJ/LO2eJDwxMEV7
rJCi5WiN605XC8Kl08Hyr+7O+4/U982bJUdUEr6cfGBVA/8Pmw4f/9qmDcbHMPZ0Ob5PQy+/QIrE
zo1Ls0U4EDJOEfbUGyaYLkwEtGH9Nu+/xvE3h7kM2dvCy5WvTeP96KoqQWmNzGXymFd0Ck5TqTp5
b+ejrc7ttvtA0+N4kQvyGG327Xioo4D+P1rknmVixFq37dehwWPrwc18vSwgqOok5P3vZR9taT4d
pDaGHchKEEKJ4zs4HiezKMrBvi9x3Ao2EZX+Lt6hApFSFErRfWUv0PCW/I9PbZN1ObnYmFHXcBEi
B8xIPntGdUD37+tRFNw71uLonDaNuRKB2rErYD8nugI8GbpiFnQgyJKTIfB0RyWXNBLvBjQT+HJG
7hK2xTHUY46VAX9hChAW3u7NiWFwjhaIuYFo/MCw4Gi8GYOQagdobe518Wcc4sIrD6XXT/e9zHQQ
G1V09ZDiGiuKTO+Ptzhaz3pOObwwRtAeP5yjRziJsappP1hOdBc41cuzepcuQz40OivuOeo5gl57
7wUgHUahnFC5Qu/19W9q6HUxzRhNBtclTOHqpmxSc9LZEvPf8cTIs95Yzlu2KiC+tJb5uJ9FT21h
m2MhQH1l4VAbdr965DRWdb8VYWybvbME5sJ/GyqpJ3xxkcX7YrzEnKDQ9IMheul2iOEmeiYziwAf
+XPY0cx7p1Ldg/nVbWZHsnYz2oPce1FEQRDitiVHqoXvD2nwdvp838eexTaBsUNxgbBtHu3Nhm8w
BGYdfS8G4X/JFMzpnQ2S4ODlQe3QDku6HWTx8GwO0iLa1E5UHqSdFw+A+AGrl0GPZFgLijM0MAdY
ga9r7iNKPS3s0RaF5iQYbGLT7EbSlf6uqaAQ6hVekmvant7V4EbVWWKm7QU3UrJot1jwuAb6gZ8X
orPhFAVi1J5rJE8dXJrd/MFYUC9GAXNKxnUbqmuHWwlPYLwr0XFTw6ar52ZLpFk8JETGOMbZNNSy
uqPyXeUj3e7OKr6Si7hn8/RiJLg0pgWyWPl3NvfzU51UlovOu5dQ7Yvbdm9DxrkbfdE/IKeNUGlg
Gk65MShxP4JyxHrVqNUnz2lbwqKoP2RTn+3oqM1oZdJandbTGELd7B2JOlpZbbsxhEYcJFn2uUe1
hgZThP50N6rqbsl6qseOZUBfNQxnjf3FjdPhD2DPXfsVjrBzn/Ruv04mT56h6pZunXROP9KceHNn
sCBI0jjMXEIFLS71wgf4LUypqJT6jRuXz8zXdI0TdZlvAYxCdvGU6d1/sPz+4WE+QDl9zRPDHUck
EYLclK/C8hnNJAlGaDLvrJJWxErKHOU80VMqiSt5Qzfdzz+Ix/5Y+S9fE6wO3U0O8ePUHQk6eE6O
ks9NWVLjQXsE/QApLIBv73/Jl0/61zX8MqTIyIDRwS9HS7kc7bHJBiw6kIE+W8CEB2IerotVRW0g
3WC47d+W6MRp/RGjXpmFi3KyGOoUzkHqepsJb1sE99LOu1KeCk9Lo/HvuW8hulOC7x6kJHixu1Ki
FtdZzg2SPeVPnI6C85JOxs1gz/bnMKOks7KQ+6zXcR5fCTQ4ErD90qPQmdO2hgREDVqF83NWobac
Nb1CpNM1n8ypwySR+fsgFjqS+mFIdBhAGMS4oPVjH4cEluG3kxPMy7PT68FPUpHsRZUVh2mZnkor
LB6FEU6b3o7pDzYoHaGpPLvl5v2ZcfXIv5kZX4M1NXQKpiDX+NGFYuWRpNOW+M9xT4+NyrPKV1Pg
+uGmpaHYbQZHTgcMFqZ+lRq1pDFayQOCfeEFFvJDtyr82LharNg5iGWmxqyi8KtMaT2tVW5cpHPp
n89i3pdCijvaBcVVZTBpK48e8rxeuokOZVa10dqvQ/+WsHGodiM6y7OXpZfCx1ISyQT3kMZVfSXd
rujwPmr7b3OR9PdI6uQ3yF5yQXiTNe6E3Y39SkDQvhuLMIH10eAPDW8GLeKhi+mW+ehX0zPkTvzk
uEZwniaz8xmaCzwT+nPu9MGyf5vsM8WMrUMhDoE1sln/WDuqp3vCvPsRlr+Oe2k0InuoUzHj0tiU
5qU1kkt88ETrLfD15ZHEBqQ4li2A4B2bjQGTL5Tk6vyB6ASWCbB+0UXtZ+OMmn62o2fXcdK7sXqu
0el6SOOpO0/T0LwxhlDs3l9aL/Y+b5cWoSbH5ws51bOOwYBqRJ81iMvyRzzRiyNvr6KvlVqSYdPI
2V01pp1TDJQV9AvsTJN5kyWee0iAw24oKYYh3uUGRh+q8vwvaQfYnS4J3abSaDE+8dL2ADUGk44+
QTTB9WNnhVKEPa5ahEmQQq9N2a+UFVTrAL/Wem8wLLss74yL0MO3C9VI3zh/kduZ0e+AO4Ij7S4e
ub3XlZXm5xJEBBElOvvxqmiKEvQVzgDbAXzAgzuQmhKLtJ86qEIniSyEWikfZBkrkc7q2qNAfg3p
rgSdQJ1qovlPC7aDARSvW2BCF2MdtvDi0toDVxvYlXWidUnU3sSG9DMg/vRLDwXpp5OiAwa5PkNG
/v3Z+fP88R3yBBDXlKE0efjoSBY2oAHIQzlKnNQHkN4Js28AomYa7EwZOZX/vLR9dIKu8Ld5yHB+
mb2hlh+9xj8sWDQNCZsFyNU/3fEAFbayRaLmBzYYyDC/TIi39ElxnuIGg97TEN41qux3yLFE2zqM
psckUEPNOkFY44Mx+YcNqznUUICRqDb/QOwush+HCqfpH7Fvep8az2pv7cJAOZ0eyBn3Yn/Zo9R7
WjulPIErbF10iPHTjSq66Tr1kwBAcjkO56nRi58g5xt3FeD2/emDt3ybA+g9Du1SYLBng5kmqdT/
/bf4ZJDRLMPG6X/QIGrieyILt11TdJ9XfWsOl7Y35LRf28ULcBh0q5/4r/hoq0R2Pe6FX7UPbljE
5ybq2ve2crB76rkFdipTBcMdZ/7aaUBGvE70f3kWd3P94//+9+lZQsJEsUGl37vfSf7gkcVv87t5
6p7+50fZpd18+ST5RXgW357kEdFC/8rfAqkOxq0Uix3KE2hYUj75m2hhBAGKAZzzutmDPs6LWuDf
TrDIApg+tzRdLsejM0ve/ksgVZh/2bYuirg4srm6hv6fMC3ehpBArqmX0mSgc2JTikdB9O1azKza
dlrhGAeUkp2M4iFSvz2Y+g925tv6yetjtAwcWS/trD/Ks4vVqnlYBuPQLo4FfkLOG9GbwZUcAaN+
cCS9PQRenkWVBj6zdnb1kGF8+5WYiwwpMxFpK6DwCmnw4QLgvTh1FrKB2pMfXtogdt8EYfqRlLvZ
1ARi6A7igvr2kfRC3cbyVXTAWDeCmYUJ+nmlABWsuAErxF04nR9ohAh7Z/bxAJILwbt571UjpgSk
Kv3aHQYHQ4EJMn6tzb3BqsKpnkNlfiunVJ03ACj3TQSxclyguXHWYnUWTeUpwnHypkBkcY9uXXdv
dV55Gg4KCGIk08to7tJLJ6bQuRExPohzY+LMHrfzFuy1vLENZwFoBfggIY94gFV2YfZzuh39olz3
dYHKOjLwFyggesE6yUR/Y7e9/Im9QXVFqzu7tzG2grkYFTsXMxUtUjaAzijHg1lFdCAWEBzBgOiN
Ati6tZKpBh4m2jPf6qpLoIojWXAunswiNg6YHzabRRnjoaHZFa/I2CNvHRh29b0NYOZ6i0ZqVkvS
r8xmxIFJBc6ONrZ6THPkevDzSvC6AlAzY9jVPoaU6ecW87o62/mkaOV6jFjna/RXTJIUIctvsGHq
Rwg9wecszO3bMDbDZD2abficBW2draxQ+eUKGyoYREaWYrtOnQFKLQHrtzwpAhfLFae4MoshqNee
E1fnfj/2ZzM3P0Z7S7HOo1RtbLtg7WUAiFcOFKGrVKCYPqVY/UzZfJtAgN62IF4epV8Bv5zMDokG
D/GdCQTjs5Iy2Sdl8n1WWb2JUb48w/y2r0HuABLbtgwOJOviooEh9RnyiHEjynQ5x+OHSkY7WTnX
/2AamxyEpInjnvHJ8VL3JEIK4DCMJdCcmVAJicT+GXZH9y23UFzcLvHilVsDNYlThqCl0u19b7oC
kMMIuEjLr09+8WwKtMe1yGhkdHC+8/g+bBHMb1AS3xs1bh94Ak7rdhpLxHcccx1G6DX5dXeWoeSL
BXIXz4COg+wJbVgw34b/FcyP2CSoo28nmsW30VjY517SXrvTOFrAWH2Hpc3umYDmXIgc5QBUH39M
0gdnrYzuIrfL5VundeuZWfdbPeX5VRpCuc+XrrvFkxRodhfcNk2Ybnt3+YKnjLi0F7jd9ry0lxDa
ly26T+Mn7HX6dWyFw26Wzk05wm5Ha40qUB6APFp1aHzN30sP2Di+qj0lD48aZQZPPIB0vVrabNjk
sczdLcr0mA3NRYO/RgDCezqhDAQ2eJ3EDRKRkWGglZi3o0OQOtl9O8YMRNVs8CZtsztHZUGMyKGV
TTCl7/wZHEuID3CsCaEqXxsRHKCV25iIYXZBWe7HYSHWngwnDnb+nNvuCRJRrblB03IOdi2wmcZZ
4c3h7eJ8XOLbIXf5SVGnQ3zpNQqfikqqcryOPQNKwKrGAy05C9Fewi+2jUb30a6BzWcrs4wMeu1q
Cu2HrB8NRJYmzshnn5IWHaAu6YzTfK7jXn2ivosL5B4tyvzRcOv8UzhI4JKmzp0q6SN5AMr9wY9m
jLciYUczQl64I7rTgJz8uAxkhC6gob3bCXE62hFq8shlHWxpEPRO+ZzOG6nF4cDExpDoG/3PfuRF
n0DGjt89u4QDjVdCjUMbrF4Mjngu/mPkcH3hnNStWZ6m1Le2newXzLSaiEidlk911jgOmm8+gLqd
hXgs+jBpuXVrBLHK1sSUzZgTyQyQLk+K/9d0RvlpQdgxwxzN6OvNMIzyZhJO/cOhdnPOi6TxLtfK
c/UcymXTe/hKbxWA/5PALMKrwk29J5hgvJ8oBmsH8FzegPemapSTAeEiRJcIvJHRyZ92oIoHYRK1
FjkK4BvIT9WnWCbUIVrCCJS0KjBt7Nti8xLb/DcK/CAK1PBGLvV/T7e9rFSX/M/6SWEOVL6JBn/9
6t8qUe5fFIvotoB68G3b0w2AXypRgfOXZnU6ALr1inB07+DvcND7Cx9uxPI5CkkHbI/f+jscFH/x
o5buyIXEH+hO/SfhIMLbx6EMBS1UrOi0aS4etL63oQwKpI0EBJIdpi5AupQydOJvljaGhW4PKoQZ
MtRc6IHpJ95JZENrOSlRIYc/QrZZru3RA+MtFhSftxBx4+ZgFBXXxgoROYmbViJaInE3OMfsg+1X
ddZl5bIRO0e7scxalreo0eqFNkZZYczAVqKtyEXDJg/OUbSrHss2qB9rrji1HTjR6tVYYksHmN15
KtVgXcpQGlw5JVz+VV/ZQb23Ac+obZsb+ldEhGhjnqXztd10qM/S6LRXY629UuB4TLfx5IYPEjTR
rcpQCo5QBYlWop58dRXbuBKfomZaBafYl6OuS3J+V5RSqw4nYICtUitO1xhZXs/klz1KiCFf41UH
17Zj1IgtYd2ZIBGffBstu4pq2kEMibh/EY0uRaUOrTCBo3sSCcpYN/FXNViYB+QF+OimSWukR8OM
qn4dLu1zplJGoHQq5J5btKdF1OjrWSh+zJksenOVixRwzO9hV8ULuC8aycBgp2tTxPZdFiV4jvbC
o3XhhRPf2sl5ZpCL+rHITL57WLjLsOpHU1x6TirPSpp6lyI3svMA/0LEbtLpIovS4QQCSo4Ihs/v
+IYez1cxTzlJZHdZ1/zL64QWoOnVJk6j8MHu9QzTUSc0N5e2/YIQ3jydj3WELPmU26idmG2RpzeG
tPkK1ay9evHN5M+gRa127RY94zJmBu8IBwcL2XF2DHftG35MMNJJqIp1LhPzswKFL3YESkZFKWj5
iag+82bCyXsAi3/bLa2LJlbiIceqVY4Xu81u/AFV89WLimhtSfuudFiA+pJj1UoWej45iB5y0/FJ
JOj86ScR75boRdQRIV0nKEuj6NoNrAZbtcxsKDpfbMPZFSfkKr1zUQDwb8CPtyw+w4YgFg02W88f
6+6Z5tcYb+EuoS4M0hdFYVQ1ISTUlO1WQUjQBpW6xiG2JIZFCRPFQLkdWKLeytLmAFUNJujgZ4hA
GtmA+ioCGbx3uvSIHsscQXZhxpRPiXFYMYigtM/T5PDIErxoDDmWdTKHqIz1eoroHIoT6fYo2Vst
H9Y1JmB8uiNb3yFzmYch3NaOVT9qb/mHlyWcGj7jm6O+XunNnulFGnnDdDuKniEZKY9fTzFbQS42
ctNJRitMq289gANh4DqIXOggFwELpvfN6qwotdjUy5aACQfOIwUggLEwWirEQeIktdLmEW1IdWhc
6EJEZp515+A792Bk5mCs6jZDsJG6C26GCrVYCEwzctR2kO5BkI4YPaSSrwMZDlodkFvKnDM/hcQU
C8wQbPIWcH28jRSJ7ABYbf8qSwv/DIXxpArPaRuHCBthoL3q0plPqGoL9e/CCFQA6rdNxHXWIIeF
j1Y7c57GS6gdyP2D5ypzZxZZiP3bhFTQmBhK3+R8XzGpeNwt7dwTAbIpkDhSkhdaBCeWtKsxuZ0R
+72IM2Aq6YwOmkBs8hbyoXOC7JKBDjzg+nTlwDI4yXNtyNRxZMCvte462GmMoETeu560oZKNI+Jj
jkT1gWATBDOQ/jtfsOa9vBijHY0/tXxqKVA4h6nniBQLX5hYmxVlhFpivbAN6y4yl6UGqwj8eitK
WWCYESGul8GV3veOVikfRmYJFJ/z1KY2RzMmnKypKHBY4LO3MK2q1SJQI6rD66m0rLumRxk8AwdP
+KYk5V1pVqwXq0VRvCpZpXQm2RHSa6zLtCIqlKCPIWjKOo62Q6hXjm/BJyAfU3y8jQrYc5xX6T5N
XFY3ZYU7GlPIC6eulWFQ0EOpsHwT20O95gHH8EsoGfOWdqPXf0+l77JPh/ABSJjP9zT1sTeMVtPd
DJD0ph19Yc431YLOLhKh12M4o0NcN1r6VixM5OuRlrXkzpvaH7mMkF5S/Qk5KCJLDWUBta0tw6JN
zO4qihw5rH5keAFb7F52nBwC50Hjzqz11Lgq2b2crFWVWN5+TILmwUpFWT6MOJjmn91R46ULR59S
lrancZLOfQJKHW4zaEQ3VtJrKBHN02RCjrgGikQRlFqmtrflBA6LxbocF5eDrCB+6BGuxY5lBduz
tJIrevEQaNEqQGvHintCiFVclRWKPCg4n0m6hphA+khuMCRpWNwsWfEjM9PCD1CgNrCplTlMow5Q
4qlTaleFHMj8ZcWeVJuEI6YClWG7GeqMynuuSvlQxZY6pajcm1gPBqPmsQp1BybxBLsoRheTteIu
neP6jDsmuLZoCUfs3UHsVCOQ/bWs7pIiW3XW4rCyHoI4uU9pHpPKldHXBq0k6g/NeQv2YK06f236
GXuApoclKVR03XwCj7g+wzRPyejaTLTtZ9h9hpS6q0F67AxKe9ewVFaZ9EHROq75efaK2uCegIMW
nVhWJTlVM3Y4ZcDNIsze3tRmLTeYmhHzU51245XXONm6rmx5sKwGZejUqYO1QUKDa5s9hPjPL9SV
pvEUoemctBCpSPT8S3S3qLpTTDnAX0/hAbY9LTLbTzC6Fs5yFUyaQZiBbPDTqTmkk1GjDDpa9441
VBeG6ZVX6ZIHp74dsXotBJi8JKggi+N+gzzUZK+y3O/P1DSYF/hTmqDmDHd6KlBduJ99ee9kflNg
jdc6N02e6IJCOwZrZ1EhJQ4x/GxnFSL6QILbjiE+nyyybeNiB6n5lrvZyMKDOTTDZp46BLWCekrW
gPqQVBNtdhGoJJsvGC/vOSP33S09PghzkZrbOB3vwxB70Tz11d6Pxq/oq63dNPO/xTQtbxMXorVV
oBEjcj+j5+yqm9ZkWL2w9LbuJKfvWW/fYSEQrayxbS+CNFluJMIPaH33codIurOPwsE/r8MUw8+m
vWvgsGcrABc++BfZVFiWRxxRuSQ+GZN6GxM3nKIrYJ3aLU6dbli1kIh757xCEHHNoJVbyFHup8lD
Gg29rGBrhMipZ5xYNL1lfu00mGkTdRqonlxxCcyEfEO5w+PSOymUmG/iCg/fUpQH22jVPtA3hJhr
dKnR0jq4ORPW0nx7bKOp2WS1Ci+WzEVLDWdJBFDNW5xQg/NqLrp70M3G+SzrAj/OwOf3RgeSXTfQ
kEWJ3l5OEXpq9lnaVV8ywnfcGno5pKxvO79D9inApFSAzPMgrnPz+pucKl3vu/Muq3J5MsJIfTJy
SY2iySls+IVcDwqtf8Nn2eDmMJpY0nT93ozyBNfbvFlz+MebBQrrPoqT7mQo3ec6iZ2t3SH5b9Um
DEPwzCcz4MenSJl1s4mqdvpCRLwlulZEgqlZbubczLdd43h3mvx8ycmvEI+gUbgyUts/mO0k9hIz
uk2L0TGThnjiedIbvrWqRZ+FPQdJoBi7zjVvhzEvrC2sWoU+oo9Oa3abRhYNdng5TnGA6TPEzxz+
8S7JUOfCGaLeUEMpgS4kEcKXVSyiPRJr+CDPKvUOMFXHBwMdyoBrD479Ku0t2qZ1RwaSNFvfU9UF
qnfpJhXd+FB7AVKd3pysQmTcdgsK1ds+Mflr5qc7zy7Me5hTAUtcyMoxTlNEdQabg1Sm4XcYNfF5
3MjLZOjaz9RV+jOpggsvL9s1l1f0Sfa2+SUcWw8ZTHKX7jRvmjn93Hp1b6IY5oXdqdFYi90fOLXA
kIeib0bKcIgQ0rL1RHQVdeFINDtUpCFQ3IPHqMHN4RBlGURTjm8EZvCPh0Qk9n6WVYu7xp3JMFcQ
xswRq0XX7MVjgA1ns7P7bKYEnMJf3/nIn8mzxoRJuIN/iVuN6WqfjUHZodq6PTFoohKiLdhgBCKe
ht6s06Yu5lPTWqbb2R6tO2LRghrPSFiObmH9QePBsv/IncElW7oXYNO9sY5ZG0MI0V1AhD+U0YAZ
I3Q7EPp4xcDpV27oNuuylqgNw4t6kk4+3zYdWWaTkIWl1QRnvWzWv9Ugrl979b/LMlk6W/9XC5/G
BApRdJAEdlS+gLCg3/i3VqMBy3bpOfEPKtNOmJ7hTbcdxYQH9IS4wQNDJy6wA9tnx0KbuR6IDMsR
a4S9hQ58um7bWkfPhKTvv5j4pxejNxN6XoAktnuMXfeRwFASxv0BViqxBZqsVdHTxB6VP3Gfibb8
VFNidzDzJeDYTKJq81MMdYbb3hkwwkzA2D+Y5kye47xENBbI7r2BXsE2duiLIyiJ+RFaTTr60ll6
GZqYehgyIs/NfTX1FzMlnefXdCKVIw5nLxY25VxPtwm1ugyrlmW61jfwE4o94Tn2IgGGO66PDdMH
83QEw32ZJ9Rp6RG+dApp6r+dp8QymhR2ubEXicvqtasFN6AAzBNrZuLt2bLh+WwHg/GptBfS3kkm
vNac9sunKfQYrVhYxJXuAkI3K2B0rBks/qRQjzvNS2IvbNyDVqPKyK/pU8TpoYqpXayR0BnibYy2
BbaIkqcDyyHt9nJq0Csw+PL5/bnX3+XtmnQQCgvA5mmntD/c7HqqkmndpdkhqkKmBECSmD4vztJj
ozcvS7NzJLoQm6p0i9xbge76SJ/6H/YpYDlNGgMgC3bhGNczJuinLXYXH9wppJEUlRqy0odWZF9a
gFNicrKo3qciTeKzro6Wclt7bYRSUGfdwbrGl6jKSb7+42GB8AcsgOwWB5Tjw6MUfVQlmRMfSoMM
CWl/DE4mJEJCEheUJjuQJHLT41aLMiSipI/vP/1lwx3NCo8HxvH/7J3pbtxW16Vv5bsBGhwOJ6DR
QNc8qaTSZEl/CFm2OA+HPByvvh/KMV7b6bzp/A8QGHGiUlVxODx777We5TlUqn+SkxSjm7ZFN3FM
xoyOQWJgb2NjJr0cV3MejbY2o6A86LZuoO2NuUpl+CWSYydkZV4TatelAEpSFUY7tFrgnSSID6K7
CYPsUY/9IUn8txP9N51oOrz/tRH9f+oUjM9r84uG4eM1PwQJ/icWXgcrgy/o8f6S2Co+IfNiTTax
LkHy81EL/NSB5iWsUT5KATQ29I3/04EGr81Pe/OAnwxS7590oMHN/bo+YLDgH4TcrkHQG5+UD/Hz
MwvmiykqsxV7O/NomNgaaBbQqduJfPBDFkp7RwcPr3/Z9+NXnmLuyU6FhEdkGP1tWbY6MppKeyXQ
Rr9KWXqBDATWvZMkMZVUBWU4bIR7jrKuuR2TLr6HdZFtUwgI+xyPyUtZBR6cRzc5oNpYq7GRX5jF
0Q+nfxMjkID5sGjaanrTK1LRYpDKWJ/oVN5R0aYHv8iKY+Ba2ZYqhbaNKq5K24R2lQX5Cl53dDC6
pqdLmtOFpi9KHLYWuodcMm1fwMq9prOXbel3sdw3YZfglB/MC/QD/wylSr8yQPReIcgkDK4rLbZI
9DO2QCnCJ8OPfZav9MYYnPaKCMj7SR9xYziAZAopfI2xeWW9I19kT5/P+ypC5M0lT2F144+GYPdK
WxKp69CQrh23WzvTq699z5tYtQW1LWZXQG5j+kA16sjFwM2/rfIh2fmNUqte9LRq3dFAnW62n0sv
Dq5VG/UXRSD5GzCM8amoW+sSplgzLXbrZ4dG5IUxRLzEmhFvZEC6jj448ktutcMKcpm7qTpi6l0j
5WvQIlyItMh2hNGYC5mK9itx8ou4tgGp+dXRLOCezzCLNgb2k9IXWjV2cEXwZL7XPG2fMUhbhbJk
TA5UbytlZ78DKC4XTaLio3JEv3XYme4J28pvcCpOJlk2SXrA2hbMue1Je6SvnzyGY+w/uxLEcxI7
FfHkjIurrpf3fiDiqwnB+xUTV2BZzJbjz4ESzSlp9exOlKLa5jwW/UUPhodHT0bxmWaWdZlGN74K
2bZsQL1kGRnwHopqcgMxJygJzLmxupODZ//Gr7lW0Dc7wTKZRPbWDkN1Dhwn27HVtI4OFsBtXjnx
c+u58ZOsIgMWSGVfcuBMuyEah7OuddbR7O1yV7dleK1E2dwnk+WzoYC3nGvtviqCnqZ/YXtnk5X9
uWCPeSVDkdJazapdwu4ip3PcZOh8I/s6q/qjGfWCy5ENhKYripFQvWLCJNtmHFJjbVaB+yqt/htd
zXwfUpUucghX+xL62AaHhLca3cJ8tET6RnO6CpdaKMxnaPH3ZWdB/2qAQ096oV9IOHbgf9FgP9ga
pnM66Z5OJYMbYNlrjnxtgjq5ccMUBD8oVP+NPPZoW3S8KJzi7MGLdapNCzagjkHvmIScxN6y4r3T
Zs4KkFF+51qN+mJ5CGgI7aM1Whb7kJHWoezlFv8/FBHHJX8pzpL0wuAou7WDbOeMvTo4bBP2Is3L
VVO19ChYLJ9V6cd7186ZEMSWXLGVHNhsUC4ydhbfpkGWSytF0DxFI8V+ZadPAKGGBxfd+6Uih23J
CUWSSlljrhAzVjdaPWz6zJFHiRQlodW0sVWSb4Om16+AF2RbmV26IOietNmXlzqWcUn00NoxINPJ
eOtRFxZ6V79ZauSTAKTr9cHdMp8b1l0G6n4duZb3pFzwbAvGMRkDG3csmQWMsLKbMt3CoZ+QJY22
u6y7wfHR5/TlIgzGNWkQCGIJEiSMxPe7B9KO0JPRrayYnIeSZQ49+sKvav0YVpJ0viLQ14ahPSV0
jL0FmSrWOs58Zvpz68DH772kYf0ZwYW+z/RGX8O0lAszScsvGbOqI5sl/2LnnrNvGno2iwlSxiVW
GhEDbrGEFtK8Ook70G+2vRu9cXKwqbmln+eY+qUX5ISSkLLhrGGy+I8+T43zJKLoM6Ki+ERn/QVT
o7PjiTgtx6Tpzk0oYi6lPjk1CZkDatT8U96K+kYlgbxKIEI9akGcnZs0r9ZklhHv4Jf0LRjkrO1G
Wp/TPjcJeuBb0iQpN9GQmN8mN2yvetuvXgUNTR4uZAo8IUaOH+B5wQZHYEKJnfjhtgVlCDUs7Jea
EUQ3hoESoPeFDZ5eDnd6y6EvIntajaMioGYwvaOHaC3Be0GADQTZnguNdomv4RnmzLZQpUKr3Rbx
oGhETdVD1gbbGBjpGvDYdJN2llhTDKKUGpU+0XDWCrGww2HjyLI7G11oHnxsNi+9hDjfow5bdIB/
r2Ju8WODUHWH2hGWWipr/zl1nHiVF73+lAVI5FiZABkoczUyHb+Z2kR7qwAiHCrlaRuIj8015OJs
bwst2CCqai7Z2HsPWMaDjaFL/S7qYp23Yxe6HEfN2ViRW5/rkcSIZhrf9Kll+adwmuhPDyLcDgwu
6KuiZjHnRIFCNzE9FDUNT4bDPUS1mb2qx6xosX5BvDgznpMkvG9tNiILWuIZ8YeWry4ylNmuZMAT
L4bKpRCcmhpRtRt48t2vq3TfZZHJzLXXTrFJcq1X5DcEcaY7ZbfPdk0bl7VWYr6i9vqSKucZOumr
HrTvoNeevXK4LYwJQcnU47qyZL6vC3dcQ8C7N2VYHarIde+7KjUfU6Tcb6gRh89gbp69jnkYlzpT
sDo9MIeM9fZQyUZ2apuRIDA59EhtZuELqluyOmMwnmI9GzBPg2m7q7YfWu9GKjnCxXWC9zYeLW+X
MZrxn1G4mOgI0W2SZqpvmQBWE02yim4UhNXyuWIBZe81cy+HIN1IGJf5wdOo3WYP4IpNXno0wrE4
tHXsPtujLV8wU4TJTYBn6OhGNIHuCWaJgm02pRnd7qHpJ7oSobKTr140NNqDDd7KRjjYBQVSyjgt
4f2Q3VRo+rgFVVRsOkJjEET1oISIQtBHzqQKxedBM/udE1cucy1F4ijDoY0/TxlIrDzEtTgRoUrl
p2ulvUjJT33UXMSp7EUeiinK1hGK+wNPEO2OQXN4oog2ljQZx3OHbutcczYPk0K8GMX9q0j98VDP
ndpGaO3WKAaas+283SKWlZaGbdXHON6j0AZcNK66MlAwI4FVwCYHdkb/BqiqoL9MvGgitXA/CdiA
bRAEh5qZ90Hp4ckxiB6h41SdkOKp1Ri68qW1CByAske+juziDRBUf62FTDdq8l3XfSAqXAsRGFEF
Om0J+djbtXpFsmxmkvurB/o7o2u20RWgEWL4SPQyvjpe4XifG71FFv/WCpe48odAitlRhVE9zrPv
Ne+/RdzfFHHA0umK/LWaCHVK8e1NxW+t+rmO+/6yH0oi4xM+fMwfLgojC7EOLbb/5M253Lw68h36
SYiuoWX8UccJ85MOwwiyCzXc92LtRx0n9E+UcA7kb5vai8rwnwnLxVyn/dxR8IBS0Ahl1ma4uHJ/
N8jZ5kipCVRxhxTHAFcdc1/BEoMspJ5GJ/3iYfRbVATBrYt28JHkOM1iGMb04BlpxZjVu/eILTuA
7UyvhjY7MeWk3a45bEtra5HpGotv0vnLsRUDq2oxbYSV6ytWSwvOifQ3FQKCpe8Qy4Ov6FLBIF7p
4PhBDnvp2pA0GkOUfQtuGjIskAgudZ4vK+A3T0w7eAAwbZRM3ZaOnXxxtEpfZTk/nhqsh2Xn1nRL
6ycDkRQEic5aJHAk1nngPmLOvk0s40tX8/YQyZ6yMn7nFkLyWpJsCcWEISvyXLOYJ2rVoNZ6LZ8c
kCxQaREc9xpfrwgxRQ55oa86zd3Xtben+6TWQcOhoR+0DlWOQTtJ3+EgDAvH4VACb2tWuuSXZh2H
QCDI5StwGHRvn8dNs2LsSVNT5zNgYmavF+BSbcH17RKBXrzMWEAd6fB/U3HpvVat51cmAgFl7LfI
Ws15Iz1yCKrMUmtbGRNjp+zik2OyzhreMgP3dLSF5OP35Ky0kg9kVQSGYUt5SBufPSfw6hWr8ftY
yBL/V22SqEMYDVhbk/jwLHwLMs3gOPj38IIUwoEMtiw08yVITE6wItUOAypla+I394EXpCjjqYaY
Uk+bivjhXe9x9KyGN+1td+8Z2v3HRUI0J3WGkA0zdq4DY7QujM3BUur+fU8lvDRT/sh1+9KRs7oM
k1TsqRR8UrraZlWG+XBwfcbBXTVfRYqf1X33HDdGClSV2DS3w6/oBM7AYeLCarMc8o5tn7me38Hp
sfsw+ehZH3+hU8+5n/gbwasD+yaN3CXlgfKBpLjMc45SY1AUmW41Xemy8Zd1Uz99nO88JFG7Y1u8
VD3fF8ovs18fPW4p2Vi0DIaYdYTv3ORc1azleLS5Oj2XS6Wc74VQqvEhi/grsMQvlsEH4c5jM0W6
2bnlcGE5ux8nznwvuU9cZi6H3sunq4iSBOJQ8+SS3gDumzPstVxMjB/PHweDQO2OGowfRWv1JcfX
sA50Vx6gEtlr4uNBIqZNcBgpJm/zhhAuvEwJvWgyDC1onZspN811zVxnlaM/W6Fh4zOEUXP0Gm3Y
0mKByCsD9G9zdE/qclNSKp7iPil41pZcZahrsakX6ZVncqNaOguB1/EkZ0+SrXXuE1T68aWL7PPH
7WVBRkaL184JixlA2RJBb9nSDcB02BAn76eHMNKL7cAeZg0HldswxYn4cW4xIs5IwOLkMFdmCeES
KCrpL9HrgLOYr/LJTacNWEx/S9mQrkfwoxswCNkKBjH5Y/MFMF/h3OKXWEwFWh2WMb/j/haTP+0+
TrNqyeZVNZcRvSWF0tEIXiGCMTxmOLGEwMc2sTW0XeBbrF52/IWNG6fASN+pf2EZWNw9JArHy9xS
/tIsjOCg121xYho6nO3B3np98gUyMyM5ty9OQWqmxFJzR7STru1Cm/uU2ZxxGpELbBhBYvNAcHPS
Gp93h8fN2pvTiGRxMCYK4kGQV5w17KgGfplBEBS2ImfpooFbgQcluorJ97534FW4BUOmIc51TCJE
WmvkuJB8a7C4ocIkVQ52bdCalwhLLpDHYtxWisUEEUW3xGQC9abjIxCrwF0EG3hH5Dp/EH/+fW0y
fWIzP27aLnY6egnaPb87urFrLonaFhdznJ03geYtbOpzHjs9F5Mcqk3DfnGZlpm+wndcnAZHDOfW
Td8pszg0ZMYvP4410a9kV+X8ytbgvIrCSddiUM1KY1aygGSGBSXTghuT7TzRXTLbeoF8ly7/OW8T
0gHsCjM864nQsnhj1PUbOAYbV6wRLkvpPjK0LdepFt1ofXsmyD5Z0HYPD2M8MJLSMhKK0bSN+hr6
DAr5YtAQejMRekntLO8WhE0JZ+0jz6NfP9XJFzMphxWFHQKWWDfv7TDNVvB0quRqRA9ygOjKKbT0
IAwWQWiIdp3oEsh1GasbpuywusiNyGjF1Q1hBMsxVfp6wJbUrCmXK3Q9UmqHKmhfNVWWX/FdvYlY
L9tFaA3puyctjYgdEJ4T0cr+gGKmIAjPz1OQ4aDTJMq+hMCoPBGdtgp5FK1MwwuuAP5O2iazGOWe
UzPy3H2BJS3fgXJW2hOS424ZYaPKTkGEmBJOeGY4SzmmkkzGDqjZGqFuoN0WLdsHcOb3P23Fbr7v
YH4eqv4+v2JfIxwKRmx5ukMb57eZauZr5iRwd+3ceKQKmaJ3Ajg8liDvHng+6QvESS9F/LdQtd99
bR/vK+jUUE7rLtP4X/vihE2agJWrdmf0H4sd96AVp1+LHq8nYTrv//1b/q4D/3g35GvMAgxf/1Mm
zdSHmoinot1lIxfIvBPwUxqhIY231cc7/VsE/E0RAHb/v05yVt+y1/61/vZzBfD9NT8qAEyiyI8x
VGLgREg2b/N/VAA2xYHLXh5gldAdk7P7Y5Djf+LSpTqALUmJYM1lw49BDn5UIJq2jq8U6iRjwH8y
yAFW+VsBMGO7GAyBp8ABy5zptws2TdgTGZMvd4jQoieVqKJaOZWFo2fAr8Jous7VppLjTVYCvV9m
EZsq3fXxNeo4/bu4YM9pTcZTELc5PJkidZagDvpvg3K0+eme0MdjMJGF6qYAw7qo2+xFaDW3YgsK
oAjJex9RN6+xKTnjgoMY78iks+8SxQNvoJN5zhKbMt5r2Te6BMqImahWHxyD0MW25OGOKgn0d1TL
BQ2X+jiAxEeYb9GiH+xk2/PhTHgVTrV3pzjYozZStwWS2wOjoBfEb9pTnOU8f2SBSkEOxZauQ7iu
5gKlwmF4PQ0sEvnQXNAdfrW1lC9JqgFWAvPCvZ5ufMwXK3TiGlHdhdqimn+vmCr0C91XINFhNa3t
Cu0fRgYiMybePerMi2MN+iJ21ZWCgLBoTTYZhnePT+3KgPyPNL246+VknAYeAjRoC6SCuNr4A87m
SAKqVz0BVSXgwVADLq7whQ32fu77LeZhRTqmL9Jm7+eW5R2pQdMzCVn6qoIrhNarajetzqYONPCS
S/B+sFBbugki9QDlVdeSQmTzq32J3AoSvH6Nj0DbqC7FvtT42WNJMfdoDBZ7onnnT6yttUE0MTAI
AZkU6fl7M1U3ukPwY4C2ScH7fSXls77Hl4X+Pw4Q5VpVtu7ZBt5kPfEn3uQhYlDymgzX+kmk3r3T
xOUWvQ2k/GaktxKk7nrCqb/zpeOt68x7yKZKk4wQ+odQBOFBkGzmskWZDbN+0L5pOkCDpSt166Iw
d57zWEYGXdBooDiJ5LTOouLO0gz0wHVRRyuztG6bTPmbxgvw4VoR3G3unEVCONIqAu+3JIRE+lsU
qbQRw8ow2CCMiNQh/wBu7pzybCIvO8JFU4RV1Jr94IJwPorc0V8EX3zVYPNd5nFixiuSY8pyY3h1
UDN+HPUjWSu22pf0wRc26Urju1agEtl6dVkG76Pv9leZWYNgQaM47wBjq17wwKdZnhh3/y70HySA
v1noodyy9P11t4cBnpqxA/9Tvv/PEplT/iX+xUH2/fU/Fn3nE49j4BM4yOauz7y0/1j03U+GQU+I
VR0ex7zu/2fV9z4x7vfnET2YAULZfzKQeZ+8OU+Q/+l8WNKcf7Tq/za9Rx4Agg1Dmo2Ymb7U/M1/
nt6PRpGCghn0HVlQyzx8x9p9PYwBcvZZWQZ5LdYPuCTX3EhPRsrKZjXf9xN/CQmdW2m/NJ7mj8Du
DAQA39n0jfn//yR6KwEnVJ5HIHxJXuw5EE+jX52aLl0XOb5XE/e3IuXWr8ICdGRwVVUhoammKNa9
+SzoLUwRBZ2GFX7SFggYN8onFMg1zjJygE3a3YLt9KzBmUXQb4LZE0k6i7aAR5W+JPQC5n8diV0W
8fjQTPD0c7zY2nq0/Z0oFZV6mDonStxiRPOs2CxjBLGII0nb5WgVj6NH2hbXxG5grJJbzA1M6xi2
vYv4YLoI1QBcy+jJeNoVNzSbdxz1mNtOdJ8vrDzteijChakxsnD8Z8PS1k3ovjKcozuVGAvfsZbC
cVFB+rjxonVbZqtuyJd1m94OWnCfSPwGaYOJSFUvPK/0bZy1N2HjHmmRfZlAFagkXUqnz7aA/b1F
r9BvYy94ywehb1PC+xaj3r8VIlyFTtuciqa3adZVSyRUvNm0iVPrOsyTcPnv4vL/s7iAuZsVMn+9
ujzGdRgXv64of7zox5JifzKFw+8xZ7r9L51kz/rkQMFC9fNdEPSzJ9XHyUpEq06bGcUQ+MX/bCSx
q3LvU6VQbn63q/7v//XL/dv89vef6y1g9L/d0MwqXcuFzYnsiE7yBwHypxt6fgKWDD+NneeNBfaL
rvTmxp1NI2KUdIEsLvngZSw8fBvtbOEg8zpcitnWgYSvPVulw4BjNn3YLtk769plJhzNppB6toeU
BcPoBWiPvQwUu5QAF8nYyledx3Edr2oO8AOy/YLAGQebYt7jB+tMrf5qBwW2tij0T2IcSFfT5azM
pOX1SteTH0LphwsQCta3dHCHB4LP8+EbFEEfcVHciP5M4ty6zhsU7ENypEtVeVuaSrAaLWZAMPOI
FDu3zILn9nmp3TO9xaExRUW3rjzcea4E9taw/RArhgTD2aiHbFWnkfcCEMQzj43qPA5LaZo7g3CH
U1IZBCqlDksQIq+SeKu+tzeG1MWCxvIXgcv8SHB4RQriJFY2nbgnwo1wvRuBoDFDNHYWWP2jaQKu
wFdqoLhp8N2VVV7dBD6Uou0wu3pRv2jPxHejqWyG4SHSG7aGMbqRhZw6OhxVE3eKPviAtnGifq4W
A3QKuQn82T0LI1KZ1zK2UIJqbJPua+mJ17YSs0E167FhhdjpZ1Dv/dBb81Em9DqkY4Hdy0+RV+Ii
RuoNb5BRYlbZsw3PmpkV9ew/ZKE1W9pS5Ili6i0wS3p2xy7ei0j/WGq1xE7W01I8GnXGXvLjXzOD
SLElSp+a3M+24Oew/vMa2xpTTCCz78z0J/Rctsox6jJdiJc23diT6gSi6ywKUTB/2Iq9MkWVXiiM
r6gtME/U3qyT92th3JNFy9fI0aFte7dkQj8oH2/d7M6qBkw0W5rfaATqoZmOfgEjbTHm+HvN0ECO
nIiJL8Qmlt8ja1SZKiVp8KB5Ix+gNyRaUjdMOLp5F+Dr7WdPc0jmUg5JoraSlceIU6yIXXTMM9lK
uPxgKOvhXs3JNKizE/UVrT5yN8L9Jobc86+NEPxkW6bliJRLregauk8ftl/B6HsOuJu/vDcpXFzM
njmCNdHI8WKSCM0/fIjDEHFapkZVz05IQozQ8ExBuzP1Gy/unNPHOzpui5q7Qym3x5TBtSk7k+Ob
9Hii+zrFAUCdi5lS9GY3bevaEK/6OFvsBAz8o6PX1bOkFdctpD1ArIbAIi4fLsnUklEJnDumlxU4
LS5Tac5e6tDK+Fpj7nkMWzPns1DJqD1+fEpUVG1IQ0RQ3bAD4sPalcNVpoGJPJNhU1CMpg22xMbB
3QrauJPTneoJoWS6Mp9SbAPzMUlGvTmr0S+PdOrL41iX/N0fZ835d0uvViIBTsvZgUtIY7x1+4wV
CvphvRO5boyb2djwPk02V2TiaPM1ZZgZQhygiPm2bDv4Fa6RD4BWQYJSaaeqXymfmHqoYv2t3uPq
7ZIRuzhXmrWkYWcwnIiKnP2BYLOkvHZZVjbPcpvE7W7RmAyX27wI8Q/XjXt2mOMfE3/0HzmZTkRN
4xq3SURu7yKrm+oZN38TECloDncdV/E2YYqwmSzDXOpdOPuOVPOWaPQmFlB0/MfMz4Y7z9HyJXF1
XNhmDUuWXVIJ4E9nW7PEFkhjbSpJOGP0UWcAlPwCOgeHrEPYBnpk1xu++yarWcNoFKVHEmhAtx3R
B4OcMEyY5hTz8R2Rjz3WQGNPTktJyxvm/XVv2GINgoXiXFMWwYUyADnJJKLaW0NsbcuMQcqy5olx
KYyquM2IaGIQk2YMDJiImA9gidyNxjjjm2DYAvFXxbuk84yvme1Oj17YDu6GzNPkhG0x/mbJoWe8
aI977CAoRZIsWJax9oBHo34EY9CsCnDQJOn5CARGA2eZibEd7knR89+GYqN7OfFMoT59w9mYcgf0
GZMSu3dnz4I7CmAJgfU8pklzVH3g4qFCJrpvpzq9ysEirWxsFsjeB2XSUQkmBLSzqsGp82+27Udi
PQHoyxbDKLGVq8E7Z712i+HRHNY4OawaHknXGKcMDby8TMKC5a37W9U5hPvh61s1MgWQSCjBItXa
4Ia8RFaT0SW0FJb0rVEUT1ZINNZS+c0Ubrs2tk5VijDnIais8rGPiIHMenET2Z3EtjN7FsLGuA2o
fe4KFwNp1sKmuJaQEXexm1VrvHv6EzK94cis8n4KTedz24wmNT6Bclu7L2jzc94QL3a0gtap1RMA
7AM9qMybpgHS5eRVZK8zPdIxb8NtGgOp9EsTleV6ICcCRVBtoBO16gHfiULRhZKOnkcURP0LAYo5
EcGitZMNw6M2340yy1p0WiIDNoHEzxt0dQ85wnuO4X42PAot/bpNRIt7Wav2nWNxVePKfxl4vB/7
rG3PytRf+tqTVxWaJri3/VAxSykCdSKCO4Hp6pt3I2IuANCJcUlhtr93YqhfRoIu5OugGHZdYgcU
2VHVEy0FujxYjusnMEfBJSKBEm1giofcM4ZTpwxryVgBSZVTH9rG0q7rWjlr/M0he3k3/5apfjjJ
KU7WgT2aF7x/3bMXO8EK4oxz41e+fT20fegSlxXlcoGyuzq7sImusJCbxSpqde0i0tJeuaLt1xwu
d9EJZzhUTV68xK0SS7usHoK20g/AYh8Vj8Q1zjl71ST6s2GG+6RPmhO4avHU9yF5aG461ksjaIw1
GKLoyJANIrBXtletW+/QVykcPiZ5rgz4WDXLahAnuKBIVF3PWJqRsLJViMJc8fDTYFpwqejoofLe
K3dmZnwOEuEuwszJF4QeiyUcz3RFJnfGGKXjOjArsYZf7fOk8INpFQpJxJHDI3wz92ox2JqVdfGY
nWAor9VdWRMru6gLEiNAD6hlOg24HVV3VdYpWPA2fHB0aRwL1AJY9gZMgmCCN2QW5ndxUnbIFdh+
bBjggVo2s6RhKk+eaKscBk0j+eQ3+VBjBLb08V6v6+44Npb+Wat5YeeE5RUrUIe1t4mblSIox1J6
t62KFrGRQmZ/tPJJ4ojNs245UqpRoc1gpqgvjUNLdt8ljh3GZoGz90j/OJXkwj3A4wichZ23j1Eb
PRG/ExADydhmEQ5d+NBVPpOuZqAdJxvr4KAQ3w16iDKOLJgNNAbOg6qTHpd+rqOu9NzWweybRjZ3
Qq7SZTXYWIAwcsF6iHz4C26OIL4X3mPl88W7aqjvgqR0N80gg2TN47DfeXBgViR/paDICaIYahBr
BGQjZE8isUK92hxLMQqLindsj0MtgBSb5mBteM1w5eZD5C3Ro3VfE9k67x5RVus4dexpR3Zk9la5
LiiEGtVFNm+tqrypkViMcgHLkD52lifOOtZktU6KLl56rYeoszLMVYCfdjnODuYUu88RU1V3xkNW
WQ8838hrKTKLljcD//wGDboFWMIub9t8CJ1bhkwW3mHNryEfJ2wLil4AZzP1cOM7RcENpLMXTB0j
BUoz3DELG05F2jTrsU39YZnQabw0bAOuzKyqWHlHK3xy864okUIm7LGE/xy2Rnk7BX1SLfIwQr3X
jie7QbJAmIrEvMhgjya4TXBhmanjYMhx66EXvTFs1dxHfX6QvTxW3jSspG/K67wpG3Bbrr7tlKxx
OdjBtg69RzZq/cZt6hWKGXFJuhGBOz3KNN0kQx5mh4b4AWMT+9M0zlbjKqFDVpQJ2D1num0tvfoy
kC5KE8Q3s25RAZKg29ByQMieOaVtreVvYzc0N+RtTtdaBBxxHTInb794qrqv2rFI3UUdtyIwt7nG
4rYPBmcrI8u9LY3scwVEIToWmXSDk1Xor6r3q6vBZiMXe1wLe8xnAec5GdO1h1J7JlzPHv4YN79f
IzokUuFmjnTY2Iib57RTu+o/TzMGQFi1F7o3oVnJG55+e/UdGfBTJf//GEVS6P/W6YLTJCjaPVvg
nP7dNpiyWQqcRi8xbc2lEx53tomMpdm5//c3+nNLjTeCFMMTAescA8hfW2pezWZeZrxRFkHkoE7N
87UqJHs1TsPM75hZUSFNdXSmLLjP//TdwV55PvBQQacSZOmv715po+Hq44BnIanMe6fv8UTgl2Qr
kdU7QJm8K2HI7Ae1PmcH/9/f3GAo99tB9nToLRC2sMCSFPLbdye8QYN8XZc7ZDn8duAvMHvcVEID
SpB7r4Qxo146MZZHFc4WSx3cMTUABpZsR/DE31GO52/7s65ujj8iEw5QlANWVvz+eUK/bxFLUcy4
dS32vUX7ASmxeY+NpPnq18bf2SXt30fBBFPQNaahC9lUsD/8feAddSMq1abcFXntn4D7Vc8NT+PX
FBTdPN1o36JMF+Icdl5roVXDBT4uGzIg8qvETqCUfNhyidAR9XVez4QuzQENU5uG/9hFoFsYWXAl
oYQJ2KujsfuqA5Pw6eIINd2ZzoztkgMe8riFwqKqxH4t7a5Xdw1muWYzKYxfzbJwMEG/TBSRKQyZ
gSo9DEAsxQTZ4/jlMXGfuxaEmGxsvrJOFO/e1DGm8UPKOCUbfh5jZPWsw8EZTiEFsTY/MHWqakML
LpPWtA3p9lSLWy+E0jXyg/W1gO3jbGtIK8O6gVX+/NEA+eDPfFyF/w7J/2Z2QtdD53r76/Ym5AP2
LmDeqvjnQfkfr/ujwwlp2dC5WYAtA94m4ZgO4x9DE9/ADsmo4mOQ8mNGzh3wYyauf0JA6xo+Czv3
Po3BfzId+dMyyoCFubsBJcDTvT95fFtErZFCQ75nGIy4j+zsrZXMfDAirOCdUcjUb0PbybfKqIO/
CawgX+j3hYPqjQ4Q438mI0L//T6OXYIV06pJ9znYhSt8UtNGMxvaYcQ7eStbRfpOSbp6C9NQlMo8
8dPZ1mUWp1KU48MUtOQRlajWQFqlTo2bx8BDD+XWHG7qGNmeO2rV80TTdDIpl3CzHIPYHdt10VTm
2jLUdEWMPdY3HzfkYozEkCKoL7pvbuLRwpAxo+wa2VeDQtdybqU24jJKggGpWj/cfIjqGDOPW7eD
plLaczPJIQrixMe0CUTui+rV8pEBM+5Cktdq1n5sR0YeTiS0oqJv8wEkNYKp1Q7eB6l01DhLX7vQ
Cp1N77ua+ah3UI7Wecv6ijsv0uznSPdH8KcQnFV0LEmbxUrS57Lqb8imhpjqhl4fnid4Et6mTEcj
vO1D3YHjlebAVuMw172N2XQKaVvEyr43xPyToRH5kFrrtCq2GJ4cer0zyxWhBFzX4IPxapCSaHlL
g11eyO4CXBD99gXJwF9g0YTX3ezMAoSBSav5MGwZofSeJmpjbV3Mjq6+kO62hQ4KKAV1o47vy05k
d3a9BDNYOvvCstkhNuEJWfWza6xGzDu7yHK0clfgBJCuIR/+sJp1s+uszvuN/L/sndly3Ei2ZX+l
fwBlgGN+jXkgg8EgRZF6gVEcMM+DA/j6Xh6ZfW+KWa20eq8nyUwiYwDg7uecvdfG7n2ulSPNvprT
uj4ul9rkB/eDM9HjVi42TtkpIrgiWpp2X2JdT+0PTfnePOWAq304KoWv+RuQUfG+U065xG7ThYyi
cgWzp9gD7e0OFtY6Wt/ZJVJuuwErLZJUzLIUZPVWM3DltdjzRn96dOE+NrDH/PanXRrBJVfMylE5
+1Ll8dNllx9dPWNKVlmgd5UXsFSuwFozoi1tQv/NuZoGmZknZ1qN9Wt4NRWOFfNDf/JmRCAgTg7A
AfmpSXkR6XJNW1nX85MpssdEwyjpOCFTB4GNMRaO8eQoZyNsCmsTZGpfoxu4cJQDssEKGQSt9zor
d6RflRglWRO612Zu18kM/NtQfsoUY+VwdVgqr6U5zBS+ThhwCFJeTLrdzm1QusYL2GDvZLgFpk0h
uz3hrdm+sCZ/2eM3emyVy9OU+D1TMzePUnlAM+UGzZUvtFIO0X6okmcO/ckLVzTbjspJyqAu29Hq
rk6p8plWV8tpoNyncWPOZxQFw02uvKmct7CpBhWO1SnpOJxrFC4bjbbZrUdn+Z6pgIPQl0dilxHW
C3/Pi+ND4YTmHXVSezMol+zYKsOsOeFirNIhvu0A0D32UHEeKD+rg5mS9KiN+G4p4pKnZnC6Y2ej
aF6PPZMU/WrWNZRv11YO3org62036+FKT3xv09Q4fe0Bzy9j8ek7vjt8wL62L1KcwR0WYY61BcF3
EbhhH1YdDM+9wFA82Tp58liMK+U1hunNWVf5j3XlRC7sCk+y0Q5bqMDuRkT6uJpHvMvV1cVcy5jE
tgn5f2HJ+6S061OkfM+oBs170oKn5165ou3AGO75QoK7sax64sJwT8N7y1c8JwTlKG+1vLqsr4br
XHmvK+XC5rLztGiy3vhuWr2bmtNtZw8h0WIEC7cenZFRi/J1u1eL96Dc3okgM8VrbfGJJ1G5k5Qv
fFIOcc69j6Cyh9soyM8V/dqTUH5y9OrZdrZ9ks6vdnNdOc9xJOq3fpf6J63MxT158hgDkNEAmqSc
2tLHvcuuVnZDudr7PqT6tnxGI4Hsxn2cGuGhKhMs+B4aSb6M4ravSQpXfnlPOec1vBYHUVvGg4NF
mHZxpwXLtnbIELwa7+XVhN8rP36rnPmp465HBmcH9hJ/DXdf/EiUkz9Tnv7aiuNHgwnWJXQ79ySU
6VUjq54hIVrRby0urdNIg/Z2ULyASpED2D7lJYtLcAI8Pe5NoRgD0xU3kCryQFHY8qCF+YDn1hhO
Q9eYB5GJYuPFdf0kbbs948gKcBowjDDjMcJSyJnV8fuSgrRwP8GtMy93upbOvh++S7DhRKDN/iJA
wiVLD3z82NIpM/RuqZUKHu5rrYaPAZ3ygs7L8FrlnpEtB0HYIsxd4qCzyKqfgr7o1gTTAJO285iO
jIPmvbCMeoMmt/4OIstx1hi58p9mGHrboh6D294IvOPgkXGTjXOzj3xv5/epgH0n2N+QMnfZqaMi
u0u8vL0FDY+322vLQ13CWg86oK6JlSKoz1zImEPRfydp0VmICgbjEi8caqgWsd89YFPvZqY+/9DN
XkF++pjt2uc7Pmay0x6jyHZe6rhk6Um1khSgVksKtWhXFJNzEKwJpizv3LQwT7FOdh+YEthqXjah
oApsb+t2Jb0Q2Om0UGCG1svciFAXlq73mupzBYLRfGUeAdEuLOwHLwzbhaGP5o3sfItlcBLnqZ51
qoUCL67dHurMNLYwyJbDVMQrP6nFbU/3CyM4M4gmKspzGQrzm+t1A5x6LdvUdWlvNScpoCM65tpz
2BxB1qIIL81qP816e+/aofWGkJDkLKOrgH/LwX9g4IdMEZDkRo8a49EOaFbBhKiscxrUAaDEYfTv
s7BwoTiyyUrdvPEIE+Sy55Z+W+vE16g2KrYUb23QgPqIejJKAZNLf0fgortzNZwWbdbiYA2m9lzN
WXUGy17vkoiR8GjaBdalWFtKie1gGxiN+52zgEC15yeE0dim++mBBHjJS8/eYOJ4tuvMXcPluzdF
06KBKfUORLT02p1gyQsXSZdEB1k1GrEDomWWa9GEZtOu57cY3lMNhC6QBwHegY6vPE6pF3JrWu0m
T1L7jE8RlmfMZt0TK0Dalde4ycqsZ6zuI4vwyQz7mulC81ToTX43yMFCkz/r1pb9DiuoRQohFMmJ
etNwd4KpzR2QrpFdwY1fOKA57VJL0BLWU7DrAdSCY0vhDrpGQ04CgDljyZ2dnWVZkfrYWCOpjRBn
Ob4O5GWkWiovTtPgu4aDs3f0qbjr0lrynJhOw83hu+8cfKO1ZaWC0DOWFRLFOEyPnFSLBR19+TAQ
dPFNx2LwzULVvsHcPNP7Dur6rko7/zinDqeV0A72ulv1+SLUExOURckOtgC1vI/7oZkh+pnJIel8
2qzxYMTEuoU+BohahO2HmSduSxc07SbDIxCw9m6CAbsC85LmYGdRfY9Z2Ly1rGY6+XVjrGAGM4fB
Q36ICjmvQw7+z+QOHRNAeaETy1Uv4lMR2waf0jrkqWv8iF1LLICDZcs6gJiIq8F5Zr4q9pOGeW2Q
kbmqe402tTm/MjL7GbvaPTmc88KPBmcFzAsUYU38RdkVcqubhETiXMD6W4ljnBk5wxa8Yr4wN/3k
WUu/9fuVyUAa60N8N1ixedva1ovRWkyYhw6jQYqhIU29BsVixheTS3+R5RMaKdOEFw2XGCdPbW4w
A2wiWusHRst3xMYBnGgKAvOwqefEVBbEBcJrx1gzMupPyaGYSyYvpZVvXQ/8ONMPJmqMwEAfzti0
8Kb4ge3ejU5Ey9rBeFRw+71qrbsWrh085gRn7iotmA62aPVbZepfDaG0lszW2ObaKN7jTvY2U9vN
ywpK0nJiOIIdsgtPhFKzs6fJdGfrfLjEy9bx3OXUCVXTLZ0K+9BfKuZ/00b8e1mK9Mc0LZWd5SAx
/9JfiwIL1lvvxfuE1rYSN7t4j2ePVdpGLfJg6QUVKWepgi0bafTvX/xv3SUQL2R1oTbHH+MY/pcX
n+Oicaa5ivfGWDZvM/mtN0RHRnde6qeX37/U39qlFP4GsklDVb9/D5OmZ5g4Y5TzUpWoizXPCNGM
xRSWH79/nb8DxnghJZqi4aDDt/vaokvLabKa1A33PRzzTeTRp3N6fElZga0G0Q40ucEnM5aLnr/C
sqaiJo4jutOCSBXXQcS7u76l//aP/qF/xAXQfyuP236U6ON+0dv++TP/r3ekE7Cgc8u4uqD5bSkJ
3J+9I8/+l6P79IZJdDMdejr8079tIRH5bOEL455Dsi3+ow6SktX92v5VRg9+me7Q/BW2o56nv4jh
fFEWXlACmTS98EWm0bjo2rRcY1Z6LjTnoYFjUOh9/ezlxvMkma307sSsbDgwgvfWs1aLvQn/ad9m
/rygUWDvOfRlW6Sy1YqdGrbJ4DefU8BiXUYuLkCv1W+0MKt+YPfQL5pgXEqA8XVVZuminNsEFPfr
PnQvmDa8s5xjjmfs4kSmS35bz8SGSnndagLoBzOeg941y3rI76ZWMAHtrG5Bl3iPsGS+t1kKV6Ur
3aUxyf5RxH66DKcx2EdEoi8szbhn+7W3bRd+d6wcVrlEiMqEMLrt9Ng4JqacMZEU8RlnN1hQavmz
Z7ocsbOnfuRMY47zYqqJqczd4RXZC4oJc5CrBlrCzxjvxjGVbFWmP5e4nGtna7dSXzdWwxmsmBjT
W9m4xgbx3iVMD61eBCsGhcjn3P5VDBN4lm44JH6ab1DlyVUyA6WcuyJco/qjv+EWl7xuN901pVG7
C1TYUq/V464yfbkY3dK4+JXInrvBrr5jstjkvrzHh5FfUvJBSFT0mn6ReNBHlkGf3TYVQoq18AZ9
WSMZee7nMr5PTSR4ZkveumkW7FxVODQPGPGCB5xe9hHu6OwutNxGDNU5NRa6Kj6RaiKfCTtlfsAY
6GnMqXQXoNQkBkakMtHgkzUlUdLUfebdu5KQdIaXjDoyMdi7zvSqFxe+MlWmO2RPRVpgA2d4u9UZ
p5+sAmXgYoa7nm5CvWpu3Fp4K4JUkSHEvugJDFKNRebqBcaZgACduSSVR5FL60XtFS4HnSyVVxJy
jN24RDGFtWoj0Lv8cAX9mtUY0CGwBakNCTKoB4+MD3QGcfkAOsw4mQ5KsCvElNI9+VFVin3uGy55
POjZDA6fYMMwqpJ0YA8xgkv6DYRlWLT045brJ/NmZyKkYXAZU3pc9YiYP7Inwof0n02Pnk0zoQQD
2O74VhvC2JtoUOEeiNqGcUIxh2SdtAD0Swecoui5BDCVlV6QfSDo7T3ZPSb4nd0OfPh6CqcL7Dre
Y17qMPwd1IjgWp10aRIchPIz4xfizQENfM0kmqjvOeHl1UvE87eNSbiHogTvYxWMcUvkVkTAUmUU
8WkCDvAeI8LcGr1ZfSCIG89BTzLv9Z0lQVJ5m6E3+PWZEO59OEco/oCdOEsziLx7a+QetFT+UJZH
1qGwi/6xTSy5JLHLQUmkPnhn5tNl6u3umzvm/McsSMTeRrDbrjyznNa6T88kkVby43qn4b/i1ebQ
H6AnT8I+xiqLCT1weScrFfEcodWDalpnT5YvxXdZaDEB5Lnl3kPUsfalSrBA21piMsZXJMLetXbV
wEXte05+GNKVQBRj8QbNY/feuRHHWb107ti1pyMyL3EJ9MS7yFrL1xF3JFgf3w5++ALPF3SgKMaS
RcqeNni8oss0eZOFkfZQzjVAQicpH8AC+QjEmGJdr1YuSWKKQyVAbNOg6JYGGtxlifsBJ7Vl3xi1
Orni1CdF1wn59b2cwqWbjdz1gKQZO3svHBcmAgZK8LvJfGqL6DTU05kz9eNQo1Ya7PJHEXvkeDnT
0vduRdffQU4+R4OO/rCLdnnSfNrSP/pM7hedhvhJuJexNWkiRnCn56ewaZ2VrY+I4JCILOhZofjX
qNwn1EqiKC8d+1i/QCIMzyY2nItVJd9aIyEBYmANTw0vXDluZS5pO1rLOJ9O5Emv5Jis2qA8mIUb
nI1OG++MUSQbrwwnOoCeE5F3mCqF42CtJzABCxdJ0m4Y8Hl1XlqDNW2M9yIcl0MtPmr0MseaQKtj
MvftuhA5CbvCfmuMbofO+x7FOPl6Q2/egUcKXrRQPLea9zb1JSiwos03xA0Ds5+QSmu5STRxSzo2
wkIxcFp3yofetKwlFsL5PR8gUKOpXtgQeDZVNz4USV8d6Kwxm+mAkNszFzh2jM1YIydK5JTe0JL/
5kxIjV2/3qfjlO8JvTR3dNxhXXh9hR4deZXug2IK6UBoZflSM81cjEWpM67Q3UPDjb9NJsQ19hC8
6EbO8Jr6uDemT7jtlyr23I9Y4Fi0ZK3/cB2NdmOaPnZGm7yCvTIRSA3tIqbCW0LrQdHRQua2YBDW
iwEpBd3vgeEzZD8DMbdO2YG12g8e6rx9R6YZrPXCm05j1MhqbYZDTKgZFSrgornp1xRzjHwM55Sx
5t9zWwHMcwLjbIJ0wyODsG+Z91qyS2mhrqwWFGVriOqD3mK6BuSwn3ICE82qeu0xdq5qr/VXiTE8
6wGMCL1kt0cvohom/Ztu6S9oMbb6VAffpFFNC9NMB4TVMl2WJHzfNhYAoqnQaaRix0ziInxGPcuw
tzUZa+jeDZyScM0hwXsHaTpcXDs2vqU43jhD4IClDeVMB9kFeFAGUgzGJUjNbwmS4oXVWvlHizfx
o8M/fiC/AZlM2AarctCGDXu63KQtPxvm5hrbuX5yER3dQ0YdMarXnKxMzV7Q6vBO1VDJH4U+ZT+k
MMwTAqcSgHw+kQcQz2ShmEyP8i7u3WVUwAAnUMrzF8RMhzfMNFLj0Arg8YsIZe5J+ARHeMCedR6J
EOvAqN05BrExqSnGmosIu44uvMbEPOlvXBT63DEFHv2ytkE7WbNkGxz78lTC5DlYkAfpido52Jg6
ePLruLtIBNzJem5rhimdX2inLvTsPSeFdGvoZb2OR8SoGCdLNG7N+FnA5bgz8rD7JptY7qCQ1d+d
WmlTWQtXJNcQmOlKOl1WBcbTnfcpyVnHfBi0g16ygCGDqndlQL4xpWuyTIIp2JSx4fG2sno7WdlP
t8VE1DaBvEtRj982AZV4RgzWthaIo3qZBkvODLdjCYZY07aUSoABvfklaZqyWqG4oncg6wa3amos
4ohRCc2xbom4ztrOjDnJ+8OkrzDgosdMamftcJ5TznjpULbsXIN3N8k6e6iTFh0ZdtQXkw44NKD2
QzIwXdTO1G18KOWbPgsqEoBoDTeEbq36ZuYRx06wIBX0wg5a3hUuIQCV30+LVpf2k1mN21GO4ao1
54cJc8tpjAVwG89LtlNhbEF6AmU0mnU5lOEH0RRbs2PLG+oS5WicYOTSx/FAk6dd9kkb7IGy3MRh
fbECmw5x4CX0Fp3xGCSYF7pVokWMkxxzvvgpq6txdHvwH8OasI7MqLZpLpPw3nSSGqdq3xI0yQe2
iJ0k+DdkSwhVHmX6RzglcnOSKjEdkFppc1RJl8k1zXJSwZbjNeOSxoAKvGTfJv0yZyzAxPeaismc
g77cAg0IeZnsht/H3LrXdKI082uoJl2Oh0AFbRoqcpNk2hKrt23ddvb8XM9mvJ4r5xL7eA2SucPQ
7BPfmYEyvKtdIj1bFe6ZqJhPozW6W6miP2MyQBvauGtpEwvqDQSE4o23GAlQ/Sxs8kN9FSQqXae+
hCpcVKiYUbpVP1AQBwxK+uRVqjDSWGuQCBaA13KNqNIw0XUgbW2xHIZ4xP9BmE2lwk3HDhYkeqFH
XwWfAh8+zioKlUjfd1fgpLaYvZyQ5i2z0kIaIyAvdbF/mEKVqppcE1bDqel+6pbs3t3UTm6kimIV
XmvtTBXPCtzoQR96X4c/Ncyktw5duqcVDvFhnq3pxoobAKEq8jVr9Oy2jfI3CtAwX5eC4QuWvNk+
YmlimEpybK0iZDutzt/dQeXKyqDrNn0RD5tGxc5yfHHWAvfQBVfKvOQMdDExSdxByFGNcvzNByAE
wEtVoO2oom2dnpBbUMLFzXxNvq2nLrtLGTbjx1LRuHS0Sckl62ncqE58yj6osFaUhsj6JKL2d7yZ
LBw4AYxLrOJ3wV6hG1CRvPM1nXe4JvU619TeXpfFY8GhHxfS7IH97ErU5MhtPGPexxOYokpSZDFO
S08xLskXZAYQUmoXMoBdREyZCJ4okTqX3EIhh5Kk9HASFbHfPYJAaAiGwidfzCZ+a/bBeVqOMbGj
6QoSbL9o6nb4jNo837kmmv6Gfi8g6AI/FxjUdgoQYprtTdrQra3Cxrs4uT6ciSmpLmA751WK0R71
oKXBzizxlgdmvKKPFjBJjr9R+AUr14/KDVxob5+Rudr80dj7b9fnn7o+5jVY8/+vGtpB1oh/EQwZ
f/zIn00fDB+4ol2d/MuvgiHDIYDdcpSaiHkW/wW94J9NHyH+hdMHiQ8TBYR5IPT+R0dkYMDGkQi8
xdT/c7geqqO/NoEsYIwoPqmQ6Jxi57a8L00guLQZAT6heICOXLHnzHmLiADjCxthRlREZYXNPcS9
BvFyKhixpdqFw8XEpESbgHHFhFdn7YiagexuudIcsN2+Bqp2HBD36Tq/h9uRXqSK/j0nDXwZsNQ2
AbrRmG6IbwPIBLDuRmhkqrNGy1WcpNO2hFpxmRNz3vmAXBfEWvQfBAmSeRNZ0rpjhh/djUWGmiVq
O/mK9m56dZH0xJyp+NqWUThQ9jbMUTZUwPUBfX71sxdR8tqFcjpryGtWggPgy9TMzRIHd+pSFM/d
x9CEBvULQaKh0I37MHLuqUDieFFmrfimuj7/1La+Yn7+V4Z5vQQ0dl2uqg4ex/CUbPQvfbh8JotK
C1rnYW5Mf2+bvb2uhBLA+ihSOf8C5cCxLXL/zFhWMElW+ZeV4xEHzxCd6jFKprXr2uXen/vhdg7s
6CTQbLwb5Jl/L2q7vUQTjQlEvcktBTVzE8Rj2RMltbdFKFZt8GqUd57XfOsy096hPL4BhCoeRSS2
QLvQsqNH+H1j23e/3nfIjNUN7Hm0VS3swr9+6MpzvBA6SwHOPA9eDHX1Qyb/z4awxrPm6s2+xyaD
wEzCMsNPJha51s2blt0EhuOo/6xSQzVfbDneKeDEQZam/RBM/K02hfgQVWkcCcGUd1HvwHxjMnW2
veCJZozY+jGtkrSALUYQId4fcAJbIhK1bTqYzkrFuaxnPeeeViaHoz6b74XT30h0pruuD+zdBCCx
W1iBuYrB8q1HG0qdTpcB8Tahs35ysKxSvsURY15S6uVbxXq9dyc0xg3Av0UQcSCthn7TxaTF8FCm
J3fQeJjaNEZd864D4GgWTtA4eHygQR49tmT8Vd7Yr+K4rRlGJbTEZvCCgmkLHLRivBCmBUuf7Jrk
No/M+mbyMvF9gpTz4WUcIwApUqsD7oCiM85EURdR2+78sYqPWdfptwF6nrNXGMOtzUmlo2SHPLiu
oznZTQSk+UtgsuKixd141yKTvTGFanrNHpxEWz2bWjrDQZTtdytCTeGTBnTDcNBfKpHL6ff3zpc1
S/m2hQ86x8TWB24CHeSv944IIZOHZNxcIpDS953fF6i4WrpoI3ruxgXTafnq3mnK+U0Kb162uHSn
pSWn6J2osfFUOSI44Myqv7u1BVYc1fG2hlYz+goZ2Dv5N2IUILoNDT7wZAAik3Htb8qAWbpOzOa6
hWANja8Ul1GnPli4BNDh9NamW0tB9ViuJqbInHhZUMuUGr3qjDWp8WINVRmofDIO4wlK4Xx/vW2r
BOofCqXptkE2eWNUAFUYOuvPnpa33/3EaL+T5VJDiYwRE+IxQy1NpRX/LPR0W5dYF5bgF5EQmn3v
bK1pBkSTepF35+k1rbLff/1CgTf+d71SXz8aV8/VPcz6ahKhHu2/rFeyNloO+k1wEU0FP6kzXGMx
NbX2kMw+n8BIBFV23WqPyRQjFbKxyGGFaIiB3HqkWFKa8wzSFMrq4OClQ/WaDk4zLXyORNBi0Ku+
0Lbiw6ie776Oe23zn38ASBe8LRVQA9/2y/1TzGnbGBFThswBfITxbTzVVRhuaqz2RHIUrDNBjVDU
RjFO2y4CxwoDs4KxrdtH5ILBJ88ebFAxla/m6BpEKozw4URFgm+decFj5tb4liMynL1/GrCq/fjL
l888kEQT+qbKIvLlvdNBjpvZkvalxPcJ4rVtg0/uZuLyGiauTwau6ttkbFFPuUOx7XKPTyCKAttV
FQ+HMofLKOlJ7jNbNvsSstRj5+T+1pcW4J8GU/rd7LXxDeXHeJa5n4F5bmX7CfKIngophT/bQPZ7
Elm9gZKGWKvekmmBktZlbp7Y82JUDc+u74PvIjKSHYkZ3qEliQVGgOtsspYEtiqLxheACbispVIj
IFVdz4VbeMsOL9WHAR+pWYjcgmfEMN9Yz2YFvb5Mfxr0z9vILKBopVW1zyw6XoXLo86ZYDxfH73A
18J35IHRsEb6wdujf3aYx0ZcKJ9olecJcEvaRtG7jiVyk8DxfeHOGz4IbVAriPpqyGs89DG6agtw
C5LqnJUPuRyBgiJPH/VKzIi64NtihEreQDHAEg+jEYuPaJeNagxqFmViNNLOsGnInmCXsZf8/ibm
kPj1TkD/zZkBPwWJbxwHvxwbWKshjKYDprvMIFAUMSkTvOvanMmRlkhQR1jRrhnScxRuOIpVr47o
ZsZArEnrMG/3kVa7cKOS7FDHtOjgAOhxuhy0JEYzEhabrqZzteBJ0n8iqcy+sfx3PwXF/kePeENb
wYDO3VVLlieRBhzHbgcSV9e5q0/cB1YB3iwzsyDbZAbY9wVkA8L+qJxWTOnd/Wjl3+i34xl1o3bK
lpogAbp2tHs6IZNctb3evyMzZ4nEDbpqSjC/ozFDL+Cp3blZrI6c6rpWMu6+E7C8g3vGUGUU8bz2
zem7UVUwsjBwo70Bs4COnAcCpho3ayJaa4l+wX0zXStfNcOQHkoj0Xezn00aLYe53s60jcpbMQaW
vySHI3piH4ifUJRhO5sraULoivPke8uIgSlHWjvhLuLcMoJJZTVYtFEVvWv4AS7aINUBpxnLg46b
ZKu1ubNqKAzDhRlByGX+AlC0RaWKIbls+aJa2fD3oOt5DKZIzMHSI3HcUpKX4jEMu3Yf6Ba7zmwk
5s/IDOJpGRpOlR61rlPHH58Uzy4utfVML+ZnnpWsq12dgy1mZScltIDZFtoyPUzcCLT/JYMwzZrQ
umHKNp+JNIvhlpDtcJ8U0JUWhpuQ5s7ZctdpTDYXbTvPn8JJvb3Xz9oaDhXxah6NXeVYmiUGeCi0
HhTUaIlqy10AGuMxinFxkkkaNvADbHhNdhXoBFHO2afrEpoO31TBLqyS3PWU4I1MpvnJdfPoLHJX
LtkM6GK0ePPurw/Sfyvbf6hshev8Hvdzicr3j//D9P61eP/FEPPHD/5Z37rGv1A5CAPZgq/qVB3V
zZ+iBv7J8y1knQocj0jmf6pbhY5Hbw93jOHYn1DJP10yFr8O3yN2q6uP5gvc53ewH/OKMf3LVqnM
jMRsWDhULN4XG/2v55S6Cfsm95G0aW6L+Zn7+8FPyVknd5jpZyzsZ0l/+TbTKlJne+jqoa3tdYm+
t+zRc5GjkK4qmvv3/pAX56zXn2xIJpReWZ1sSouz5qysIQ3Zs0uLLuCGPEQYkK17qrKBEdFonJNR
Nq++md9Cubo1NUkEehWsOjI8aUjn4KyGHmh2E3+y2MWnnO9xSXeSmXFR1hCQPZZRW8hFrM/H0tfP
jtECZG7ka0k3mH5hs54sDBJAIj5brA0rGF9UgqV3cs1xK4ljXIIm+/RT9KjGcCEAIwIl1m/ITL/t
p/lsJdNRD/lf8CJIQ4pfpwoaZInG0mYdyQbjrXSd53pqgY4QHNhQV3wPamsXNx5xijokj7IN6IBp
2AY68zkdsleXPNWNHsoLx2IWT+Pc5RQoVpp9JpVKvAdGtDEztOLkepNtFLp0qeXwGJry4hUjUWLC
CfdN5r/JAHqzEVk7ssaPaS/K/ZyxQGiS8geQ1NKy44NQCeNjOj460XSRFYk3JrTtMXtt6uQV5vTJ
jWBqLhyrXVt8IGlBz++ms5VxrSaz29R+RTYxFeNsMY8bOzaJQuBXEiVflIgQnAZ2o4ZMeoSL2+8I
r2GW2FUxXGBNfZdR/sqcDTk1J+5FJ+koq9eqwLWtUaqeie86d0JuiSY5MumECjTox8qlIz2k0aeZ
8d9sI75N0/EouDg7r/ShsFwLPGt6moMuoHx0MrQNJq3blhei9ZmsIt+abxrk7eU0PzVWzUnTHh8h
zq/GqZDLImo6kovjV0KGCC4V45tXzscBecAyiZr4lNbuc0wB7dXmnS9jyMtIeybR7WablPp6HB5n
9OlxXHXcqOYuzLlGmu4xJO0IvOnxYjnlFK3pNGtLIIEmA07uhJEe+6IWEOGrVn8ip+HNN8EngBRg
PIQ723CHx7rpH60x+8x10kJ0p+xWeNQfzYCGRBqjWs9ECcfJ0aKlYcQELqjv3SicE3C+Zzqrycax
7FNlW+6mUz/H54RBipNJms4zbp9p54zcjuAyT5XQqh9JwMTaBSazarRgYGLBbZeNYQCk20Il6XfD
rnanARW6PezZlL39OGjaXRpN2bqeq/yu0KoJRXU2HPKobpdCy8w35qY/pqFxbgyPNF7umjIGmgUq
C5IfhB0mBuksXwOXoowYY5E528SqC5oNwVP+B2HbAnyOKR3KfBQgaUl/NFDbl+mYrceIOTyTi1XV
TRhVrREYaOM42F7isQkPnkJ4g8w/ZTC9C5x0a6lZT6XCfbcUA+uht1/HYmreioLyqtCSaI3XauG5
TM2r2XdQEuX9iqJFDdXtDk4nt/+ciLfSKCuktHkFlITSbRTGBpwP123iEehnbkP0DTonK8u7o63T
b0e4NguQVc8u2P5e1HIfDM0n2Jqj5aT/5Db89ZjLKu5T6XgOUSOYJqnZfl3FEVpafQL5aGcNqhmG
y0OZck8ERNHpMpx/OFZ/Ka+ur+azoZnY4GnLfiUN+xa0GYcUuV3Io74qjBRTBkhTx2RB//0B/tfG
q+Lj+aapdHzoCpF0f4VwS9cdzSSoAIV06asfsBqq5TgxJCmEUB7LPX/T/6Hy/ar4u76mx85veoav
/vz1uwzNAnRGi/Nh6uxojUrosRx5sDXT2kkN7bT6vFk2H5uW1e33H9dUhemvuzGfl4IAiaNhG38j
DGBnl9APvGJHcWeuEirR8xQ4DMJa/ZiUSbrT/fFNIi/cpHJA+oZUftX4hTJK4NmBlxkW8xFWO7su
PUrfz5nr9Q2zLnmUDsu35wig+0hi6jK5haKyyZnij3n4pNsR+PwR/p2Xabg5Sn9rYxp4CW3kSJbH
8vD7T/pvbiGMubogitrQbeTIv37JIot9GkNWsYtEu7FK/Qyc5JzPVMX/8Dr/7hu1mDZwtEJMimzv
1xfyJThj/pF71addDSDvPBmxtdYzFuHC8dHQeLBBQiO/hzFyJkAhv48U3MGaw896YF1WRxWa7SnD
uZFeaUtYI0pJzXdOZjNsI4/lHio09ne64Nt6FONzaItpSzmMLiWe4mOvN+2lSMensVFCKRFbhy72
yEJ0OnRyRfwZxPh4CrIpF83oldtRSz6D8sqx2sydyqWpzB2JwLsoKggVQWOF2mM8pnhhlqKfz7hR
Vd4Jv9v3tB+NnU5LF43WP3yR6q7/emdainaLzINukPflgs2uVtaWZha7WRrX48TIyoYKwiFj3tz9
/qJ9FY6rJxDBrcXVQjYCCeHXa9aICdAUHpOdnQ4Xq40PKFz+YcG8ts6/fB7XoU+OC9EQpI99eY04
gvmVIV3dlf5AGEU8iqUVzAjixVs8m9O2wxGeCmtH/MBJBn60dov/y96ZbMdtZF33iaCFQI9pIjtm
kpnsRFKaYFGUCSDQd4Hm6b8N2vpLolzS7xq7BrJX2TSYSCDixr3n7JMdtDF8xAz3xXNUQe8FF6yX
SXOv6L+vYp/VqZryK0EmDNg3c+OGSbrHrjKvJBKbFdjz9pIT+UZ51UcPYdjKaT2Yjsgag8ymbhHC
7ILar6stwinalH5t7PoRBKVuJK92wSNYJ+mVoouW2tHEcZdBxSQQstqCdJJl+Kr07rYsDFwx5nz8
zXfyN28s3wVZ6STtLMMI48cvpTDQagEsL/Yi46Cg0PUHSYeyx9BSPnPMHSAcVq6zyTvltoNTqKUX
NIv8DJHwgeQgPKVO0W+HcCbJjUTwNRbQJ3A45prJ4KIPcU5hj6aV0cEp9g0JEJOVqCKpfu3K6UE3
hpe5XUjryR3x9FRVyNWChriaNNaRhnKbKsS1OzMbdn413Ea2g3a34fm06DiuWkcNaC8suc7DzN8Z
9vzgV426+vVN+puXhD1j+R9Nd05v7+7RENUu9C5VEItUrClxxhXi3R32iB7PbvSbb0T8hErhPfHY
hVnW6HR6P72TtWVOpmH1xb4xwIYiwS7XXigPjPP3vuD7mUseyRlDNWoslikpqQCj7AoW2UwaI1Sp
svArBIWq3vjODFg5Y6ZRTN6XNhWXaDDPmQ8tNfap9pHSmWuzal/Ihbods+lIu4HNmMcsMtNn7KZU
qSS7yBmnXF+s5UhmEOUqWGMJ0Zmv9O14OVsj0yAGQSSOpgdHQ0Mqq0FtSTTpVtncxRcjqMS3Q1BY
jNjku7Q8FP1wn3QcJL0UHDIdpwHt4HDfdBG9Rssne0fdAyW9rrWEEEGqNeEyASrSab38jZbz/6Cu
54GserUVFvzJ5TVqR/uE8P3eiZYDBK0W3qdKC7KaakkP5dVYp8yMKv5tAPBPtbR5xbqwvsSz/NIs
Acw9NxjE5xXEkzzwR0px8tmfZKxuMaEj4S3tvSpypKzyMOcIrtHMcPzpsgOH4l0esrNAU+TB5O1w
hu4qE/bnuB2KQyrsk2rVGs/fRKt32GEWhVFaNyUTLvuUddaT0SS/24/ffAzv1kNqHbqk2Ap4ovR3
+2Q2mbKmk57voRu8FK26bXX2PcVBEvmTXC/119tRu+x8AaKbSu/tnS/ibjsNdEVryY/VublOu0Ju
/NQnMqIxXRyCUR0Yhlds/LGf9hljEQ5owBpWkZVs6oIMslrL/Kuq8eP1HLEvdnNM2D2/ezC75snQ
WGPg6D8ok3JLb0wCsfSkD8aoQ37rUVlHHAzZD2OEfwinKLNd2d93ihW0MbrbxuNI6qPeRzp1a9kL
P5egzk3SpBjnhvmYx8M9UDWs9UKbV3Y5vThkHmybqrt1OR3s08Q5KTYRDpn9PdL266Wa79xv++u/
HbbfdNhocGHR+QVx5qL4yin8+fvm2l8/880xZH1gY8JWYqH2wFLHxvXNMOR9QBcGyAog6tJ0M/hH
f2lHaKG59nKgYOQvkJcs+/83Bo37weUfLD8GfoPoln/EoKGgeF85gY5aaFp06wzH41H/cePsDdyH
czyCQjOht5ngKp9tyWx21Sc6dPwY/a8CLTgxgaV1MgRpxBTViZv8anZCa+SYX6TEuyXqq9uznc4I
5D/7NAdAtvopnTZ+Kl+P5Jwi+ZuLz7nNGB03k3FGQuqw6vMaXmEHYcILEg/VGsEfDrYF785t0uy2
AYBz1tVzXjbIRto4BQiJTq1ME6UFs8qYP6V6NT6TqJGPqwQSFc0DM8KJM3LuGBn+Q7bZVE6dfom1
FHy+2eTsF5PRhOjjJpggYw0pgU23v1qcRRhNUSYvuGtqsk1Weq4ZoOiAGyM9ae5qn4TaJXQ8vjRx
t3gbc3ITDDQF7JQAU3D5UrVV9alkpn2COqoHvQmMleyZ4cUDuPeJAR1HNOXRD0uGtL6ZKhk9I9Ew
oPkb5YqJNZYLUt4csMdIz7zhNNtjeW2bU4ljyCNyhvnO4O6yMUlPnpmPN1YGYaOaiIHluEkTHrok
8L4AAz7qAwsqiZG41/gMsDZLM38ZSQwjCYSDm0NZRvKy7O5AbbSkUsALZLpu7sO5EhghtbQ42B0s
ZUkG4BHXK5k2cyvqg4IljYwvspkicIJ3Lz09NzCDalP2YOZVf9dbaUMzVgxs46kStHXS8KnTqvGi
Gux6U0B7uRxmQy5CBzZ5dOTBQNPnco5E/5gtlvTA9vPmcgib+hh7niJR2Z8BoE9LoHebWTHW3yLb
VLVfyHUx+HVBceouXWBYj7jusd7Wi5kqAgpp74hXwwZgyKH9TFw9TuUBj3VFGrUZkRTkF2LPYp7c
wkY2H40oT6CU2FwN4UtzhzVUbvs6to7CkErHm1TGe83sEENOCI6NTtX7YaIvG+HpxYkvx09aETUH
Igf9P4ZmcJuto+eRtRLEtiUbjG/+rS8d8o3wrJXEnUemcx1DkE7RDWOcWwHBTV+sqjT9FWGcTPh0
cuN89D5BnTM44ntMkca38bU7yvaqFVN8cJlW+htBKD2I6gI0u0PyMj5hWd57Zq2fo6YjE1Gr+eei
jKyrGmt8uYnLvDrJwi2TFoARb/nTWAi5hLRHtOq4PaPh6RgfyNfmL2UhInqDo68m6dy2pT/q2WWh
62OBygR3GQSZAcNyqGY9vJ0GZU6H2I7lvh6ca+HR1a4sdw5g8ETURI1/NzKfVZuWINdPYehPZMzA
GV+7veXDIqqMEsZza9/1vY2AdUpEFyzZPijmE/1kwRC97GwMJBZlD02Wlq4mwURkiBDqAWCDR5H3
5TZsR5xPCY6Sj2M4mDmI506X126C98NfW9Xc63fW3DKMz1auU9ik6tTafuibBwvi542WenCjgKkO
FxykDwpkxlVZVc0OKika5DGbd7jyp5u69AxkTllN4qodXXhTm90MjdncZoMcAyuVGCJNP9uQ35mv
mb+s8rBNVqKOT5Sqqz6HYKx3ySVlGDNQ/kumVu96N6TkTYAIhTE5PVI7SGmsIFTrK5Rn5Fs62hCM
eIceYsu0LjjKlIHgtmzpwbXnRLc++UQerPFG0t0flHYlZxHuo2W1nnr9sQA6Qbwf+vV0+tq06tjN
3MOwo4cDMWIKhJ/qWzD9H0cTIwxY6wfaj+5F7lUv2AlocSbGrY5YBiFz9hCZzdkZpLzu6uIJLTrE
2+lIFp6+zfXyTiVwivLR7YJBn/KVPqRqbRTLZIWTo7d3Y3TRE6kLq55SDltg7FzViWgPjQmsWobR
dvI9tTNMZa1FC6ZlZRmujkw2jQ/gh6jQyqGaPxEO3l7542BtaYOv4HBZR4dv+1KPGoMJTF/c6mNd
7jS70BZhDU/TVM4nGqOSArdEzOUldnVTT5N/a4LFjtfEBWQ3qTYOZ8dvvrplDIs4icRxzv16o7WD
lweVPRKfoAqsYiuPx+8euVu0hjZXrmvmPZs5aXMyT6LpBE6FRqsSzcd5OSFottVi7UhubCIPeSVS
6BJKtae8ScldybP8TmVheGMbIZkxPVIhGyQU+mN19EN9WKeGGT9nY/gct3p9Y1TucG2M/ngERWje
OqCy7voBhkFnAsRy8wKRNo+O1PRHu43rla3xRyzHMKDLhwkodV+GUbW3HlPuAFrYtEVA6W/7wc1e
HZqMJybBbT+jm+vgJK+avrVOrDHaJYha11jVEJ5v8XZm69ot0iMNZxOChVHt/LGNX6wMdj4CyJY0
27S/5SHMyF7Xs2tph8DNCmg9iTO3ayH0axcHzrozJIqv2TSvM5CXa62fqrM9iM82vfpNLbT0Lmf4
R6Siazx2pQXNZuBkxZMRp1jblO5A3naL7ZQYNO7BC+xE1SRHTTn+wW6HCatYMl44HVvkmM7OhUZQ
pFi/FX//1sm/rZN9j8ryv2usL8rhXZH89gN/Fck+YEWbpjKF7vcVsu+AYzQcNF4wF13jTcb9rUI2
Pyymd6wbsGCXAvk/FbKlf8B/v+hpkH9w9oEQ+w9m0Myaf6yQgcwySSAPZ5HqGK751hX/Tis35V2n
CjfxDnqdj0dNthUJ1UZ6CzIn/ZoXar7ARWGRCZfZUcSaGqYn08ybTzQ0WhZat9WuReTigoirSV1b
Zhc+pDOv97FOxvEl7hIZXRDOV4dBWLD+B/U44y8inm8Tjpn7MJFKeNPj7gZgTXhweIhhgHxVarIv
Vd17DzFuqGY1Z42X4yYSxrQuSiKc0KwCcbKSC2WrbCORk/a8c76NGC43na9M9bM/Ct0FB5/NJ+mP
6rFjCnZLrGcPkUhV4WtnzvmZGcpVmvVsBPCP5CeiBOpnYvDU4xjVeWDAHH/F7lzhHIrspY0wuteV
g0OcOabZ8qZH49XsNrQBfQSBr26uaTdlIfHFuCqPTkozSBO0Kg6wUesJ0klK07pE4p3KQGfB8Ffj
0MfPMyNw8IRhu8EfGX8SAKzHwPRyb9e6tukSi+Fkd5OI4zMVw4VdgrnbJ0MW7fCkeQc6uGqnl/Sp
1+SyOHc5ESwYuYsY9PyENgccoqBTvYpTqpx1YZX+10nosNeRCLt6wOywP7IPdIERpvWhD1Nye1tB
g9QoS+xn9egfFykQGzVbGf6WyjtZ1Ots/Mrtb5Wb1/sI4cI+1fSWU0joceJPUPTQxHequxrsFZNV
TwtKgh1uSj/DqqoRRnMWbujqKy+a5RlZadkHEfT2JzQM08rprc474qdhrhvP00iWeuT6lJ1O2AHi
HyQR7EVzLuK+CZIxqRGAOVUNgHCMSbVO2u7QyXyZicVjdO111Svg7anf691cJ0QXm+XrQDSwtQKg
QMISsdTdS9FQduwRKWbgxUZ5gaK23iAWleZFVTiQyJhWXTtDo9ZlVYCs18zG5cgBbEeUPgevMRHD
mYFBJB9qHaO2gqLrwfnaCPgR3Q44XXI7kC99nRvQT7OvfLuo1Eh6bxLuLUq0WGsv0WyC3zzpjpuH
p6itffoipbESFiEEgz2gkJyE8THyuAYuxzVJPXdWS9zNUJjCDjohaH6GpD9gwg0RCvCGBorR5WHq
rHTb5mnO602kxQIyxU4wrNxCNMDGGdO2epUHdSfCrYzTJSab+Hd8zpiCyCAA8CWOBq2nq1IX2O1L
6xab1J5gCPtyriym1XpDUrJeLOPtmvvej2OVr6BEh+vCa3gCraLWTxr9HWfdtoSwmE3ob0l46w4G
/M1NIinAzNEfLnsToMZQ52iG7Z62ZAmy/+i0dX8wZJ/fkrhn0borHXsHgqy71fz2Zo55MdNSvmLI
+ogJg+AkL/1K5KO1lg7TuzKR7b3WGxnRHqMbtAWJUAld+zsin1i1vJz6zG9pZQJvxPlGBjO+58gL
lIF7V/XptWkVD77VZEE082LDOdvLLrqFjhljgxcyCPGXBjLRlb3i/InKdXZyhjTOcrfL4R6ReLzW
1eRfuKU1b5i3q51nSOPWqYhfZ3kiNN1q7AvXtvKNg5BypDnX9lc2deqmHuV4CR1wfjQzy0LNSTcw
Tqk7xirmbNR37j09lv5YDU42ski1rCmUKayViR1qL/oMbJE3P5rPesrbi6dYXs+KtTGNKFBLfB37
XvMx5QnNHzlRRuM2NGZy7wo9DwY05EGUpPXpLamJCFvvmDbGM44c6CIRrroxzGnb+XW3ydvFkW9y
U24GDtCbcCbUNHCijLttmIxBA4ow/yUhxIV7bircpsnYjQHqz+Iywbh4lq03fFU6SmZVpDMHEUPf
6B4CSRIq+m3TevkTpxGyzACPoybk63+SoNoMu9dOdjoWZ0G6ynrKIv2ekVP22k5W98kVkXXnQiC+
qes4goJU69ussvorNXfehdQtUKwZnY0NKJuMRTdO+rvEMsuDF7fms9nySJtmPVwiJyiuPFG1OOJs
cW5bOw3Gjn5Gmw/THQPMJb5QE8kJoAyVOYe1S6iM4V6PbRko0Onr0vJYMrPoLPxW7hNEr1h8etdj
9uK5YF/MaI0Fn1ZJ2MXzQc+qeJvTMjolRhZ+jIt5iFHV2+1nyr+EuYKmkktDpe0eR3WNVVKMX3IG
QmgzqvneVKYRVKF0yW7IEqK3CPz9WOOXuZzjcLichxIvbObokuetjm8Z1og7LAvGdi5lBbam5piE
FTh+rOqqxQpP4zVuyyUefVnt2dHH5zitM/QtFs4nzCsjWhszRQFpEc/FU3lAlHTT9XhoOZ+bouue
9NpZituJI0yqP00wdhj+jW6TPDLsWtgRXen07ESp7snzXJLtuyrMPt/0wqnXk6lGYCD6OH8FROhs
wnTiGIzM3F3FDLqJO2uApkXkXewGPb8fRsTFSTpEcHpo6/BVZmv4rtmNuXSS7AJYZ6RV69ppkuDf
+vj/J5jR0Ckhf1UfXz237fNL3Ld/dF37fTf5r5/8q1B2/A9Mgx3aWTaFDTGLlL3fpJpvFbFp28za
/oSY/6edbHxgVm1a+PyJY11SHf9fO5lOs7GkKegupDf/LSb2HxTLP09h0ZEDaOWcy8V0/92EEcm2
o6WVVu29JHuNy8jfaR5i4MTTfzfw/7srobphFIQSBpLCuytlbHPWPAquZDCxzfXqc0XZi5857v98
ZH9IoPw+cfLvrsQ1fGSoLgP59+7KCOjs3FRptSe7rYe0pJ9blSPigvb83Rd+/ec06zcXwslpQKPj
cjrX+rETr9xM+GUzV/upTV/TLH1lCXyV/PV/uQxyE+Hyjf/0HXVOPLeIDat9qKEt9D2KgzZ2aKKN
zK3++aWA+FkYI5lTiPe6r6giFqGM+UQqpJ876szKAAF4l00hf/Ohfh5tI/TCRmbwPaFHfq+X4DDh
aZ2PHztecFROD3YoGh+wcD1UCrnRrz/WMhL5cRjJxYg5dVz0bD7G2x+/KI0mD+9mWZERTmS7ixhq
Lz3UdKWWPOuLRjSxsBaJKez+l/vJPN30iXdxnPevl9OUVGkx9PoKQu5dT0Q4tYWWPmiSv/v1Z1we
tp8+o+0arApMm3irf/yMcy/7KaFHvIeR3Ozzvpo2eMLCu19f5W/erbec6W9Xee9/QXuutJ4sNoor
+2g044PKGTIXzf926777PO/WC4wIMfFZXCnO+gkpmXyewYAwIv/d6yXeWesWnbrAVSZ03VmK0feS
LqgDRIZpbbrvHBIbba0tVx18l2Awraca/inzg4qWI9Tdrd0QW0t//jfqIVv/+b4ukeAeD6cLkfAn
kSCHG9vLSWKFfgXOv9IX2eWEQuZ6tggLpJEIQMhvxLYGU7jXsbVwVKJZbNZgslRtw+8aSheqwkjD
simL4QVUFnmMktkdU8uFIpi+AmQ1LwgzVVeVi+ysqWa8qQYk51VZ8a9MAMQ3On6qoHcQ+7ljnd/Q
NDYeSWMrL8Abh59VjtdnyFFNwwBJV+VU+LuBKpeErNFBEIsZMydGbvTWoK6si66Liw10wmLTGW5x
12nSOqDLG17qkI1GdA6/u4NSbpJWeQRDrGQAsjAuOT1k+hdJfkOQ0DHEpORbz3nIhwalUW1LjOfk
ZsFE6mwLOaEyF+qc6AkDW9XgX3aYeKttrYfjhhAoDzAVQoxc59O9CSeA7BJf2xVGEC4koZj45Q2n
KmIq3REpQgzElTMmEmsrh8cmm5k0WbB1a2+J8sTEoNE30o3HKFb2cYyE/Bx5ZYbmIk12dWuSV+rk
xiOUDoCH7iCqT1VukR3qEEyMb96tkA+YJmz91UgoU4ISHgMhDWr8xniUbvDsdJ9Dbs0xlnV1dnr5
qgu+0146xiM+wtexHcI7xF7lxbCszviJ4emh4U63TabjblrSOeJrmTjjrRwT64JNBe2uypOdilAE
UokQEJdBgTokkYlNi3S75BTh9TtLB9uCo/niJEqczk6f2cXa0AbPg+jHm5cR1HdgXARQ0OGWpQk3
Ae6+xKQcTwHI8ejemxeXfOQm6WcfjD/jUdRWOOMlB25yAeegnBsn2yUFUT1Xgp6Vv3ZikivisCJM
2BAK7lrBqBgpm140lxpYkEdPK+x7gFz5q+HGuLnIsNsUHYu3rnv13pLCfyh5ue/NouT5sRvdRsZl
kVEGsThW5bYfASpAQMDD4Rt8BV04Etw3GhXoNC1Cp6NLmIlgqXntFuthAMIfQTxzjF3He9+vbFKL
44eu0CK1671CPkOy07aMIdWV45bYrxJfZTvgf+Pt0PjqaSazcWdXfZdtB60xki2aNHvezBJK2qpp
o4Hz/JiKL7NftV+NmXfLAjQs1mCb2o/KJZ4pkpZ9fHOu52PJL9vgeDk4Og4HGkIAv0XKN2HHUfq5
jgyYhAs+kWBhFFKNfDXACV2i0TYP/CJiKyLwghqw/WEd5058igiY4xCBZg1sIiJCWF38wdcL5pYU
mRjKGBN+UNxxNcZ/FKRD7ovUQVDgxOCELNE/Ve2kdiYjWlLmMGxuZsRpbzaPNlyAS1qnkx5FmEAT
/dH1DVbHFiZbbey7Un3pgUUc8sIxNj2BzEd2Y/fmDR8pCn4tXWTqSnWNv4lS3nPLQ0rFwCR95Jg6
H5Eqb/MZ2080I2IMsLJw0iWVNUEzkPFQsypyqMsq2qm99M8mde221njr0z6b1ooG6cpsgTbgIraZ
fnZgFJetv7L43EYun9Ei4N0mL4xpTevdmKoTpzIaxL2EOXBA1sDVWFA/9z62HH2x06iCj2+3dGlW
uVf75w5p2UurNfiZo5Y1J7ZS70Y4iJAtHZGGzULZNKwfDp5FclswLBpNM62JeCX3DQSFdxOWaXMp
hp6V7K3Y632CLzKCSRnqSxYxA1yTM3DppiTEKmnpTOL5Gl5iu6CplxVIOFqdJ1g3Nk2SnU2sRdt4
MD2+hLw6t/VS2pcG0YxkobGS1yDnV7mA4e1yd5LQH4BB9WLztupCrf/UpZ74Q2c8CiiHZ8TGaHRK
wSGdpD1GWzXFkjWOYobckM4+ycjetpacA1VCSbBpfO2AjUEEnJ3yYzJyh2Y3LNaMeZuADXcIAPOz
cmd6A3eT3eBeYe5AN1cUB1J+8pu2Z+3RIlaPweelT1XOPffLfmtKG70XcY0nMzT0L77ou6NatPRp
2UOebrN968DokDGy89yPtKuuSc5mYqonTcr2TIowCQhyfkx0c3hkGIgWkC7lzpqFjRsVKysZivm5
0prwOks/uXWT45mMX8soJJe+Sz7yPpNjokd7uETaJo7A/wEgrc4WSNyMbTHasbh/oTuI4d5l00tx
wF5oSZw91GTLHRqE4g86QRD3iQ52IEDdC/H8bZHFylRtZ76DLce/YZU69PfYt4FYTdnY73PDtppd
EfsrQ8QVwtfWlzT6s4zFTHLOJD3BkH4eiEhPLwja0f2VV7lMENImb9aEWcJyySoTpzFsjk5f2SGd
yVWVGx/b3MgPQ23mhxLRehWQZVEf0ML0617kk5Gtw3rEmHacBmPMGaDoGWpXB9VmeIuCEtS8TsAi
09pE5WQISESUDJbzUHkHS5FKugqdHlpPwHGg6QmG8BuXdpaMPdD4af5HZTvRSiQRBmXPrUQwTD5K
SbO26RfiTpDcA1Jjk6BDKnnNHBKIGwm8fh+geJabroobkkrMXqictaf97KV6CkRuzO4GaY7ZqhLO
kog1hRZGwsV9VCzGvaTSv1hev68kEZ3axOAbZmG8NRbLEguHukGoqF0JE9neunNRK2kWQnzeU8Nc
lRKPNjTdbm/U2InJMn0mAzXduAw4N4ZeAl52a/FEy29EV8TMevHg6swqjB6pMRKgE69r9BJlruhX
6SJizNzRp7rVtAtauYROuVHO+kbSOot+RHXCgc0aVoPlZ/a64gPvU8yMeeABvd39usY3fypGl4JY
ELbmIFyjdfHuuFSN2Jg9ePj7OM+tA5P+/LUEnAf+q8Ndh0vdorRCmMNti6XoTnRfOT3hxjrDqTUg
yebPbFzFwTOIGJoMjjoEwJHQl0GWPVpGghyzkQ0YTixsCHJIZXwDvJCOlOzMkZPSxmJccGfiFno2
HYv0d8x3tJg14d5MIQlpq3Aaswc9SeTntzWwKGD8BMO8dLp/fS/eJNY/HKvgA9GKQb+H3M4Ub0CA
72aJmK4j0kf0bF9TTKwdY1C4O3qEKl5DzfRGpJ1MYoxXxkyNlfrIaln87GNn5mjphP+7c/NP6r/l
96Fhg5nHXnoP73oOC2ye9YDfp8nFA5OlI7glWLcumsesvw0ntvxf34GfDuo8DEgduRITXdpO7+SG
raXsPBqqbK8QYZ2LEPH7W3AnBoE3A3t58evrib97+nTElECKGOSa750hRUOxh6ON9DCvBhvNigkJ
ry0UuEgerE7Drphi9D87tjdcv23BpH4LZxcbWCpjgcg/TEk5fWP8ju03Ye1/7S79dM4mwhTZJcJm
3hDuy7v70dHvdapEJITtTMnO1qLyWFnD797BnzoWXIVGhQFWEoXMTwa8nrCQ0CnKZM+s1SQ4jFWj
qBzsHAYazZWTAjmaJJU7ESjq6ddfgPHzeXhRvi79H/KSCEJ49/pPIrVUkw3x3oIzGe4z5quXGqqv
z3lPXdqWgz2dfc32Hwprekj9qX6FLTZsukkxXOlKjCPLYodPtM56z9xEXUUth8RwT/HrX8qyaL9i
bQy7i4W/Ff3ZcflXz/E7PQcKXJox/13PcXwu2uf2+0Y1YpnlR74pOqwPNgsL/WbYdIRlClQVfzWq
8dV9oB1uIM+gSYxXx/xPo5qH55vO2fmwLA9EY/JeLIwB8U9UHIimf2xoLVHBNFWBYzjLQue8d4XW
YYcZKhqdY25US/A7CQ4A7TFoDnXQt1rV1SsXTAcqxjQ3y/BUFhMj48bWNZRuc8cU5S4ra13LD23r
mM240SDSWOHeC5nAoPNVNuGwdTYTkhcT0+tuCbfNreHU6WkC1GUyXKbZVks6W7Tt2ix3LpVVty9Y
Km8giLphIAzNDazYcQmL831SGupoDaZmugMhAOwD+0lS4b8ShV7TZjHkvDNEQxpDMYrMDmSrI3py
GyD1+6ym2rqGR5feNXXof2qz2URlxpBYMBRSsjqScBMjgJ78J40dseQSkzNvRlBBya5iF4eaNhX5
Bs+Cd07rwvlUIy1ea345fE6UxYQUDdaWQDLodc1i4ZbKGJlFm7HmrbpSAzA759mF7LP4s9Pa9ZPR
msibRZn4L6XvvWTjdPL0hrMW1dp0wR/hlaJNdE7sRN/T1BKbTpp+MKKj5d/BanbTyyKGIDJN+rob
YFTjm3L9fIXUgxLUCh3ywoWt9iC28ute9O0DRJbwwmimYTcTpXfjt8Z0YJC7KKgThBarkO46zUCZ
fOV5sG9kCip2o0pDO8d54e1G24FTVI4CGXJX3Mezi2TE64n7mpH6qDGCtMKJ0riiN2A8apAFwdzW
hnkurahf+xXyjtx13QuViBk6mz2pNbnj/UYYRb+BbGQQ2ReOW3MAj0iq31gGwH7mz9qUV8THZdqu
Bs1/YcXG/IK82r2IW1HdzfoUnnqtLi9LLepzThjadB772VECILmyOoAuBCH9+Vd0qpaKrzTbAAoZ
JHr+BjBWvlU0B1nROCgOaFGHDAMbziHpY+vTEAIKb9DhOYASmjeAlYT+8rZM/Lui/nZFxZv4yxX1
j6LrX9LpxzX17Yf+WlM98YGaSVAsLKK2xS7y14rq+R9w1S/LLOnEHsM3Fr+/dHKmD4zF8OlG60ws
DGZy36+wgCtZF7GYwDFdfuofjP7ET5UMLE3oMTZVFmS/nzzTpgPMwZvD6KDYjAl7pea8GUQ084wX
3S6p0Scp2rDagA+gtjh8wN71QWWrbt+4ZCiatah3aKEBg3x3G/9urmbwGX8cZhh8OHYi3XAMi+3n
XZE1tvZkp4xVL1yiVMqzj3Dk7HEs5nfQQhuvWE9Mg7A0C+NVCOoC9b1WkVuYI/AJv3pFIW5aYXt1
s6kmN3cf50qLTlNcDx0Ldis+5XHcOc0mU9W8RTyieevMZlpyRsTutdracjrN2wMvn9eWnhZdvBbZ
YKUjkgc3bT7Gk4oY9WtwMjmWZfWtF7a0mCy35QyJDcM/EPQiFruK3IyNf8/qHgPm9wfPvKZS7T/6
ZZWthqYmU5YVPMO6M8j6Sw4JDDq4CWdZWU0lgwSc8oRYGeXyVoVGnB06MiHSLTEm8LAkIQg30JrB
FEfDlgnMA41Abdckc3PgsCZ2fW+2LwnhhGc/t8e1I9ujiEoSPJ2WzN1kvBb+SBxzS/MExqI6jJrS
1ok7s+JmeB5Oix/0sohiAvlkiuamF+WtZvmfdFO2Ky1py3I9p1n8BAivcld6bw9kNJbazdzTY4Qv
NrWbIVGksbvznU7L8dxMtJvG2S/cVTsQi7z1Us360rQMZ/0qJv7UtlFb9KaeOLc6pI9blRRmkIce
0bBqduF3mmT9XSHDac2PMmow9oAjPc9zvUGYZTAcyYb7CZMD+ECTbGGnsndZlhfbyiWTNhCNQ8MA
yd3CvRP70QyrjUuw4Mqc9RqxF+mb6OaGQNSRc8Ndr49kQTZbSbv/EGHQPfjC8Q6xIAZwHRZ69gRf
sr0vXYRa9cAgP0h7DXlgm8wnszDGS1Pp7ldgO87WIs9xg1cIOC7GWc7BCoZCUnYOVFJlbed6GGuC
aqv4OeWxh3HYjEHHk7aaWfVvdVcNJ7CE6mgPbb/JrMTHShFnm06bsY0TnMkH6kzAnHmDG4r07qhJ
Yh5pQhHC7YCkButjbTlPNv+RQBsz9lLP7zc2MINn0DtxkMtp+mNJ4riqiYZZe+PY7K3KwjzWobj7
xE4MrzdE/H9hKEc263IwpziYO7eYduzAOINcu229lVHnLo0/v84QLUJEW2dRFi2+9FC7t8eWU7Ol
ZYQc4/o5+pVd2iRt6NmFcuempQ+ZxZcRmq4j4d7cPfBAc2CpRbup4m02GbZckZ1lveSDNTiYi4fm
fh6q4tLPljTFaq7TKzo2IdBCP/w/9s5jO3Jjy6JfBC14M02fyaQ3RXKCxXLwQMAFAvj63pFqvS6V
XqtaPX4TLZVKJDIDQMS95x6ztkN0yIwAQlK8E+oNudcoRYkCiEymoDYzbx8UjX8shu45SqflcyAX
tY2n3j1GBMOsIHDCiRWW0dywE05vMoVcuhIhuSGrKllqa1Og+YzWnMrTTOhpF7zXcUDaodd2BME0
BLnLG9RV7hH/PBzMiRwMgKDkkFbnGYjNXkWzlMcm8RtvA7EKbm4OVfPWg6LaoWhN7FuEU9O930kL
MlSdgqfNdV/eYlwr9hisAr1CemoMeGSWkBsBR+/GZztAgRoRKj7GZfVCIdTi0e4MzVaRZHGNwWZ7
NsBk+02glUYYGzVPASVUubHGzN2YDX/v84xG204rleTiddeTnaZ3mT0Vz0IrmkKtbUrmsdpUYoJl
dpE+eX1RfMlhXkDIu4ijIJP6d302l8YrKVeLVr+gpLIvoqrgIrBKRIdfiKt1V93itKe5sqa3JExR
22l9lgUwdIDqt1kM3wBP1zou8yLpGrS6K42I1wom2T16ToP4i4FHes+U1/7UMOt6CGZVWYeehvPO
dV0hVnIeCuwtMD18bzBtBOojI8Lbd1p1BjRZfKQYJRA3YCnwnbCSiCGtCYHw7IRIFQqYY9hfazWb
J3suVyaD/M7+jjjMSElVD/z+ndEZl0gikzEJezPGZE5+7ApbbdsJFR17gzrmWlkntcYOMyrkdlIr
7wo0JWQ5N1pVozOboos8D4g7OFsX0V4w21rA16PlQzQD/0vC07saQt+/3DbsPtOrim4Cmiqpwra0
gi0EkS+5g/xkCklZLVrlvKDKEsecZuEuclKLq1Zf7FbLDDEGdG6VIc55zNa/eOUZiClGeYi3dYA1
vu8ZJK9YlYGzQi22Qrj5zew1wd6lceAHFmXf4rqKaG7SAkhPSyFte7Q3VTqjgur4B3wi4x1Dofa+
I6vgyvVat1z3IkVg6UXyi9SiywJIYtNVjdrruuRzqcWZPKWes3Yvmk33ot9kSp2e+0bicctx2l05
oZaDek4KuGz1S+Bux9mYXabUXeTs5o7AqY1asJHz82Got60WlroXjel80ZsmOCzH5AtpHepw0aSG
aTDRS5OyvhcX1eooze4t01JWSjhuV/qB74O8NbCDfJhN/7FQsbfPL1pYx+2QzdXYpV73F7Ws7sFv
MatA9DWkzTs2UMNuYEq+QXHK/SK9Ct2t4eT1u+MxcjC0LNfWAl2I4ai/Ai3bDdveOvdsZ7xFWtab
XBS+1F2ofUGgITEGgV18AN+99YZFNNQMqrMGgxenHI1iACk8NKCGo5ZN18SgkDKD+Ur1MKXmcNPk
+Xzv+laGxE+azsbvLbjfXcmIE9z6IYkmDmsv9K5Tr0mRBfOKnTPmrd4GyRBCocnNHMKXKhc9n07F
ivMZiVKu2s8hziPwGBcjOgVuP+kC07O7bZUD4M3WMrirbuqWY5gzRUV0NPrnoTIXd0V86GivlLGQ
HBfkuTy31uIRi8E+kq+72vXxvo/y7pOdB7NxLx23cvcjh/49by3MMvLk3Xgboco/ybzjJCBGvG4P
Rct6bhR0s5ij1aX+akonfFTKcjHfC4xeO0H5V2FXsNGmkSP2YeOX+TVGSIUigDmoEF+G6qXDh/8B
cWjw3hLhsm982CBMIQvji2vFBnZhDPPgAXQIOggaNx1c9BeOjDZIx31WCesOC++0OmEMHN0mYyC+
RzWD3XVpJuZRhHlpMgCXxqp3RsKlFEpWZ7jyw9lGuPCftu7/ROykbaDd+N+Bsptvn7uPvviT+AmY
V//QH1CZ9xuTAG2gD5UMYEz/1b+gMheojHGBHzo0Vto84H/0T3R0UDcZqlx6Plq+P/w3zX/Sx9na
3+DHbsnEp8OkJYRkRssIePfTTKB0RgOcIZVnp1oiEIQFSrsGFhwEt3N9lkHmzqI6ZkhxCBk3QsQF
cImfvLDzjz1Oc49lFWpLST6+dhL3b21c688qp1xkT8Qj3+55tSG9d8auXrLx1SVS5aYLgzbfSDsa
d9EQZje2CpHUe12Cc45cdMJE2q/p4xxCqiqP8tFsd6akli8Ks74bpml8iGAC4LM3J8ULuM90co0u
HFekMNSwq6eY+UZqIFoMm+ihTMPqAQOOFz8sliPSI4UCJUju/NZbHiAOdA8ka1P70bhgaTCA9k3O
cCoEoThKE7khGikyDejRVtD/y6dRU74DTf6mkWELRdqj7phw9Hd+4Kef0GuM2CVq8jgBa/YuSgPr
MbhQy5Wfb6Wps5cMs1bnLoGEzhb9TEY0vHScdeCou5quzkR4IfsGCrsJl72gqO5XWNr1B1NT3dus
zsnh1AR4XK/hwrfcw+dSE+TDiYLX0KT5riKjeJVqKj1hPcE6rwtG4ngsZne2Jt0bsO+nIqcUylWx
WTQ1v4djdjCnBoZ/Wo/nWlP40wubf9DE/llT/AtFLutA0P1tCG/kwIiuvg5aczq7Wh4Atut85Foy
kEfW8MgwBB1BpSUF2rQJ59PUDo9UtiM2EIgPWiswNnVc1vdQP5zHQYsUHC1XmO0e4YKWMPhazEBv
bdw4WbBLPHN4Za3QPCBjiO5ggVSvDqqhnaXFETrKDv0PggnUOMaWSlJ9bae+v6V+ac65llgwXYZq
kl+UF5EWYTgXPQaR6GgzjItOQ2nJhqvFG5jPoOPwtaRj1uIOZM5yF6KfWkFm/MAsI7yqR5heruOJ
G7fD2HHUUhFDi0ZSLR+hyYScIrWoRGh5SZkgNDG15CTX4hMyKKh6tSCFLChKTcSyBu6fWrESX9Qr
aOpRsmAoN17hnxAASyF0yQokL04V55vcKL3XzKrMTzQO6oyowNymWi6DlSzKmUa08r7D+/+tLQWB
u0aJOY3wsuSJ3ATvVvc3XSiSvZRBfZeZ/fBgy9TeFp4zMKGWC0mNOH4EqJJbLZkblMcZT3NJC14b
SMWwkD46eQ70Glnd0ZvzvlyFrUXEWozTBlylLq5e2EbE3VyXy6HG3XqL5YW3zQxhXtMTkgMPk0us
gzYjIymd21tcQZLbLnVtgpx8553AmIhJNmbcn/o4ZXavwnF+9H3cPdZMwXHMzq304PlxdRoXSbJd
ZUArwBG99eSuFrN5C43RshBiwwK7QeefvARWjSNE4DexWLttG7OTZGJBLdh8LUHWwtXoV+raWQJy
/LLCywr4M9J4SWTPyDm3PMqC0khwT8msHP5FDj9ph8QCzyoRCnVvl6b1iTDbGgmfsDvR7kraNFNd
gymFivwbPJpGZe86CCuV7gFnglVAEBgUP8b9bM/+cxJUWP4MmI3LA8UWb/tpETgvLOshzCtF8qK0
i+mxy1USfnGTIk5ryI+lOXnPFf5vbbANBd7qOwPNWP51DoSwCtiHVtdxcHG4/Qfe/QW8a6Or+FsB
9PVHN//Fhvv3H/rvOiDwfkNiAEUC7h1nO45A/6oDgug3xMfwvj2PGRYI8L/qAPDdgHICrzUqVVz1
TYZpf0zQgovqwwIsJm1C51f9k7rgp/kZl6cI4Vkn4QhmIwKTPxPCSRHPMY8usO1PLCIiYixYzolK
5ueKJhd7Sc/7BWz7M57MBQOMkUwPSwcnZGT25wsOZZSCSPnzgZjm7p5DjqQfQhJ/wU75GRrmKowp
0XZD7eXwu0yvfyBkDF5vQnhOFXaq8HFhI7X3RdPJNdkIYmsaU7my+m7aUPoYD/0UqOcfasF/h01H
jEh/rLZYV7B3mwwvzHH5w8+c/nGcQwDYYMCFhn19p6Z02ZVBah4kBpTI6tLuxD7e9Xvy5SoLF0En
RgguMoNAYNPxHrEdgTTaxOF8TVcE+SWxXLbcZSowhC74f0tsEau1UxoQX5TIETl6bCqoYcN5/t4O
c0E6Xchpr8gBSplmUVr57alC+PYKA3Pew/aFhSsSCwMPLVNvV8j1l4PZKusJaY646abCerJJw7kb
nDE+TX4vPsKqyiBuNnImMI9vBPVevpQjAF+fqxpCKfS/Ls4YxE4N+bIpjPT3NJvFG1QzfnBSsHr6
Vtlby/fZjmVQDRvZC7M5slRwfxKL0TEmwq7r7HWWUL8yg94Gf83sp7mBgReoJr312oXsWjfibCwT
qHRw17r7ppS0pDIAvM8H5IU9gpjrxVHZITaraUMUQ3cqRru976uB2JExUHu/tcpjO1CFWs4gX3Kz
ki9tvviP3B2sPnr4kbUNX3BE3ftlxnJlnaBnXmekxD+nQ9y8AaNyZ1pRmwd/iniHJvw7naGOzj6Q
8wHp5fx9QmPxbHb8CGrh/pOPlPMcK5h+bTJYT2O59J/yYarP2v32XFUhK8I4E8cet5rgyfvjQmRn
WYptL2CUTrW0t02LTYHw4feNFkmpud10X9yYPyYFVA0koqSgHAxFkmTtji0QDa8zOpp572djecTZ
RtxwVEw0jnmZbnqn7mqQhL48ip66kWDJYkOEiCK5KS4e4LYWOz9M2xv8pXVTnchvhUmzWpNosatw
M2XTsJp3mJvyJY5IY41aya8i8W0vQOVXluIbR5MhbmKGsWufA/vWSEy5diO+i+/m0WqI0grj9YJH
Uaa1/GYV2bxnnuveJi53IpZRiJQazm6FHzIscTGyrih5PwJSQ6nc4xzunTKyetOkcfzgm3H7BWrO
cl1P6fxsT3Cu6oaXoexazkpGNV+hc8OrdGEk4ru77CyDte0T7iPDbZZaP6JlreS3mVHCbilmUvLa
hTvhYrC+R3k5fwcCEG9lQh4N2WBvk9GPpxRO220SfjfHyJSrzIBJvepjwpLT3ns37ZmBeRyPL4nN
s6kdTLO9rTmArlu+u3Egv+E2IW5I6uGhVETVqJQb5QfGQOSRC2uuctzbaJi82xF621Od9eJt9Pzm
3RhcnlbMzXedHTfvTuVhVk1y8aMK55A02zwk8qOemo8kJG1hnTnkqGC9VWwuXy6EDHXEbsl4ULOo
h41Cnn49YXj0SfQG0FUzWOQgJKyPhUz+pMq8wpbezGBqY++xVuTP7z2VEUKIsJbbREsEGRVE/ZWM
u+icm3PgbHHhaG8G305CGyZtZBX+m0R/MnzJutF9y6y6KpKDdJaaBINhMeotkRLTeD3T3nmnKXFG
98Ep5nmF8fr8bIUztE1fm1dYxNtv2nYhvcg0PXM1oCWrV40iJkqO9c3YAFwOPGH0jMXdYPYYMZjl
g+GNN24lqh0gnne/dIQ1eVh+35A2/xh78U1lYBaPPWxyQD+SHiu7eO4919qCio3b0Z0/Y6Q8bmGs
fi1SuzpiDfZlHt30mC7wU2trFOcGGG5belKt+zgZSPvr222S9VdIp2NS6jvrRFhhtLHmLliXgZds
EgFNyyX39dqIhJzX5A6f/Dw8QU9vN1lJdulKRHF7hH7DdMJQ7rrFqm1VZSQcr6qy/J4IhN0rB5Hv
fuyJlocP8DBjb7K1KyO6ytNEXPd+Pu38lBe2zYkOJlcVjn+EGfAycyNtS5pHszbkoQpISxCDE2LD
ZKCn1j2KxEVsn5oEUthGZV5NXhYdxsR6pDeJdj798hluvlNubdb+Sy+myV97bYS3JT4GWqKMsONg
C9o6qDnvdRN35xESNKH15nhMpsjaUBeARXixVj3HPdFN07hPvIQzjwM83EmszFZ4egzbvPbbB0ip
1soain6XyBEaTloYTAdD9R56komHQ2xDrRLkWGVRvEVG3ARrX/kz6YIym9aBL0Lc10JCmKTrUCE6
7T3VWbhzR9S5R8H+am5mNhHa7YJyfCV4r67dshdX0xIvjGxN+2grgWVXmvJW9dskQbVRU/yv5sHy
TsLv1PMyOSCReSXJ28Gbt9w40mhOjBeXD1Ga3tGeq+VJEHqXAElHJP950bEa4/kuK5xlI2OY1QX9
89q3y4rHncj0EveObe8y0A16F2EVepCRKd6EA5cIUTHIamuQGbqaMErbkLOXvwY+9NLQnCeGi7Nc
jZE0dswEG1wMsB4n2nHdZ+Z0zDJHIfKRcpMYSfRShom1LzOeeN9p0mMoFVDpFLvXTdTAjS4m46Ea
FMki7TKfGHjJEk50lLrg5l31zU3amzRegnOkIK4Q7Td1iO4929tUblpcE+1lHYnJC1om1353VeI9
8zaC0hLV501Mv2xIKlcpaE+4zgl++iaqqioZm9e+2pi5KY8LQ6K1qIxuP0KRepvKkaTuBY3H2cXB
70vl5L55bfWuJAvMwvvFe4ukaR6mtMCijQFKD48b9uguSD35ucmtZj2Uk64LRHuv1FDSj8q62YaM
iK6Yg5aoW+cgR3JvV+mxc2R3RiDauGtAEbrgqfGyg2Lk2OOF0Xi3sx1nhwU152dbINZad2Iu9L0h
IUmXSHnucA6V1nLIvZ6ppB17bM5i+Bpm8SRoErVIyyx6DhzBLvy9LstwI2YjfhBFoN+BgjIhIJ4z
3iSeDphMUfC1qfBulywzHgzM7Pi66BB2I/BduEkg8q0rirwUvoISn5UYF7FNPW6SRdj0ah6pCn8v
vtrMRsZizf1XkQc5chfcKaiTsa4mS2Mme5sy1H9UYOQ9Crq2rbc2k6kNisfy6OC1dy67ZTm4Zo8+
pIFtNHQ5bPBKkEixSb2ewx33feOhTqLxJbOd5BbAr9jU2HbfkJqtP0XUvjoM8rIVVo56U16q+TtW
ziHiKSLkj1HbWndsg/VXR/iN3BiJTwwdZeLJT9iIVhXOJhhminmf4ofykmYm985qjbBem1U375PK
n69MiHJb+u1pkySc5Q3F1hu0KSQBsy5/I795CwZVHu2er+AkrvUUVmr+Hs4iwxQ5brZ1nkWoECao
/TOpQzbYi1MeCxD/+79vIqyf6b26hwi0NRVusQ54sO7dfmhixoYAO/Inh4NL5j2BXcvo3QY+DjXJ
MMWn2aUISyO+DZ7U6i5ImoohuOcclqF5T+Kah6FmYto7cr6qJ9G+jqPr3kpYcs8TVe7uFx+WhvQv
DU+IYB9Wp4ft7M8fNgzCIpCG0x+MzIFp1tf+4yx4uE0rZyo6cqfZ/rmpluQpKwZUTiZnwwkdaPOR
C2rVAE3QL5zR/0JSjmiVUNyjQw5plv/SbCZjy33Jkv5QVU7rrKPIiTc9LEqsQAy577ox3bAdLtsZ
sxPmbCNVS44Ie084H6+GK4uHfHK1woVcOyzim6+MnYL70E/ENhraBa19hzC2HTxj84vl/Hf94+93
P4Ddyunz53vPAKloksQYSDux21MccRDSChG+1sJ1vMfBltbOQTgheSnf+xl1Gkm5vGjj4P2ymf2L
5Ts2Eg6+oCYG3ZEWjv/Us3soC0U5T90BlyNUNkEm8m1bQWZtZlS8gpDeTZQ6wXdpz/KQheRIGpb9
Eebi01QnzjbzKJcMb0o2o6iaa9nZ7htYYH1N5kFxZZqV8267RaquRSJqedWlaXiMfavYMPNadpni
ha7YSgjTyLxbE0nTlsEZ9aoOwaaAXHa1cuYrN6Wa79px2mBQMb7Y7mg8yKTzHw0vmL9X5NF7xG26
5LQ7PXus7/rUvVNTHkfU98eUGEQa6XChL0kK/if4oDytXVKxE19qdVUv7X1dtnpPiXTZXlDQw5li
JggV6dF1CrElkxCiMM7M53xsqUEtIIdEpvIlWYwkZYZul++dMxb+aSiXgKFlPCUsUoaBqqF65hFe
QrDAehROXBo48MAQ6NaePRjYKPKFavuliV2LQCBHFMfAX8rkyPA52+A6xH+IKejjjcnYw1/HmQ+3
hEj60L6KsPv5GpQO3mfuRE3fmWleb2Bz8Y2TOoL2wSaM3ldRyqNuNpE5UeTTTpsHum+22NDtP5k5
raZdQ54GocdIq4oEcc8djVuYuuLznI+Ii7Mh0zAv73Yx8XYsAw1FWvvjy5CV70FH/6jNPd7CqSRK
qSODlqaStYsKbHRPy8Lic+gYD11uO0eLg+O+AMPfx0XKgw+lpDwOXth8qNloPlzcxKj3SxvDHPSv
O2cIuzs60fA8tyYciYmm3y9r4nkrehkmuPhTK3bGQfd2aOPQslYDw3J3KRXC1XIad9aSVMeuJ/Ic
B12tp8iC+8rpxhfTGu2tXdvNh9dji2+6dFjConvedPXCCTA0Vs+kGUCpBX7HqD3DwI1JcvMxxHW4
ccKBzih2YRSsG2/hHenNsUbsZfGXeEq3X5pasSrVUq56usOVhzXboU45E1vB5Eqzt7DMi/QRmuIv
u/NmBlRlZbevWKuFSEGBWeBJROcEa8xTRkjS2YdMve84QPc1eTgI9Wr5Qh4m7f2EICXUCBBcI3FT
FeBDQUabHE718j3kLV22WbiIN4y87qQKxOdhHGi3TQ8Lp9qFgTWl2pGTX1obunDWn1q5ESAWvm88
GE2p74EzlUdLv6pKnzVmUUwbAVjy7jEt2KmuyolTM8nmZqYCMqKbV4LPaOBT5bb3yLq5M01OKXI5
i0WdoH0F6yFvjtFpqotecB3HZ6k0KNGUwXy1JP58rSTo2uUxtDXrj8e7NQ/qkv6cgHg4/dzeXxAf
nONKvgpCYd8COcGGuTyWNYIdiHNo0MhHPI8xJIILPGBgm/R5cFs6WwBHll4DeSRxzrtCAAhNafod
jux8vfC61WuFUTNJmQosLExAr0yhiodWuAo+EUoc+hRKshEjhruWycshJZh1IekTipta+Ea4jNmA
OAuvYAP37skmign4rzC9tRiNZgurATgD4G7a1hVvTKIq79YufO+RgsckJNmX/achZzzKHla0rwt0
kxJ31an9kkDo3/bmMD8z8AO3sbvyaGhwBadMtjU6+vh0QWoQDmBRyHHTrRnl8psqohh27cIW51hc
/oLfXA5sVYDd1k2KctU0vpnmosvlwOD2lRXFUtubOPBdHk2c0XfCBRqqGyvWw9j6LBqbUG88h87h
0LevjQWGZvUJmNqoa+UJL0M8wem01ok5sLkbdv+1KaPmHeUQKmmzjc5TwD7bTClLmEKq+2LWhAhP
RQGztqd92vY+5Tn8xAghYXXXMiLTmEzTX5V9CSIZZQE1b9Hx4xzo2LcjCHlKNepNjaRPARq0dyvk
kXCXsf86tnHzkVpxchuMkIKtTj8/hUsDwE6EsxhfJ9bo16W8DXGV3yVFXTxU0Ct3i8sx6RM69nQ5
G6wBCHgMk/Q2YMsHd9IsSVyEb4NEBxhGUxSe24iSqJ0L+2nqCKKLKhf8DGdsBATc+NTPrSfhO8yq
R24kLlDlcS7N+ozGtT57NkVspe9BSonw1vcTdhfYVFCcTxa7mZvIl3miTBYMi89mU9pPRlWz2bKP
vTZ9KN5wD4pP4Bf++gIJygHQMrRFfErQbBC2QgnSs5sIHO76YpeEiiekURRKA83OxTlvwBr80BKX
XmOVKJt3+EIA1BOYsZPFtAoDhbPjYzpgAy5vOex5eC7brNKcUZAjhIsILz7R1c84htva47/qFShU
56i7DtDmGabacjDgTs5rCQP0NjDZ3lLJe1REDqeWLwU9nsOzZuBhribwMgbVVXasoZedUCwCIuqt
0kHItyWeoyBk28Ybz888UC9Dy4sxUV2lQCa8kx3odD0E8zV8fuvJaYPxW1DHaj/w0Vc1xaazznRQ
PToR8RkDIUqOFmPyI2G9NDEiS2+xOHmX0mPVCLdyjjA0eVVkwRoQDEU3JKf2laokd1fYNpNpX5pN
RN0yetnNZJhsssjx5UvTxFSzMz4rcuSGz7AdrgsbSP3yx8uLOVc5R4xhjd0Xb+JMZRjsHutlUHfK
NuZdleaEkkwNL3RGhZsEHpuM9HiyUeAsHgQ/0sqFv9CRTcG8U3hXje7S+Fv8Afl+GigOevHu2nSm
k64CZtXSkqFsGvcACXxjIlHKfDqMofu2dAkxK3oSQ2y12I5ewMVQ4YenIR6a38W4/xlV/mpUaVm6
6frfKUvX2Zc0Sz7qH5Uo+D7oH/pDiWL/xrDsBzEKTd5/U5awcnaZvUQ/spn+4CyFvxE1wrDLpzmg
4dJK8D84S9ZvJJAQ8KttyRDEwnT6J1qUn2TNuFYRco2VNE5gpuuaDhf6sSFuFezatuytq5qDZGjX
klwHdeg8XSOmZu0zyUrnCvpHYRkTXhIQKmkeUuinPUTyjyCTtW2B7BE0T0YvgQ1zx4gEndZVYpMH
tAJaQDfb1lCCfzGP1J/sB4E4qSJ84JClNREFezTJf/7kYT9OZdwtMFHp1R+slIBWD+7leZaByYs9
Yznzw629+/1X/+g65/zM9+KSrmlpATjnp4+06KfJrpGVjjCwTMY0Pzo3Q2Dka3KDkUDnLhAdQ6XW
aA9WZ4IXTdCa1Xp0ZUCGl4+oeOclqdUc44B55GqRAatS+zEGRfYAASqsMzD9ph5xUtHnZWlbw7J3
47q5wkE57oC6a6Aqq4g7f9V2bbWsSRgAcYMGz1obvlQP5ULzaluL9zHUoulXeRtyqQifn2TbBbF2
8/BiWE2Tb2D343NHcK0Y+nHcxbBwr2efiWDH2K5dTw467s5hxjO7RtRtl0FY0M4wCFoHCeQf5CUR
lpi4Jak7M3VLBgZpYj9ZlIcLwW49363vAIGMdFZ3iT/xMQiqD9UWIqp4s+VULBy6dpveoj3kE0Wz
5xxR0KfquWPEvGSr1gDSsPPU6q9stD/2zVJMgbHzg9kXrzaHcXoaup7nL0GyCWUo8OTD0tUcuA4Z
wJ8ENDXj3bEHVi7rFZ9nxg+lOXaCcetakpezrGOfjhpTDh1NL8aCTwfLnYGpWlqaOMPM81Q3P1h1
NV2tsT4wcIKpitr7yJFnv4wzZiJy7PhxakqcStrMv09xb1rWZt+ySNnschd8FxvL15Qpozi4i1lV
W9bRGdde5rAsmVFyTikP5OORfHpuq7Q927rCjrtMT4u+JYFenIioM+6fcJqrqDUwLcrKARHsIuV0
nZI1em+EJqA9zlPqoBG2kLYJ3vm272ZewpLxENxiP5iCTSPtcstsDGKb11oaG1bzEwjYgKlypAIk
KTEdCenIDLfywbue58R/MWRg3UxSlHdQ5snhgXx8wJrKDdeZXQcfdVLIT8Ixc0XDxyObTqBncpJD
uE5zbZaBGXsxn2zle/TjTRC9GH7bD/d2hsgAZn/AYyO7gOWdssrvbs1Bec4Oy2DigtbV2DrWAnQU
pgtRqjyR9hes0Lh3mYMBwPc5n0fxxr9W+XehJvWQVSYFqK8DtJuEZ6Sn/oFR1kTWE3N+bg8uvS1x
l2hOfJD3pcSfLCAilZXh5QrympeyEM0U73rTEP1rT1bHA9QIXgS40SxwZgvb3xfUEVce0yyc61WP
kY7M6Znz2FZ3MNraAznYM2qaemTpAzLWcWRWBUkmFm8bCdIqZ12CSIOso4d5RZ0WdvdULIthvBgj
YrDzgMy0u5vxsmbAhdfF9LxAJIyeM7QbxUMMyfoAZtO1uIw5znGR2q9jmSvWErMW1lKZE2V/FOkU
VAFae4jLEN6Ey66SnkQL1WN9eZALgkrVrmHO0W18qV+KoaNwxFAeyITNvLGfstFgCo4EPfVfVRmO
NswwinuaMesiFpism9QPMfELy4prGkWSq0MQJ13+3lkdgMzKGxnaOTi6F586dggrZcyJyOW2qeoa
w2OVGLj4B2ViINAqLH4TyFl+6tuAez6UnXWTDzAPPoVj3BbfvKC2bcydZpRT28qUtn1bcf4syL1H
MJVjXNthBYrc+KZ5TG2iShCYaOM8I0tMxuoL9X2WhDe1Y0avnhxj/NFgmcpEIUKrmvEZYoSxBVFN
NzwY/doZk/TolFEM54Es0FWVSVI+HWv2NmlQeQcslfwJ+kTeGhn+dPiW7FycdWrkSGKOSYZB4SZE
aL70BK2uncp8N/BQItWJ4hz/YRI300mFB6uwk89lHwffNKWWsWdX3w6lfx5RLM7bouzUvd8Eybvn
yHpbcUhtmLw4Dxhq1u+Wm1Y7uzbxcQqWyluZQ9DdRUQVrgNRYARjoxi8zkRSPtt5Tw4AfMXdYgx4
60gFzb4DosBQUtzKcqnOHoPY7Ugnf8+2TrR4NKaP0i3vpsBU+b5re3fXzq1amXhK7GXWZI9J75fP
U+X2ya4bai0Noyooi3Y5lahzdnB6UKe3U60bfWyRMuk0Txw64rX2KpFu8qWvEXObzacU5hJLW4HO
4IdJRJEfjCSc+wzTcAknKIaUiO+4NXebEuz9YC95sptArG68pA/cTWqSr8pohXJg06OnwumsavZh
2c7awdIh+CuFPph41n0eN2JvqnTcdHzHVxpWbJ3gCPjHGi6A3M5VMN60gxs/IpH09wZxUzuPtOC1
kRtLuJtn378x0qG9YsOeD2Zdz8fJsKLjMhTTdu67bj0AL67bcc7BI3r/SWZy+WqaZX6F1JjU6bqL
yl9A3H8p5iDFYeakI0DA3QE9/lwStU3loGSgnVSDwKcIbvDanBwOIc3v3jDoa65i3vLD39dFP9HP
qIowr/BwNde0sABp9Z+vStpuGqSTF51QH4o3GCBsDGKwqTH+/jpQ934q+IKA4Y0P+d+Gvmf+VH3J
FIJCHyXxycWAjj3V7NizNcrnqZgN459fDDUBQyIKZCiDPy2lxTtsJBSBp7DElbDRaMzF+9fIxmj7
95f6ayELVRCgkFrcJKblZ5PcNokCYSjTPzn+bN1cKNHeBJiKyVxz1Qfg4v/4eoi8bYvHxPShxmkb
mh9mYFbY8NqWlXdaiOd7+f0IqlPMN9Zere0KUQ+yvH9/Tb1cfy7W+XKhTpx2XG7ez8X6TLLbQDCI
ewJDo7oKQLYyyhJ8aICasSuDBcRPrY1K8u8mZnHqHz+kOGx6rLOJJsv2zJ++dFO7ralKpgTjmHWH
aQIoUNbU/CLK96+vAlcJoDH7CLFgY/701JSxPdVx1vunBCjqMGeAP0FIIvTfL+a/uwpoSOh5DAV5
8X66ij84dgtF2T9dXJV9MrbXAHr/j8eElGgHRindjqaX/vkxKTR3WjB+P9kx8OR/sXcmy3UjW3d+
lT88RwUSPQb2AKc/h6RIiqRETRCkRKFvMtHn0/sDq+51SXVD5YqwB47wrCokETw4QObOvdf6FvQS
HopxQdiJmh9CY9/Oo/6bI91f1y/WdFYTPhYxQlz2x0vWGGWWqfScM6Ej3mdBKw/u6UgpMpR412o6
qFZEqiuPyK9v6F9XFvJBwWELPi1BoT9/1JBhgKlb10LNyNsd4+699B4wbJ3Ts/71pf7DR+ThAFtO
DQ6Z+ufF0kepxKUqi37b2uEhlOWiux7Zm8MDU6wnuHl9an590f/0+bx3hJDpglr+GQE/MgWwU1AU
59IDUV1X4IhLM0gPHHT+9k1/h9T9+KozIiZhxHHe7VZ/edPSQGFXJQgObzktulxULkHPvlne405S
+B7hciP/oEyeJ+o6oJpLdzNKFDF72JQOh4sGEigzm2/4mGyqTl0D1g0Kry3/5rb8deFlTGf7Kwvd
guj/M0a+ztwpQwbCE17ZXCiLaerms8F+OeaQuqI8pKz/9TfxM/uDzZLJL28V2zNK5uBnxldS0i+J
2ePORmBQ62Ld4vzQo5EhZkawZaZtvD7veSZu5FDKZxqbWmCXCOd72VmyPMhk0HJPlUTnj3ld+o83
hxD5Ct0gXgZWyZ9V3qZEgzwGvPWVDii6TTf/IhIouF1p14ROSfPv2jh/eTY9ICi8DbRyeEQR2/34
zsusW4v+RZ9HJ3ZeOmaihM7Kmsd0XtGFv779/+li9I1ATXghS83PzyaY5NBMZLic5wRmLaau8IrZ
Lqcc12w5Jf36Yn9ZpvlkAblqwsRtwHJm/fjJMG6JtovN5ezFLgdLohJ5sngROSX++kLWT8oGPJIs
l2vxQFYBW/rPlVFJ1szsEXBIBaHS7tbkDEd8YtD1xWNsNLq7tPlIJ8RJGAulUwpRs2x9W8GJW7fB
Rs73KUbaMjImDkubTjCq1D5sWNPwaGXR9bL3Zrl2PyYSc7GHgUK87Wuka9U/XYg97JRQdiz2NRhk
P5dCGZn1rV913dki7X47QSC8MBvNDom5/OOqi0vxDDhg/mjp/YV2iMDH6seZgZEyPZshDG6wSDYy
3BnW3Fycev7b/uG6e/1pYXTY1vzA4tXHl0K4yM/fUq0rW0jlOmdPzs6b51njGSxa+PTeEPH8jq6O
1KX72Myz9TcrnfXzI+Jw5TWIwebKFlLOlST356LPKYEHw7DOzwINcaWR/cFYwSqBAgrHJKnCwSvy
kMLZjk0nupswAXNc2yrJjla/MCmGNbLcm0NFF1EXa79GKn89WAxgb6L3uYuqvC5HPyiyW79fjJqf
NGXuMYT1DX+jICrtzs07+L3r44W5leph6ZVoz6Na2i5iXjXfutNMa6yLAbNeChpHsJHlSLJygIgP
yIhpFGpriqK6m+g23ChoQYfZybzbZiH0/dAQrYnkskfZa/oITq9oS5v1psMAGEYpZJ+rvnDQ5fpl
q5G0LFJzgNbZGaWE2DBGdQdEDgIgRR0NMnN7et/miMjbxqdGYkopSElDSCJK8W1SQUFT3EBVsQnn
dm2GIq9Mb8dl5r99Q8KJ9xpalOC4wzg9emPBqaiWmj/V0v+j+ByLmM5LWK51jWx519K6dLGa1DAM
NoVIFAf3ReEZPSWBMd+3s67SWwjgZXNVJHLs7zrA2tXWan3e7kZUbXHfaJP9Qg29kHvwovN9YRIj
knheU9z7rei+QYPhUyCkdfUbGVuDc62kWFtRU8nXjGCAf8hHd19cxE/6I2F1DtxPK3euxlUqSkcD
Re8+K/pi3nstqpYtfRA6V71OaYQH1eIBh7NjfuIAYh7a+gQRiOyxwfg4NxmXlgWx2NvQBMlLwmpp
d0AsptHt70VmpECVeFzSW86r6B7E4iPgBM3vnMZRdX6xZRBKmnlbIzzwLJZwlyjs9lzXIwcJy58y
/8oZY0GeI1IB+FQzWXk3jSrpaQVEpOnDXHKGjawspMuYDOasHkTtqhL1hssDVqeBZ90YmWJveK8D
6Nnz9CGDoNWQehA2zwjMEEbhqZ5xc+ulmb+HvY5vETkRGfHegnPLgV/GTjH9OLnlvmRxCkGwG7qJ
GJT318pbcfjmOqucfBxFL7Wb0Xqb3EU8iFmkEE7ZFeXG6oEWb5Tn8hTJYJ3ppqXLfbW6tWcOC2p4
JXhkIjotow//+2hGBM5L7NprIZE41HZgEUhwEPnaiVW056M25/iDIIkO/Pv253sDTcaU3pV/5frM
I6LCzOZ8jxrOBGmDNYX8tNZg0lAuDjcWoI8DYiW0kuyuqyW/iDDpnezb0urua3zJ85dh9m0DabXv
FsU9FvJ5uHbnEgtUntfOZsDMtLwFBpOMHVkwlnO3iJYucLpQG9u8f5NfsR8zBiCAMaVdwbPiMM0h
coHhtv+JwrzA7k0qGCLRqMzGFp16HOuK3jyG3vxcqo5u/VLaUGnpoOmAlkTuxOfKfA/hpkMOZ4Zp
7IDb8/cd///PSf92Tspb86eaZfvSv/wXkL6sX25eqrf//t+us7p+65r+5cdB6fu/+tegFONmsOpy
GYeuwUR/8nSG/nvyFq7K91mo67F5/WtQGv6G49FGiUpPiKObz6b7r0GpjRM0BAbBqW5l7f3DQSkO
xx/3bzMUHIItnx4Gv6AJIPDHLdRGaFT1Tm1eatNoUjmg2PKMLYqzGIeNmNtdQWJtA7lobNV+Nugr
7by2t9/muURbVumsZs60dNeIEJywQe+d60+zJovxSYRUV9upE69oC5PHakYVlSWe+2lE4HaNLaW/
1ROei33WkBPLRNbwr5OJP4SuMIftwSBp86j6vL6AIyBhfnbvStXbr8aER+HCNGrGReRZPeHpmFge
7SIe/KtOS40usvQmUENOZQ/f8vfhrdURXemRoI4Oeq8XpOcakNnWVqaNUdoenklqmJg1Dbgdrws7
Q+cDp99v9wXf7UdcTZW3sS3SRHZtGWePAmM6eXoo4TYqy2mv4s5Fg4bI96PnDNapAxF3sOb8W0ld
vsv8bHVrygwUH239Q25lDwsSklsvZ4J55K/Y1zgH4gpzGkKYvrZ7FSnAubteGC9z4eD3N/NqQnPo
s1FgoNlJjv5EIaAKgdPgS3enOWbeA5Nzr8eQeZToB1+chjCUnPp1GD/pKvA/tr4bP6h+gbhAxJJt
QCpq3RKJk8PK7BOI/nlEowEkwfI3BeQR7kE7RnKY67MHA+fSt9Ao6qGasrWyiZkNL8t06YeeOFAj
adOdT6L3vawTJzMPccJ0phC4dXpwHJHVT8cln3S9pXk0phsH6Og+WOL46DSV9bnVNqpFjaX9ISx9
smf7ZPKzo2OYQfmUAfKoyXX1sU/vBvbY2dhNOIG67sBsZDG7E1IsMFxVXrqZeEk6hCR8cyUILrcM
d1XnbCyEdTeahILdbMZE9JC4AsJE3wdp7O3wpJD2UDQTlESQI5GDxx7ZVNgTloICPSq1YWdR51qY
tXQ84ugI2qg2/IcC/kHlWqdkUNfuEuSRBsPlZ82NIzVcYbc4oOaLz35R72sq00fDSO9myJiR4jL7
REPNJQTpWZiT3jNCiMkMXj7STe9OEnXzDrdDfiUrA5iPS0ItnFbrHBqMVgrK2V1nQG2rnDk7O7SS
9lPQ4EMpF30yJa+m5ZXWY7hYX+o+wAVGBHWUp71B4kQ+7pva7wmhRDh8oip7VVQTZ5U5yUUymdhq
XZk7/CgHxmebzmmHvaPBfjFg3GaVUW8SacA5bBHsb5I0fXMR/yAHxljF9CHypIlGzlHYcrC/I/ge
luSqducabP/SHlB5fuwzAEnQgEXEmAGkksrFLb99fsndBTpbTKP/hMBjeEN1tWyD1Obm8LIdIUCR
DcUGWScaw7SUhFK4H6Vd3hdBdqVFTF06mPhc9UPm9YfG7IBFgTzsQmRcurIgji27BIeOSrx0E4zO
YyflIVjm6xyrHKrrYd6rtux3Y6y7KImdJ4/UkWiqK1Lqq/KtdJBNWvXkEZeVkoNqEHkqQUmEPTIy
xP0sgllw7bRk2QBlYJIEYSECwOPcmZgQd9Wsaoaj48Sz1Xai5vvwDtQ93cZIw+EYqPKr9hdkApYZ
nj2Wy/OgmJjNsZ3fpGGfI5EiKZe3QtwlqbwjNXVnBHwo3dQ3c+DkL+W6mhVD7Lfki3XGpW0t5z6z
pHduWpCsfGGUNHMbPvsy/WwaHeWMNX8H9CiOCeBOPF6yjJCDLxuXweUZIr2961jW73p7QlmqvfBU
5P597Kk7xuDmnmUiuDQgXUkNLrz+E+vKsLVGPx6j1u7zm9waRkKTi/5g8kXtTZghTLTc9N6e5/Ba
zSbqBqPfOnn1jJzZ2jCSI02l2tcYoqM5b31Ihd1959WsLmQikL2Y77FF2fx6jfOSOhkS+pTdgeh0
IpDCQ5b3DyX5Qnur0vHHqZiuW0OqzSz6/BFZy6OLMSAqjfGl0+FnL8Gbhy+W53ho8ScDVUmtaY/8
8dR4+QHCdsxdlM6NJRJ5mAL1tQY/tHOVBrnTWw9t7Bc8wAWTjIqM8IsrJxM0jn0/hO1V2aVPAHFQ
ZGMaMRtniVhpd54RfnHCidGrA95zXUtbI7gNOvvQwQ+6n/nqQIaMCY43TwdfijgRn0s38LbK9nnV
DIcTqz9eEzmyG2Vx5nTc791RWheFBTSSY5sxNg+bdFMsZXAg4UWf0qY/9m1+HrO4OKAczEAKGi2j
SthLDYBBHYeET5ADwrHQGZyvjsH3hcDXCG4WbTp3abWKW30lr3HPGZtlGpsdzuP0tZ09qHDWcDVn
YP7qqXwUDvxt/I/hqNlY8zDcWar/ONIHJfau+jrO9TEMls9AC8vdyOdBONAUG8f1s8u4IONXldg7
+Gksgs5dfTMjNcaXEMt2C8dQXNzMTfaLYS9RNyT2c9wM7T3do6KODIaz7S4oWJnGyq5vyawn66RR
yM9RC29afPjHpSEYWgiiv+uhHa4sdOKoPCwOL4OJjcw2HlNjWrdnzCeNB/83cG8mQjqfEGvUH8yk
Heets5QONslF58N9nRvBKewKfZ5H+9EB9/pqqNFIjnGFNmLv+hNyW7sUE/Qmp0HJzz5r7cY+/FoZ
461IfdJnnKm/79z6FnKOwQHSuKuWdPhADuenTtmwV2evOWNZ/hR0TvkwZ8XZMhC/0Lgctxb+ki8s
r85xIofmJddC7dBBKULCDWuXN2N68JCmRkHQFsCWiCDPuvE5TJJuV5uBcZ2gVnoiPG6KwrELvnsD
1uKBMX7kpnb50gT+8tGfDIQkQ/BsF267gTfgPyGhJR4+9gAy+mn+gNjeRE9B8zT0SzKAbCL1ZpDl
054vLI+wiiL0Zf7Ne82vl3CC2VX5t1YVr4tp+PdhWI+f7G7cmUzibxC1ukQKsWX7eSswi2TKAQrb
KhB+piovRKc0iJ8HhxqhTq6FVR77Ii7A+PgIRYewuUccIbHgBOlwhy87OGrfk58MHR6bfpkfRvLm
9iLMwmwT4gG9gkrwTRbBV1bnEtSvF245ww2PWS6g49vhoQ3J0nIRee2IFmOD4HC97S0046lr0X4x
mtxCaWGjxrFceZUDi4zKvluuYP6Hx6kRM45L+bVMKrEZ5jLDj9iO4iMLZIdgDLBmEHn9lJYHp07Q
VVROwebVGfUznGz7gkPB3ZfUgk/mpOwFV0YZrIFBi/2xSm3xSkPFe4WMiu9Y90kI95fMLNrmO/pe
xd4iqg6tE8pbMgfJQNcGwm/SgmzYkRxUVppjrSB14G3ZVlQemxQESQK3Nxb0JS8KjcS+qMbkY2hQ
iIprCq1NhS1EhfrkWdM3xljeQaL+3VbMy8heS1ZxSmNFenZDaPzmgW/t7ObEw+OjbrdlA4N6doYv
Y++QMKbbAVBZbG/dkgAxRTr3Bjgn7JEa6XbcwnsLRHm0ERpEqcpJVzKnXazsmzzNbWRCnjqUrRdc
srRCRggAd1P4ITIzoL6jVPcKBPLBFK9kD1AwoYfY5VX8SNepikppbWPDgUqZti2UXEVaVB4zvF3q
HdENRzC8iLpw64LyssSmMeqWKNdxi75Ispwg9EZAOWKqwi+ui/TLRJK5R4G/NwNuMT6nR2KKmh0J
ySiDsuoyeaSi5SJARDdTGqJtw5yX+C17Ytmcmsa5DxGXHPCkfi3r4RFVDcALT9/1FecUq3dRU6OD
xBjcb1tnSSO7hZ8L92pEnm9YTwzdOoB6VfU49x0NFPT4WEpAc+aCKAi7QRuSMlCNrLyhs1bpR0IV
UUSh09pkTZx9K5TYitnXZMfxlM+lBzXWASQyB/GjL8or4tycG+WQMDnI+jvFL1L5tNuJXDeb1AAs
PTsjUscu3etyqB6Vk2fbkgDIPSmi4c5xKHYsGbjRYuTlNRAOws2JYd3DOZI3XhC/mp1KtmExk7Uz
FfOdXJBChp0nNkvpU/UIApHMNr+p52W4sUzyFBo5bXSn1p6JudxY0BpIKzDJO2tsDPojA/jQn66Y
+n5rOG/gWn+2Av2StB5sv2644pi7cDMKlDX6FAfFuEOVdijT70Ygh0h4ZGmILm+PslC3MrMBA6Qs
j6kMNniPzH3bcrxFTGcfYMAcrMYVdKvyC1ZXNtDcJEoyeESvbkd2pl9mf/gaD8lr0xQ8P419N/TX
fhM/NqPuEezXyRfDwDA34MTAEgCE1favdBh8DlrC+MKwORRsjhEYDGAoGC0iozbFFejhu3yiOjO6
3Nz0g8amDr7MJEOvmSjPjFs82mMQFdWs2RLymI/LTiCRHrTpfgmC7qR4gr8sKn2zMedHdgxsOrWt
TkWTA3kBZ0z1XDZ51ewyEHI3bFmA2+bGLinwGuVv4d3UdxOyyuNozHIDHKU45JmRqE1rYRbcNAQt
PluTQKZH85NDTisfpyGAyY238URVXcAATuuDE9bOvl10ciF21NurenhYFC582YQfwmDIb+vMEN/d
rBsuOs28M2gJdbTKpTgPwAz27uSoB6cmWC1Q1gtn+PwaJi4H/MQE356MODya5MqmY7cZgGld0zKG
OaBnWMANPtR85LQ0Qq7Z90w1tgpTZWzXaL5q29km6AZJGmVel3U9CSzwfxlvmQBmBuTFbW7vIOfH
Hzxkwke/XF4hfIRRZfmIdkvuGEXtdT2U9VHly8lVI7LFabxBfkdZ0aUIUYvwC0yqbCsDH91nlSLK
bd2aMkjpLexFCu6QJEPencSbKfc49e8dCxdmP1sbZij5Hoo/1ByqD7+qUWqXFfhBekg7VvOFr96t
dyXAmJxIKw5Twf2QG86BozAdF3vOn8ciDFfLoVlcs1WzC02cFm6WLrzUXR1Ajc8xkMa+Gw0F0EJa
3rDHLUl8aGficyyzY1c4a4pMm0coCc1LX8j+3DX2d6nBsCDDIgQHhr/ObgSr+27GKXmbK77GpsDI
FxYglMpy2hioyiKvyfptgZ77MpEpk1mIG4umuk48/4loiA6iupCbueXx7+Z5XwvzkEz0O0hT4Szj
pstKLuBHIdxE+Ni/6aZFSdhfL/TvI7XEdLhtNMGSc5Zl15sK11I0Eb5An5p2jd1t0BazKrtmfEyb
Ej140boULct54k3dQDxHszP0rJGuUHBXxtfRz1+xpp8CR97iEJ1PGXC+LUfIC0v0UxuPNWCQecdR
iyeZLv+mHzsy9kRm3mgxWIdgnmijaDZder6otsU9KZwQi4edHr1iA7SgDjno6PqTdAzaJtM0BXuL
HjNr5721JAufaOx3hTdx8gqmTaI4DvaGCTMbIxwdga2Is+mcYhKPXKd+rfsmvMsTgy8ycA/A2tMt
ikP9GAjnlqQCED6tsLA6mvu+c4HpK5V7GwplAz+sv4Aa8/OHCshrIORNp61LEXgvtrDoir/0ojoM
ffBdjfitzCAjT1NoaKFVuJV5vRF5m2+1HL+3vSpgIxZfUmmkO7m2/tco08JqGpoqAb0SnYfJtq7p
BYA2pmwhEjVv8luVskBvukF5MzJfx/+AT8w6G9T0LbLaEr3/yKF8lIviL7GTI3gHG2G2cld3c622
ae8z1/cuLQAb3FUbL5+Z3cxFOezp4qDAKQc3KrTwJTv0IgfSgbU6OLBmQkCQjjplpWQAwqpGrlEn
lFtRGssUTS8Vef9gOF7V7SvSPZa9MopJbWxGbM3F44ywsHxYA0G9TigkpmPukRu39Bxwl5pXAxaY
166Y/aIHgxZ2dCx+Hzf/n+7XH96atY3dvbMdv1JcsM6l/e+ox3//b/dv9OPa/f7hf3bvnfC74U0t
92/dUPJPf0+9W//m/+4f/tFP/9tOPMPzX3fiO/rjKvuxEf/+j/5XI57MxRBTxY/ROaH7G8AMLEmr
5ejf/XfzN4+zoLf2xVekoqA1/0f/3fZ+Q6NpmT5/wQyQQjj/xKjk2j8ppxib+5ZwzFXvhijT/Vlb
p4RHqLhMcEW4JlUm0ave2EcOgnteQM8Zn82k8jExuM191i71zdoxj2SAGWBTh0O+E35mfsz7Qi87
Zc3FhzTo4QB7Birt0FeHOczsM0HCgjZjBiHKDdDmAAQKHTYBzCfEtLvpZSyn5spMGBVEjVVeEQda
3PogZw+VGaaH2I+B8xcltXtSGXAxwBIcdJaqE6MB73ro1qVWd6mBopzZN2ZpUALw96YvBRyVYjsj
md+s5FIyotfKAarTffOeAJStYUCD+VoUunmhLRDAmrZjO6K92lNAMlWeGAXsi3j2PkzxDBRVeCFM
85XBcFrzV4+gqY2vU6Pkd39FoEO+D05NXKm3ZLZiiXO/FbdZ2g6Eb9vq3umc6ZwXvskAusgXqIi5
9ZabDSdUFw8D3UabcxTWkJvErJNL12rja/2OZCdXlxGqlvVpyeTnMZwlwI/VLpEG42Pa9v3HMOzx
bUNZVK+rD+UzqwJ5HoNLzekRFzvQygqRQAU1IjWkBpFlZuqUumHhU7kL9SKZsQ8by5k+eZbHrjLU
5SsI6P4Y6qzfC7DzX7U5lFeZqT4YOnHPherbs4q1vsD7Gze163d7H5aftVWcOwiwXgZL8X0mxWdO
vTTUuEsDP60yur3V2eVlEaTOqaby+KBzyCYr4uFKZK4BcchMD4TQlg8oTNNPRZ+RdzPVrU0JD35w
BxwyFzQC0BfRM7MLjAc8e7SsgTgPTqg7XOvmmkIhcIilehXFJjTpN1NXp1vC6ABW4sqZvmc0CCkd
51WERQoPCQl5CnUYP03kcBy4SlSjt3AQyD1WQXXd9kZ+ZTGCWjYFqS0GHSucv6CI2+Qp9rXlkSCe
OK9ynhxco1gVDn7JSajBJnLUrWbmTdFHHRbU4gY3QXiXxOTOkGawAzPFwZ6MNk+5N1kZjl/hOhQn
U9E+mnKa9tuxG+D51el80ZpuL7PiviZ4KY8/Q+9LjDOdeZnvQpKAoEub3RClcOnuR/zG8W5cCvHc
h2VMUVfL4U4MtfyikEdswpbMnIJmDyXr0i8rYbQMjhBCJhifQdhgylk6aEj27EQkPhCFOcTCfrJH
M71IPGqvFPyE9QlGycnGV7o8tkkdfMmhwV6T87SYJ2QW4YOmS0nvjmHTShYox3LbJl0D1a6uXhAD
hI+0/l8Nc2q3XqvsazF4y5vbKkZcnRBNvYuDuP6cJ5QYm1IBzeTLqtUzuQeKtGjaNacgbnqYi4Cc
o951w6sVwLZl779D/Bc6EWC2fscuLAleVs4uQKlCsrRPcPM4dLSM2mzr0AHf6akH9NMI/+yaHT4w
O6WtqehsH5phYEWjFeJv4N6ZhxH6AmRqwz00mUmSlhH2sUPOrzKfrSINmYaxmI6WCRQ8rKssP/h9
W56SBbogzTAUMWFj9/cqyBxurF/ln6CCSbCBgk43i1k8nOIEVheO9an9MvoLxgMH6dmRCOyEcHVz
6T44nTK+Nq5Ps78T+Xi7yMVgcdFAIhojD4mzd5xxT5iK/OKRMvkmy3R6XpxaXNtdRo58P3XBAlBh
UfEmjG35IV3CuNhinK9oUEwxFh9jsjbCbD8mRdduwSFONHpVhu+skFuv9s9Ou4BFrevyLoTAtR0T
wlxy8rtQzTjyMJvVQ1K7w6FTkPVWYAG9C4XLBCfTUjO0GL0d8nH9TeMyqnajAKnX2ENFv3rNJ0RL
m3+YTVGOw8UppVcTdqamNvsEoYbzzeI7dWF+DpaCPjeNGlv0PeSopcs/xHNsRNaKzhc5Li+94vQ9
AKD3ngCxz7IIbB8j+mlMpifq1Ppeoji8H0QXW5GZ5fHTtCL77Xd6f+3XVLQr0j94p/t3K+g/IP/5
1hzm6hYfrdwD5YIWkBUOAi+GKZyxaYEyX+sjwW63masluxnWYAHOXGQM2GvcQB6a/LpeYezFexpB
twYTYLSl6SQUcQWYCCH/Q2u4dt2aNAO1Bhs4AREH+Rp2QC0XoPNZIxBsTQhj/Z7H2K/RjItJSCOR
bO1HJk7+KeGDf6UxT8j5otwDvmSwJmvUY/Ge+qiloY+JKBfKRZJtGFUMO9mDjyzo/4zbYY2PtHpN
ACTxbZtqym9lOWD8WqMm4/fUSQJ2cdbreJ1aWAxVmqSBxeGsQe/EVSZrcOV6Px/UGmYJJ0IdWS78
Qw7i4kNRjKReWtbEaD3U6beYKNJjNnM6i5ScsUPD1ofcx1TqzirUdAiXMDyNgnhNFTdQX4Q7Hnmf
SN9E1KhoUK2ZnN17Pqd+j+p8T+0c1gDPyTYrRqg5sZ64DgVkOaI+c1k6HzhpxtfaD+dTx8aImMea
bsAgfDXXuFDRrcmhbufKzzBp0y/mFBdQSIkYRXNK2mg2stTw+K0ppE5puxuAoD6RdnlxyyRk+gL2
YdoWvfCerYYwU2sh1rRP10UTM4pFpuc0uXqnSLhoPtbkoeL8xH03pkHa4rKSJKaadWClDBam8Dlb
I1URYHby1ntPWrUh0TEeAT4POy8nvuDK8ujn0Dx+j2kl54nMVjZ+7nyD+POjItN1Dm14MHZK0Gsb
ev4mxSoYb/JkutPCYgbaq7KrYGMY6We3td3sxfJ4xTeYPE13pyYm27TlAQ1r71qIeR6ZcyZFZg5n
HllLMRUaa6zQLzLWz5S98yfGtvXXfJytpxBNwANxdO0ZG+2DrP1lB+2sOvmyg7c/kHbvN/O9V+pn
FsDvsORe8t579odpeMVuRQXhAD6NOnd49kMjP3p+UN5CRt5NTmVc8eUgR1PQpWpEgd9t7Y511Ley
4BxLNx533JARM94s/Z3tTsWyoZVPa6pVDCUeAm8gykdb+i7V1DvMnya3Mv7vnIugH6ima773Px+M
ON38+1z0P/5fOj2t4txfnZ5u3qb/Or5UbQd3+O2HI9Tv//KPI5T/fiqCCYaKyeKw9Afwwbd+c13c
R/igVkPNO7b+Xzomkm1MPEMk9q4JN66NxPuPc5RjrcAH/jriKGIOOGT9k3PUT6J00PtMRWD3gXvg
t0BS9aOIiW7JnLC4a9yB9IZs7dE585KnP92U/0BK+Elm//tFEFdjTuJz/sXk0hOk1GJ/gFtToPGc
/U7jkx39TVs4/e7Xl/qZSr9+Hofb4ruwsuH+r6KtP5nZmiqGhpUQDTyPGT7aMisulkUvTjQtZww0
98eKHj+YSdeBErU0f3P5v9xOOkT4lFiGheBL+1mwzsw6cCfPkkfgLA8WgadB1v0zR4YTrJcgIdLH
VkPky89x3EoZy2DGQh5dMT3gi3/qQviqA/4+Irfk269vJw4UbtifVepcjkM7ni+k8atZZfUa/OmG
2gmBlXDRuqMzgbpMikq0QLMI8y5cckJKlCBOPEmq40T2Jvlv9MDxEYRYrKtCVWpLqE8W+VYikFxD
yz8xIgtBLjRjSIeSQ3sTEQWSE58pBYZbMhMjRS1xon1rv1r5dCAqpP9eOyu6QvWm9UTDFQnwEpJ7
yPJs3yC8C4EEF/Z2MJf5ackBH2deMiURGgsFpkGG1YPnlsknoG3km1XKvosTKLJuDzbKc+lZjw4j
Lvzoyc0AhDlKKozdDQhL9nBXQrnW+sSw4Jp+8Li3q+q745f3TeZ8RWlw13MMJHstqM6tOX9JRtJ5
Q8hrO8PlZ8LJ1dui1fJQSDcjM01s3S6f3lQaypMPtLNdUAxmYYMXwwLgODWTdzMz/N2EhhefrcR+
8iHEn/M06zeyQ5ySjSMqbSN8mNGEbxeR5zc6lMlD7yHDGgISjsIxwaROqQ2zfYSgVsa7HFvzdd1B
REtpzMYYEC9uYnrFbkJDsqypKUl4Ig0FDU8GjOFB+njdUtIRNlaAgroFfYHIsRWxAAOplPfo1L7x
KS1G9QHQGD+HnFLroRHFeClVNhxNG4BbphSCeYyJ6SWupLpuADID+IMOTz3AI1JJCrIGplQ+1YKD
3mDtx6w0n5wGpO4yypl+bmYNz0NmosAiv1xcQVtIHrJU6l2dNSKKvQqDt/RQLEzZ6rQ2VHwFclHd
tbpWt5XqrmL0gc9SB/2Dw3j3SCdVXIvZ9o5VzbNAIZDth76eD3VlP6eFchkDZIzhct+ej06XhXcm
DYgDaE51rROjuR1IF7Y4z14nJGJKDqGluVcTZJPGc5OErNIWHvLsggUMneECbhhSm069WwgH+5hA
YZKIel9EoUi+AHNMKTzdT/OYnJ0qlvSUpztIxo9MxGFVjrlxcJgdX/qOhnaWjrjQBkodMBXiYNmU
gJxvyuPCbO7ktp28LI25ysgTt/lQLewbPNE4rMBaJOadHcvlpTNo18C6qK/GJDcufeJZB3sOaW2X
JPowUUHUXcTS30pTcrWksGk1h4ZhM6jHjBe3KT4pI4ifg6KvSZBIwkMSx9NlzvOc+meYNh4hnIdu
NOEEF/+TvfNakhRLu+yrzAuQxkEc4NYBV+Ghdd5gKdGag3r6fxFVOVNZM3/3tNlcjVVftMryCE93
4Hxi77UpQgxLRxAYKUKrbKB8piym82ok4rIVcvsog5dSs+BmswOVUDrJFyZYr55gIBcPg/6Q0oUf
jdH8jLzyorlF/JjXOk2GwyfNpvA8WLXyxygn+dJCCxVBgGM3BElCrtm11res/BjEBLgWvgN3QIuI
p5kU5ygeTxFNRyg0/Z4N6X6g8D9mmoLOwFThsELN8mMo6c8I5B2K8n7Sgqbt6r0yavNLPwJpqJNG
hv28b5vYfLLtxvMrkXfVqXLG/o6AUZPSU3dPaTmZbNSJUp23KKgkYTXCfqFZb6IiJ3mW4OPluRYu
QZ9AK08CtAc1vP3e1UwxSD7RdhPzAR8HP2MtnVBetzokHACMJHVmnfEGQSzIgr3pS/dUjMZzXibs
vyPBuMTtzlbnarTkDB6jXHOv4yj/ETGu8te2Dx1lWF+UDlY0U+Z421gsIHZ2wb3HI0Hepks2X3CI
FidZGt2RKjQnbHid3mooIDuqoc2W7ZFW7BeSG4gt65z99BDcvwo8gU/MlKx7bDIygJIhfFGUWb+r
7cJkrpQMocSfwX0i5+9ludBLtSSu9uQm5J2TvdiJTY/spWzh267YVNWg+PFf2mHh4ndUq2NdYJtO
LU3TOpJm5mpHltmSLZDzzSE0c9iNHt97G9kZKyLXeSr6WRwwVZQMeuH2O+OCiykn0YGZaHJUIDWv
6lnZR5sJzK1MRX5MtDgGdB+W0I0OxZLw8Y/J/Cx4cgUGiE9C4ZbiyQR34tu6IMNSG3Lj0WplKHEp
vRINY32eR5ncSFj0r31lBrCSkP5mTdfdKNEMqEQyrjxGQEfmw+R8A0UKODx/VnDJYXN30HPjqD9x
Pk6nMTN5ZrRz7cgr1keLQT5B0as/6or/18uP/w+LfPx+f6mK/jezwlbkn390/Y/l9wr/42W/Knzz
k6cbktrTIj31w1zwP6t8myqfB5rD6oOFyFb//yryxSeTwQ1iw62cc0yLavLXssT95PHjdJ0/0XGM
4qr+tST6s95mv/TH0uj/UH/TGfytikMagn0SuJzrguTgdvi9ijNakFUm274j8QSpCd/FJIQP81F+
BQ7Mvpr1rh0fY7uPzrWeJupE4PtwnzTkHRxytnw5e+sRoRqWB5BfkTJRlHawopo5JsAqstJ7xHA6
a+cKLIvX8ohhEnJDVk5iBmwboqfZqOw3bvsvBSPomB/1NHJ/Pg55vd73nffEIJqNfEVDsCPtNQI6
KxBid9RP12qyoERzI4uHHr0KnfGgv3kwgUA2aanxUFVTfu471rt16aYIDXjhRKZLiD5yvilnMraF
JsRDtBoaenbN+9kbHTIh8rLnaTeWa3cC1cQs0prz5os5IhRcp97zV4sUg48P6sOG3znJV77/FPtZ
z6snMRLSl3ere6Be92o/K9VpRQPgY4nghT0R8QZiw22jLkuv9F7HbG1jvypc/Y1MpvVaNqPn2wY8
1pJR4pGhZncaNcVvF+407ZBJLvs+HTwYWMwWCQz0OmRUaQo6c+ppcLrMpQY2mlh7V4o4K9ZX5RZm
ZIpL5/aefphsUbwseYFQY4yVeOvKrYjOZ52fVpTJfOs2hfZzTSbPn802OoMHT75rPCxvGnZuh4/3
12/viiu7Q4bLv58MJATV7gOK60gGjHu9U9WB4eWI0g5ca0qGech0dgjB06lk5wypwbHFXJxM7AFE
8QWzW5KAnhIEosl+6Mx9YkP6OpjrVm5kEXqwSqvz82rVp7GzOCVR3fOoJIj9DcCoK/eiWVyEcjkA
Z0VS8ZuHUvOcqb4P+O1oFPveThloYz6Bn1a8dCDgHhNm8m9tk/QXF4niU4anfY98p5MBhah5ZtYb
XxEBlLxmRJUAIlnsK1rW1HdlhvqCiWJKy8JfMltJwrRXo68OwEWsXW63KEGxO8hNdc34hxD6Ayxv
71CQ8/5zksi//agryxqIEXyVIDaYgu69TB+Sm7yo+VkecUh7WSMPNHzLHPmGYZ/VTkbmQN4/RDDg
gbhPuW9yhATroEfXpYTJCJlxcg9i8MS+KxKTiDA3P5QuNkVmXJs+cR7S0j3kQu8fh9p6A+2NkMvW
XwlPXiDMjy1RpxkKR0BPoKDKGJS43wsp96CpcRY4RuMrPa/OMVlhyESU26EQKuq7Xq7lfa+Zcj8t
S3lnp5Y4KxjnO9QucVgiAdj0o0NoeNZ6Tqx2i203JtOfCtt8nlkd7+xyQZMJuZAbldXdzgLfQ04N
uA9cp1G+rzBiE3MzbED+KMNiO/Uaqkmzv2YeymTdBWlPZKZ9N9gxyuBkHD7I/TpJLYDlsp2reZQI
mCZVMM268zayR7uOhCBDqMsyfGqA/xa++rUhoanCJj0h/KvR3S4ZDlhf5zVfVniN1EJZh/aa2If2
sUUikbFVFUmokhFPCyFX6/NsLzqxmW1yM9IkQCdpalh29nIwWodsM3KgapwwcaNrYQXQEP5rMSAT
AgCFlLVCCDfxoBA7VUx6MEq5XE1RU98nEMlePf7+Jv7Kdc5OMP2dPpBrDM84wjuiLXJzZk5U4rty
s4vu9FYpHz9TjZ25ajq/K4zkSTqxTuxugZLE6MrsamTDDcS3S9lxZgYiZ1M2xKd443xI9Ljyp6X8
gmG4Dbt0MdgGt85NvSjtKScdjQ7ZALbsTXOGZrAqBsaz7trdYXxmclrRMYK6Xe8ZufJU6qWK3j+e
LG0+RD+9uczPRc0dCo5SsDPe7qJG8tCaWXG8EK/jBlJjm8ziCdndzlk4YbpaVoc55vFMNqlhcTtM
xgNjc37RkHRzUBmMxOFtwuWddFiEu2TSvOoGqstyg9SxXoK6XiEeqmq9Bips/4H2+adc+neKEjQd
/1JRspVL1z/m9Fv9t3Jpe9mf5RIIjE0MIm3T29gbfzV3Ct0juBvKLWZQG6bqNkL7s14yHV5EbeO5
DLP+Vi9RSpGLS9g3rDO8mKCC/lYf/at6yf7bGI+cTn69zdDLtukBGCX+Xi7BJS9w5lfZpUOOtHyx
6g1JX1nOYIV6go2MZnai71+OKeP9UjvVRoLC2GdsWx2hHOgH9gjL986MFQoyvSFAj9jb9WqupPOD
psYJiB+W3doeK7rwHHt4XkyL9agBW3EVWCWFv6L/XgCH585ecO/ZISTILEHXm2qDcz/WasRO2sgB
r9kj6YLRQGIcxqJ3bM5Fumwd8eYVR/FYleeUXaw/uw4d+UhyHdzDmADCObmwHmkb9zEhlXIz8KHa
4Zkl0NgxvcuqpuyfepcKNnQJoS7017R1BtjTVTO6BmE+eon3NQUfwfpZb78lWt/tnbZZ7ojgqNhB
L1PGS+WirZ+Jb3TSP5Jn/rkB/+0NKDcy0X8Pob6puyH5H8GX/O/+avPjhX/egp78BPZD6lzgm13a
EEzS/9xLCN0iT1duwGkG6b/vJbg5ibPl9kDitfUUf/FX2582HzS3pw65jrWE+E9uQeBQv7Us2wzd
AkPNkNbgTrQ+Hjp/HTzTZTe9nB3jsuq2Fa+HlIzNgcGsAfke17Q2wKFoSuS5u9G1s3aHLXx914wC
GbyRimMPCOAS0W6FS6uV+3hpa4ZUa39dx9WRpbs6uy34W4tQvKtaVdojlA0m21XMZIx01V1jlfJx
dJv5mXDHAQIIbr2DaFqyAPus9WVPOBU/T+wNVoIVZqDIZDNMnjXvGz+cHR/zNLmWZtmdqYQ4ndro
flrb27mvA3Y+5FyisDqyPzR3rmRw6xTyLCxGNYrUwiRuvyvm+4HKOKDLsSPmzqyW66iLUXYNejCP
OjccJzisbi0knFPsF31dD3aNkaeKjYNW2dUr+PqMUNOtbiyssJi72y5frBACy/ClMwaTuNzSRRCM
RsMsJb+/FMz9ltYKhsr1jkuv0gfso3VQCtLUmtygGakXgjdw5BzjIbvtFk9nMJ2vIXA4yhjWpkT1
NGYId9MM4lSzd1Op5t3Ivv2cp851Ijx2MWb54JEYGw7I47xSHRtrG5QWBpoYZuFUwbGO1lg/aHiK
fOTKL/ZAYCNlHn+JJh+CQREyVSwq9jtbk8yF1NeyZwswz4zhSRi5aihgMJ3PYb06ezDdzR6nbRUg
v8PQY2/ubFsePYyaA1NT380NJutrpL0sZlrvTF3ZYV83ZHYo1NOGhU2IRng5GdSIT4h21lNP8E/A
fhwFxSxsRGHaEvSzbgWVhy3SduPDrCTqHRP1vCeyz1hHrasW5TnoHPwmttkGCm0JNrf4kJgK/iop
NGTWAZnN2qe6ly/uvF4yY3J28SitvValeij0NTk4TfllBcKVgSI9ZKQ8Ir2YyJZl9nZuDe+HtWoE
tWJkD7gmtsnXTk5cEm4X36O5YoYZUwEaW9ZoHg+44MXqW32hk/Ron1ojE58XaxUM4gjS1PKv62LN
4Zy4TZilnHZ2RYjbuqJ21wquhbTK2sCJG1goq0VaJ3RvHwd2G+Sie9P6gQ2NM0fobXr0yOB1Dkw6
rbA2PWsvabj3kZk9d2wbrysdWK3pfo29XgfFRW6h3UjtCTYLohRaRytwijR9KEec0aBT9V2Wb9G3
qdc96RW2BOF4+cPK+iro+/WaprLYu6h5QlpNSbQsBSnOMyesZuRzg6HpCOU6zKVrXobIrJLNbW6g
ezaZADuZPAkDYREjY/I0jZg8pNG46jVdBRqn/DO0Gz5FFxOWASPFl7E3YXYr251u16AK7Ex/Rl5J
NJ8mJHcu0SlD0ji+p1aBFCavHnOMmHdRo/SzGPrJ3oEHTCBpaXkSygbX9zwATMAHkdM9EPrBW1UX
h00X/6B2qUDmHDAE3GhW/jVlwgi1ZTOJtE6MQnLUAoeA1Otm7e2jkxQ4MUz95xwlUAQnGG4wlqDY
yeER3flJVaM8u4hcNnHCg4yyNpx0kywTJJqY8QsZWBYCEaP1vqmheEhBt0dC3RFFPdA9pIL0YO1H
aa3LnlDCq25wLunEP9871WGSBMlW6JP2JK2QY9UhwloiZr7wIkgrttIvbR3ju3HXx57dwtHZsINF
ToEyuWrwkQ8voUEzH3QVeyA9lt31Yjh7VRpfPHK5dm5K5Y+K3X6MjCT2S8cLN7MJxI4M/lP7Y+yL
CX08aiK7y5jAF0KcI4JK91lhjGG+4aWWIW8CxrnuMcGiQjTLZyn7SxZb2Prt+cWdgCKDZBh8SNsS
pW1aPXne+ErCAClLjfMDnRmhIhF7uSkungyhrhxr6G4a1zinNas/u66L6wKhXqV3d0USEQZmJq4f
te3PrsNSSIYJarhV1QfLUqSL2Qt5b4AZLsRkoaafO5ddauQdC1ajvZl89hbXe1qs5VgToXS1SqbH
RMG1+8EtxmB2+Y3Vuj61jA/uMJTjquQQmrVopklkAA87qth3yoYDXdqPDWuCQJIVcrW0/SnuWtrS
0dR28YAfhPm8HiRlK9+LfH6bIqWOzoIvTBmYnOKC0EtjmA5zNWt7nMC275SjB5V6vNNjErkQJ29v
HPt420f+YDNEKNEsY3wL8fTt5zZl5Mau8iQS7RW7d7Zrtfm7mWJxMwulCEJdwQClaQdUNJJHnr/p
GVsia2CNpxyCU5aYCFrhihvmgWw7ex/jF8bq0aBWsxpxiJ3sdRpTm22g+7QM/VWft5tZPP5pao1z
Lqoi2msOCa5WI8Ue1JobCqvUz26jAwjHGIqPoo72qAXrAMPYalZfC9lXwzMY44hNI+AteGDHGXur
1fho0tx6ehlIeseWnbGLzKDGcfWVLobRzsP77yRGvt1k7MXt3jy2iKlGevSGOdizqabKZLu3LF2P
RNvua57eOXvJZoIqDhjSfiCMm04BFj3ZeNWZaNTe8fyMhHOMRlVWgMgCyd50a9f9U14z2YFA9O/K
awucz78qr2/z4ktSl7+ji/540a/S2vpkMWZwQBAJxDV4J/5SWm+Nr5QOup+PNpU/+mt3C/lya3m3
JcGvTYCJo2LDaVO8sxFA+POflNX0r7+V1TbtNRW64XmCdyCISfyb4KfjDK1mKdqzNWhzYGLhHhig
oWsY3Hs7qZL6ZHvkLOyA3a90nR08sOdksOHxONKA8DdrHet1vyy9NDpoxFZ2T2ppiyvWwWl2N8iq
+8yAyXm3V1mdE547V8OUGYG3ofpaPU1LYh+Y8cncG6lTMuJ6m1ar36ukIbaS5AbwYgu38bTFrq2J
AV9inDrvfUwXjOmEWpBbMbSLBLczK/duAQGF3CFNKJYYGIbmh+LPixs3/TJuQkBiu9AE1l2dx/tm
819cBiT6A/GZRalDHwNzncwYL4jUnG6KhK7I2bNmXJsbxlX8dZO5J0CcrCyQYUdW8WY3h9hpdQQw
FeMDl9vdiDARBrlyyujGNRAATtSyfJ7tLl1KNQGWsD2dUn4kNMMXMPD0b9NU9NMa5gnIWVBAaDPo
uCsePCAHFBZlnA+qMhm0u2SB85ThsCh2ibu2FgqSrLFWP5djjMma0aKRODnrEVWv2fc1Wpbezv2h
jMkiGGNUKmhvrDE+GPkcdTcsHrSTjof9Dt5jtFuxqWMHs+j2+6Q6JZo2kgjeGNQoUjEd7OHRjKKa
7kUBhER6zfLFaTJ0I4Uq/CVfEibuPQoZt8wvHXulQ91bJfbsQR3yamwHcn5quUM1vz3YZ4SSGMvL
sqoDUybxLbsPsBNJMQeSPNDAGmyT4iSujzBGovuunMrXqNIGDAkEVexWbWxui0w+Y3SM75El9XdY
Gp17GoLxPWHwHeDCwZLeJPM910O9X8Y6faEAju4Ko15e86TRAFsquCqRY0QB5kLnxvPy6CXBRnGc
E6ndajMAHZTemrcfnc68RDIqgGmRYkOJSev00myubCcq5HMrRfXYL8BTdhj94tmnBTVnPy07Z/br
BclQRWmLr2KA3YAEfzhNMza5qcjjF5PV05W3bgldorGnJ9xuNJNuA0WKFqUrforJksXOJCRs3sV1
VcFbrEk8YWB2B17TOXWT/ZQh1OgzZZk7C7vuRSwNsoiMkDRgyp0ab1UcG1eoXOujZXmKJQoAEObM
fXefFLJ66fD6HUYcrF8nI3kVLT6KoXDdM990GbIDsXxSnnEVLcV8H8k+OeMS7p5ilhhvylxLzOjT
bHzL6k6/0tbK4RxvTec8FbO3t7LmB+qu6ChsRsnJnDOpxhBJBKmr3nSZFa9Lvqav5jSktm+3bv7a
MlHDwssdJrWhO+gOQXGeMw170rCvSGqjkHapezNcDLeVV9nnacbru6uwIhEuUnkacnkOzNVmRLZj
5pHeVYA0Eas0M2GZCFm4irElJ3i4il06aH0ArGUJ60mhXI/Yg/C5DDsHbQKoGJ2GuJ/Yg3pVYC62
8WJBZrwdtO45XbvHrNGc77Ndo9xHaqXnO3uCNOcbzUpr2GXWVYmI/aIPdPwy66PASeOTZ/XONdm+
LbeG6h9XYlcCu9Prb1IRWtpMa31Hqbd+bTc71k5o8HS8cmquYsrRZ+JD8GC2TMBppVuMrKsXXzPO
Ue8DdtOqLmI/yku8/Dk9up/NbAiI9fhCzZj+KKDM+P3YXgwFvcuW0xwkozLfjIQAdVNzDEyZ07Rc
PmjxFu5YqAj0R9xxVqKTPU+N19VCIypRd+v7POs3JswgvLBQs7gZ+3SLDI1SncoQff18NJJhfqgn
C9xkHk/m4ziAkYXbCkpXpQo06kd4AhKt5cHSIvdSj4QnsZUmxEhuQVbLIHjOKZ3kwRiMHtZcN0EI
M1n6tbOlAUJ17W8cooeXXaywmwjTRjvRpwipSpcAlWYhF1VDC37Tp7RO3mQTPK/P36CVVA+CruRE
rExPmm7P2jpDXmHnjUdgnjVftGFbHbqN+82qO/tnrVnfcf0ZF4GiZ/CXtlzYClKid5nGTa7l1xNt
8bVn5vkl0fEP7LL1W6KjbiUZt2aVPD/XeveI1pzxgugSn74fJwm97D5FOXrQ09W7b0VXh5o0EpMe
fOqPsQbMJR9jvNBpRO/TCUauNm1+bOt77vdvGa33Q0tsup/AwXiKHRZKIuma85TRynZdZBfXdo1a
jtz78bom/eWITxAulizlcLBwJN1z5ZZBpXvTXbrU3fd2prNljy8Kyh7LfYllZJ15h8jcpqYiSpfh
EJ2ZXd6VkQZYxVjqk6gGw9d7fSYIXk8vWgcfTVZVfRjUrAJLzcO70aG8LNy62hFs9nnoxdesBaez
cjxegHjFaif7KbmzXISjFVHRwVwmhr+Yc/9TmGMeKrGox0yXdkjtD8o2dvO95cKLMjsteqSA7m+k
7gyHyWOSsvRpd4ukzRRhtnobg85gqoXhWTtN6gqDVkKQBaQ23So+43BTexan+XegfiIE1MT36rqf
E7f40eVpf8I74/i6k2+hqfy3yHY8MuiZFiEn1k96VkBETnFyG0MqLius0W9eRtbsUCTagdW4xjIz
Ku6zoTDP7KfSfTNkLTBB0swVqtijadWb15DKS6MhP+RGMl6lAHy5j2YmQIPQtEBf2MTOTT2GptNX
3wZ7SuHBFYQuITdSSyKP02gCurKvV2tqjpVV5ju98Yx9Lexvrd7cK7ySu4rpjG9lUJA7XQNCqb2J
FEdlktCGpZhed7LQZZjr9Y3TdPeODoqobzF1lIoekShhPakeXGRN56xe431FUtqOFSh5C2llYIVL
zoRuxvvIKq7NUtMevH6eDoVU3tFaspjg9PKeBekd1ulkz5KeiDugML4sFpQiSgR5mheHfoDZMUDv
Day4pm1MFDKt0YTpoTnmLWFEWMA9zXmCe5sesbfXLFjEj5agtpB2udylJa45I21sDrIc4khlqvuJ
Qfe3tFza0NG4/GC2HOU8VvdSA+8BmjchgXOzpniNOs1l5yHUjul809U9l8NyX6T2Z0yozx8Nwj+r
in/XS9HJ/Mte6u5HVfVLMX6p0t/7qT9e+EtcZeF4MFzhUHxvAiaXnubPVYWrf8I1RMKmgbcXRvzm
N/+lrjI+8X9JfA2/2rD/1VN5n7BO0E0JGDOeBPb1n/RUf0juf9PIO5vsyxG6AS6cJeS2TvyLRr4o
zX4tG50BKcTxJVAboBFG02TeGNFMUglEPOLSyhLZ5H4aZOvtjL7rTjzRhL5fWzaJflLo0IUIwSvI
EGOIrO0QRZBF5X1rOEVvp00bQGOkB1bK2buDSYp4AENyHyLPsoIVZCWlkNkLLWTw1TC3o9EgbjdL
1sN2IlLwLd152ZQKMKF17o51fY6wBDP+I2s77D7kDfS9LZ7JTfSgfwggxIcW4kMWkX9IJOoPuQSP
mzxgsB8F0BmPKXCzH0is4m/TprSYN82FvdSZoutDiZF8iDLQcyHQcEyv54TfdBv1puDwXBrEcVN1
pHUyXI+b0kNsmo9I59GyqzcliLtpQjKHZG3ONZQi86YZ0Tb1CAQnj1qpiRAObOoSt+NjRrSL5ASx
gn7Gga7CalOkGJs2xfD45K1NrzKtXnk3bBqWYVOzEKld32WbwgWIHmIX6rrqTP/c+NmmhcmnxAEN
ZuiDv5mpcSrHerg4ksKxQ92f4SDXX9lYDxeF0IaYwuFRIGdFGdbBqw4MLYubXbnpc4CHmS/EDhl7
VLdAAlC9IeRZo+ga2Tt6flOnAYRBj3Vy7B8cWbtZKImLOJP2p//sNVmFVikenPGu9AoSzSbMqlas
31mkGNXM2A3zhhJJvW/dwHOH+fl27DObVGsMCcRH+TYhFEykhvJgVnNxBjoTXRjCVfe4Fa1rJLGv
Ka1HgM46D5CYLPAk4+hxUXYLgdEuj5Ne+notBoimWfYQqVa/VVrvBNFsTadYAl/KTDcE5EaFovQ6
iIiwJHJ0rKNj5kX2Xsky/+lN0zcRedq+tqwIpvdQiAcucvxx89ye+lUAsy0A9RJvgQHRNCw2CPZ9
zdXmM+i/Quae7Eq3lQF4+Dc437C7ZwBYiSGB1i4u77JPbD9WeCCEEikelUR7sxwnPjVF0j7YRdNc
Lxb5ZI7bwzAhlDTsxDz6hdUlN+bYct1w2RL+JhfjQLYtgYxVkhKXZtGeN5LlEGqS+WGZhi2/OrXq
+CCtconFM8khc7rHjzMxpLbFakkVZFMSJ+7DJMGENf6iAWl6NIzcnh5tNhm4kOw2T8SLsLgWQuJV
0ivZ6c79AF03eZ2ttYR6RdCAua+8GvkeaMKF3w/GHveS8erRS+q7Am4ZaF0mzBhJRK3Zbyjsq+w0
bbqEXcFkgL9NphOPfuhqYIuPY5paE+rLVFHexbGWmfBA9TF7z/OhgzOM7b1ytrj3nqqsgbyDi9+Y
ebKpNI7fS5HGGyJNpHw/Wk1ymMlaUA9nFE5xshPpvM3op2XLFGU94YZtaQ55fFzA6b6rupqGb05O
BKl85zPyFCxVNdTnFHgz/W4V5YPJf0jcqgAmbEZRCTCh6KnKMdf7ekt2j28MHS08UMc5/Oek/r+Z
emIy3Pjl/72o4LFWiAr8L11dpNVvZ/WfL/11VrufbH6UI6XUxR+DzF9HtfnJRHGg/2XE+WvyaX9C
S8CW38CJaP0GbTcNlAiubqPWZApKWNx/dFIjnv59+ml5Dp4toEf8TLJPcDT/flIr1LNVl6U19kBH
TNCrc3PyYSh5hwQpzF5WBhmNVZy59+BfyE81CN+64d6tg7FIXIhnphJPWZSar8xEljtUm9Xj2Mvo
M6bE+Q4SNwW5M632ERoEDR92Ovsq1UZW/jmRIf405xJUuTZjh0iY05oXt6Dp42iFNlhYtnlWa1u0
MMrTGOc8iHB2NzSNM3dkBkmwpLffOd5i7XOisW4Tkc13eRJZQDXnUQv1lmSmLsKpDYnJrrJAMxMj
OY1zz4anXuS1gUWq8QcjMk+KjCvOQdc8eXOqV1AMW5A5JW8KSWw0/OC3QD3oABIKP1LkijKgahEO
OtTw4UdA8xxVsmMQOYB2h0djH1OozU5ornr5M+ULP9qRPd/x7AarINY0+r5Ku213uZj6V/gwDEMj
3tmrxbjltZr0/MHLiQmO5jS5nVRUPTW9W98OKLuXq7mdY5vW0tCB7yQ8tzn6CxH5umh5/BG5694D
qFrCVjZ8kJmIwHXoZsr6C1SAA6ZxbYitct27qECluGMSp4sAfq9VBR4En73jlkjOmazNTdncAk/z
7mw8v0yVSSc69nx++5EsoAtPX3qkJJkuiaLhmpOR/I3UrupHIVr3XrO4WthNlz7rOhunKevyMurE
U1Tn1olsMfOsFYSXzMqpb3Mk99rjyskRSicTZ0YAE3jLXFkB4SN2f1y1EsKzEuYeykv7dVrL9r1T
tfFKpWkRM7MiYvCBQhOMppVuiCgIFTKPXe9+bngML4vlPRqgq8Cmr3McejNzTd/GT0VR2kPqxPVl
BEOiTV9gcjKx6YV3aRrTifdq0fGkzVmVHiOnHdYTAm9jOaSR0i5GpI2TPxlOGZqEngBS7SnfBoA8
nGm7eGrUg0PGPWMRvGV3jasJEy6ElM8Vdep1wrhhgmlUQKdnaE1vyXBLdKt5iHF7oQ0h6nFqlp3G
B9EdFzut3fcWsygGGyLUgX9LM+L70aZxR2yEaqcQAZO7jwkRMtQxqjE0ngfJcv1UtO2SviKj86C1
8y/m61w+bxCVtEdmcb1v5NG1U5b03+PQvyZteRN5ZnwByAk8IcMXCsnDMMva0s5xqTvA941Cf7ZN
nf553ShB67BCV13yvS75n4MJXLBdAXOkjJLAqiT1dZ8lLfqb4SFTgll50RhbnrQhAE1yDb1Q2cXs
OGWiAQQ2Izp19ngUx2bZoMUTTQDlB1xJPrOtGIw+/m5XvIfjQiCL2jSCKlhIirsi6js71UoHAuxV
BP64l4HJ4yljSsJEq57PxDyp0JlTcr4h4YCKnA+TZmnf0cSELRttH+LBYXZZni+pIXZ0D84No+3H
Ye3xksbTAWuB/SK6zQSgFDymRdW3k6s/CNOkWO5WvrYeH2FsoTQZC+Z2biOZDVS9T/VZXelV0//I
FudGX43oHW/TxP60LR4rObq32Vj37BKgZVpFD99ZRea+JUscTycaD0uuN2nrYsKyqL4TWC17qB2C
LRSvEjnGFHymdRPk7vpeA1/cCKi3a9NdD1Me+exGRh8bY3cgErnbZ2iMr5mSTbeyZ6OQ9vVXj6ft
AYSeG6bREu1R1lHNRzYoFNTsx7VG0lGMI3SaMhVXAOrGnSJwuU6NPohJ5gGgu1QBgJQaRm3dvWIF
nY56GQ/PmeoGLoxJO8Td/BMYX3FYkmwJh24ST6Mwos/AobUSRH1inWRGWDngbEM/KVlPOWosy76q
yNvcex6LlV3DJudAKL11diMNN6GmOfeqSeC2rxxNWdmnDJ8sRjejXB2YlG3F5I0hexa6bTownGmj
F6+1uWXtkuyhGmo0zNT2KyDzmrk5hOy3BhD1XqiREIHUcPdlP3iHeh2b92aK9FfGalo4jOQv1yR3
3LCXqhEPTN2xNEv33uQPrhHrabessV+cuGUeLTxwLXG/yhtKNUE8yDzk4mzPWXzx8tL1dnFlt34x
pGSb5IZZI2WT7FmsiUmrjbXTHw1h3pCvDdkQs0q305otPbWOXDRQTg7QMC6CrmGU2LKFfBkavWdd
RARRkCpm5zrQMjQt9f2MZeLGzPIqcHHKSlVwGVj4Vmaj92eRbK1hF+3+i70zWY4cyZbsr/QPoMRg
mLfuDh85OqcgN5CIYBAzYIBh/vo+iMyslyUtT7pqX7uSzAwWg3TArulVPTpo26DYw8t+WaywfvVl
u6KErHLBdRZh0mltdz5XHif2NpsbZ+dSlvFSQ2a7Jqw1Pidcu6EiMXDTRPLDCPqvNK3ib2gWRCPn
Smy17bxUtmPc8kxhxrfygZUE77llbqKXuLUPk5V9RG4PVLtxDksNAHqJWIFa6fxtHuaAznPsMJ4H
7QyG0WawxIm4Ts7FRapfdGAPmzwz6h3GzOw4yL6qgUXj9APnYD4U2m3DXI/5Y2W6d1XcVTeEnvqw
7CTqp4xRNrdj0o4q1Ga53K0uS4yV+rPPkmdAsYxSzBd4LQgrWENx9MAY75xo1bphMHZwAJp1mAH2
29kt+2FOuTCh9fa7zPNnQ7ps+4iEfmAyTo+AZLxfrdlesS9/EQvHlwZ4H43vvSrQNhqnSw9TLrxz
MEfLjRI960uLdHW8UD0T9OexyiPenUqFOJchPsWDdcymuTxZgzoRxVjdTeZLOs45PQINlekpJg+o
RMFBwrsGh0lb+VCoc91NT/aS6D3gTOrYhzUany2fHfPntrP6+inyuRCmSJz4EktrxmxYDSxQCHPM
lS73U0+UuzX8nxGpJLgw0btoHOvegubOqspB2e/4XDk/S1nSlbL0Gk5aqi6qokm2b+QvrxxJBZmf
2s9Bi/Z8S1uz0uPRV8RXtK3sMG3Iowy+mxyYWLyrCaaMuq8x2wumx3tZedEDIKFzyy8dAushZV+T
zJS1wHTnI2r68W5OJgxUZmbeWSp7IdvmXiPqzQ94SxyEGBp5rn3SE1zTSAIArRxWr5g3JzYojXaJ
cCyvXZYCLqLc3azua6+Lt/YYXKSqv5w0xslCL1diiPto1PdLwdU06QiT4JvKVPnRFrTmLXp6HnX/
oMyOBVp1y7SGRc5dSA130bSd5z5nBsTGCbWBxZ1fwKh1rNQBXkDB002V+f6NWzYVhTLtRs4eJnwD
HPeDbKv8v3GOf8vust7esID8/y5+/6+b/M8/+Jflxf0Hzi7TdcDSAMJ3V1vJ393kaKwWkor9GyL6
PxItlnGb3AY9X+BA2ZP+U6EFcmP7q0LrWqQ61pvkf6TQWuu97m8KrVgvWlIIxFmkYu6aaz72bwpt
ILBwRVFjXGxYbo8EP8pwwfZ4KoslDz0FS08sg7xahTsc/NpeQpOX7sk3faYayo3onHLLi6WJPZhN
52PtFkC6sV1XWwgY0A/cKoE7Fl9jZRHohgce2W2xte3qdezzh1HyPocux1aKjQ/AdFS/SNsBa941
+W7ncBIau5BPXQUrSik6pBYrLu/scdDP5BWZsYme7GbMLJ/C6Dezb72A+v2yFCYT4riPczAzZEKT
ODQjXDjw6n15TbOlp77GBw3hYfGBv1vmB9YrSFlFNd3MhGRPZQy/LsuWDlhAFOw73fP2IJTrElQU
gkZNQ04QzuGUDhN3o403NRZXC1HNx0W0IhSKggzlNM6NaP0jmcerEoBoLGKJt2VuXqpoKnfZhAEh
9juJ4QUCQ9P40b4TqtzygalDmJI0z8b5uCHTv2VZD5e46srL0tHb5DmGdy4zHAARcNJNb9MrNkkA
g8epAr+DIMzNJi+Wp8bh5B/n5JVrq3wZS8c9TbY3vFcm7QqJbgLWalYd3al2liIsahAGyO3wQMRl
qCJreapadrl9mI61b/zMi8lE/6qL3lgQLXXGWF7Vetli8rW5jNgd5hZMUfO1sSofeF5AwG/0cYBw
aSdZeSgR+I/Sc+D1lRXDWGoCYp7KqrsaXgcYGe9smXSUIWhroK8rdW68vCUYZzKKhUa+cIvFxM0L
FodHfmdQJ6SMnUEzEkGI+g+7H8XZv91/1OisZkC+kMYaqP4wCnpR1a22wdVC2P5hJwx0na7uQooS
22x8jLq8PFQNhSXxPU4T6lv2FJMK6nxt5ud1ZuTK575AmdfiyRhmF4OiEWRFGWAfR/qXe0FKmEsF
cdMaAu/tSFuvavb4PiugDYUw30gET48jO/CSZGXVsDRNzaze5kY87VLYV9HWILUbhOk8GK9J7sCY
kIvH/Ne55XRLchV3RBU03FPitZoVo9WV6m9og7xJ8KxmuUpeI6fKyzsjm6W5LdUMxX4Y3WFfGCRJ
aV9I2AGaXVWx+TCTY13hsMdAY8WwS/v5qUVLgCVCMcRbDrsUM0fjWh9NYssd9SPxfZPMzb0Lg5PR
V6mtm+CFOvANiNtF6JUO0SB6VsVyTOdKPbi6rV4xT3M58xpzvdDMGcsO1lfkprMMLKXvRidfeQb9
57rDtRV3lKARTu8oqDUrj185lvRN5ljdvDF/E0OE7piVvOqh8VV88BqKPczBuQ+yIX6OCjVdIO9K
hxE4Xt7/q4T+W0ooBxvn0P9+ID7/mr7rv0cbrT/+xF8nofUPkt+UT5qB+1dI8Z8nofsP15LS4/LO
occi858nIXBsO3D5V1S90wQtV+zcnwZQ6fzDX89UtnLizzTWfxBtNDlf//UsNLGJ2RIlTqLTIsbK
NXj1t7OQAdIYIC+J09jI9m0wbG+ji/mnP8kC2r6BZcsgBjSVa0Pw6N9qrYZv7pA1T6omJSVafe5n
4vwrNY61VW+c5shyo8NQ09MLn9f43nsraIvKyOZo+5HHZOfIWD9UnjNbj7ad5rLEtVWY3mkxW1/e
ERQX9YumZAYGDy+/2iLd37GlwRInPHKJw0gDxQbHaFcCnY2gLOwpqxDcetTYts1L4VcdqwOvQhSk
m2dyqU/GldmFXiJsvU8KWypwQXEK/Z6WW1bGm0nOVIinJf1PZ6+ecXnNsW64C9dmjZ3Dhpl98KU3
Oyc2axQd0NeYetlzNBsGCwvTy4dml9RO/T2rIv8zdrO1F1iiFBKeJnU5uFtfr4BxpMZMobIVtqaZ
pJYXX1gr5RnyzCXKTK54Y8dcu6dMOaNWpc7oOafP71jGtXqfqhSGVkGpJXyiySef4Tvv88DSyLfi
5Jjq9CkuCtIMU5/dNkz0x0yOr1mNEzPDdbsx6es9MnckVHKWcfKWTila7DykJ8+fbmu7vSQYIt+g
wFYkTvSDVU74a6uBFp4hdn92UzRS4zi+LxmKCEGQbT5Zp3jKX6eBRNxM3OLsw+SPSTyEVpT3T6RX
yckiXB4QDF8NqwJA6sFU0h4bVF9WB4zJoJ3TV9bVX2wausuiKWAJ8vhuSRo6PvruvS71uRzq6gg8
W+Gfs3bUXMuNZg91UUwX+7ZZHpIYokIu81eS9Sn9U0Yd0rv0C3OKCx6BAuYxwHmKR8mAbN1HnI7R
Lue6cbAHG/UIbpBkqb2j+mbaxpjOuNkMyQ144/bW70YZemSCT/iKU4hnC5UeBiVPi278H9jYhkM5
OOkP8MRYDNHoQ9U4BpPfbGPhjX9FVlTfO0b3xGV2eqrKuTgw64DpTlV6pGLPxQsnKISuZwfUhQPa
gnH0xHsh2QNTDfZx6XCNS4zgMLjjr9rJyxPKLrtU3h0bPAEp7K0p/VFjJdoOVHeGcYzniTydJvBu
wauqYLo5CxVkjhgKKFd03fhyejYdOsfaIn+lCftEiAvYnlYw7jrjzZnZoFv5lJ2TxqFIQ9np10qL
+QC2xEzScdSOdr7BSUioDXE4vyGK1V9ct+OJJ4/R7CxyZ1817m+slhAFHYJUvoh3lFBx2ZvLyQC4
JPorK4XReyrsnNNSSFpFmqhN19CMu0cB8sMVmI+uV/TZs3bLDvOeucSUE9byXPUUUWER6/h/44OF
qTRij9gXjbUV0TA8ZGNuboeBj0UcDHShwaSbPxvFSzWMPXs+911aHYmuzCOOPz5a8OVmV0zbhu8W
oJceuy+zaWA0xSAY9nRI9skX53fAszYGDYe5aNR4J31Hv2uHTwtTpQ0PwRxKcUmqoDxgIVf48gx5
EJKpo8nHkzdnkNSTmrfEBN2jFohoDmLZSq6K8Ww1VojvszggIIC195dvk2kHr16qprsiM8Ch5W/0
wQig4TnoeOpiwCTbd5mQ+Q6+QwYEI/2MtN/uUqnS17LNsB66yklvJVMo9pB+sXas080HNjovWEhz
LFCBhcpvF/XZDHD9e9ZwM7BUutpWYDzlGFW/y9JJufSAZ1zKAMhPHyc8xrh9ZRjV1bRHBRW3bgQ6
s4s6ZNCu6+4obaxDvk61rw0xH9r1qcXO6z6Wy2Dto4ZaXRR90ovkhDDZp4x8mv49kcC6Wj1Zjb/4
NJi5VCRZ8ztEZOdoD2Xws5X60aNtZ8QNYw1gyLpv7m/nl2DeltZwsgvTx3qPEL3pwGp9RXgKwszo
jAumhWTvr16zSiwkheuJ/sHYXy1rJu8Df75LsQHeL4YYbucUiH819+TyqwmUtGZKHTzZhzjPCGgG
tAiLUfrbIKONQJntYaa4iXdwdxv0vLUWi7gbmQs+id1UnbrcdkhdQuuJzfHa+2Tucp8dWb0a9fi7
Bcdmmg7G3ASnVgwRUvMkWKsF5c95Nf0JquO2/WoEVGSXEHdXdyBIBP1MwIKQq4/DiMtisNNdc8Jg
QyDCUF9T472UqVeHS4DDUWhFpHAOlq1BhyJy3ERuqy+ns5E3nysxA/2lxx1eFCT9VhlWetW9ZDLB
CswvthJzth9Xw+OyWh8pCgw2jarQHVmVbv0Yf43h83fuc+JOssx53zXux7KaKavVVpnk3Yes8/zi
qAgTxswlN7IozAKGZN7wGdC0duLKHPP8q3eLYD+p5SNWKyjmt38zo/XlNqpNoOZDtlYbBfEPwtIj
4dKufYhyGW2T1QIKdnPgcMf45Ir4HffjFxLsL7tLi33hMDAMk/1Wtj31fLluXgufL7W0hB0UWvRX
29vUpuqM4MHaf+ytflQIddljIGt1Er+dqnnHjwEDa19GYsfLlGww6a03sLEcGJ31lKbgYoaYgT+b
fN7rblr8kKs7tlx9sj0J8n0GAp++EaPa62wpb6RJEXI3LzR1W/MPnVA0NqCCgNTmexiTPCfJ2/iv
WsjlIbcIzXKarpHixKP6jB+Y4tsfujx757HPO7Yclf/ceA5/1hLcZ/ro5BYTzU5FED/25NAenC7K
3gm1PjmuO25xi9/ZstZHq/djEnNJpkid0ZMG0i+xX1jbAYpwENuwaoT2ErkSS5oX85seRqznqws6
dQc2wnEt2UZNFTsnfs8bqcz6fjCpFhZ4cY7e5PgfY67Fe4/7OlNRd78Iy8jCtczsmKnOundKd2Ar
nFFubAuFYELMexvIAa2DpkU+EaK8Nn7gXEfqL8SWt6bBiCGV3Drklb90Sw38+qDG/E7BqFGz7rXu
QSnT4ZGp2EkfUX2Xfovr3N3NsfWk0rnfcve+gYKcfdMgDn5UcXMuxiRadllNjLSJrU+yfg57qVT+
JDBA9AYLD9dCA8/dSY2rOz/NE3xtkzNPP8Xq41e/Hf2rtz9aXf5YjYpDULkPpJ8uEZopzRkcB9PR
NJaMj7M7eJ9R7FFjLLV3H3RO+kb63qY4InV2RF6K0OGqv1W1ouyqbViy1p1VX1vLpr0ALry+m3Lp
s3yMaoIoneqx2rY+SWs26WQj1pREbLbZPlrTE+aao1B8X4cOIedAU0tUHhqi1G+8zfI3jrj+WwEh
6SnPuugoMi89CWdk4o3oPW6qATQuddMR+UR3LF5jSQT8MhgzbVFL0tKmLXkgEjFS7M7l+QxjjiaQ
cjJz6g0rCjEGXHLck9vHjjaAN5oe+09HjcPR1zUurizr7u04aV9qy6GY0NN11u0sXF156WBaYrpa
XgMQshRgOuQxiJ7wht1yTwL3uwTKAjRAxfUQ0iHf5RfkxbIM8V+hWET+4n6L8zW1M/gTJ6tPswoP
Yku2B+wTgpGd2+6da+XJ++CNWC1rr38qlmo2d8SgjFvUsfQ9og9u30Y+jNlymQpW4JXYZX4W0w1q
g9Pc6DWgJGhseASqgh5V8npty+BpLJmN2UP1P6o16mQkXrZ3Owr72t9hqN+5qK4cymczwUBoCU8e
xjVAla1RKnCuya6Om2KrjKXAk9AqZz+uESzcIW27cxZUsGxAJBoyE55XtYDPouTu2HtT/CCVFc1X
38va+n6KE8SFIJ5EQ0OaT3iPYaFkZzhDQu3/AMwwbqYrbyb3mtF+qv9k0fQzolCrcewlMEGh3ECu
KSbbgHkB0IVoHCVhlk54j070ezI6udaxS1znDVpwSQX6GCvviDFSmT+w50Y7YWRRfJMOQ9pgShBt
Fko/Hneu7Aeq0RFqePuAUb4hr6eOPe6569R03AXMxjgsjkuDTEc/CMtGdWr5TO76zkpvaFJOt5Hs
va+yre2folo3yFR0dCTAS/Ws8yBK300TN09JbzRrNxeGoF4WVnfa938hTcVHty8ZwU0sENuGco9X
bHIiTF3eziEu1XyvpV6+CwbryzhTcFdwP649JQ41X/a8yKZ7VCpV35LJLq/jaDrnhcLkrSxttXMS
Ew+cmZRWGOdkizAtMh00uWa9RfyXvjiK7u2m3JEjtV80U2TIKh/oYGVmYcxZx3BOQmmSbRf2hXdi
+Tnsai7uV8TCYN/mQn53AKMegWwr+qh4MxUrscLDRntIY2vYtbXj31gpFTubXCfjjyIg3EeK6N6a
kuBTVEQm+E5QAynTUVLOR/oIIDf0fXyTc6Wd0K3s1V3hNpQtTE7YsKOHzLesrIgsTcIxKpMwKDjG
I0gRH4jYCn6uVx6NFDaCQYX4thrpH8dnwlrIEMZMGsGy9nVkk/kIPOO+s5b5qkYIrHh3bqnwrnCz
VFbLBG4UIdTV5JeiyOs2itKUF21DQ3QN1THXvPh7BcKuAKy7tAXJFxR3Dp1xfiS8HtwNU5yHmFfc
Y+6mQKcLXENC11gMhfng+yVlLlpPMNPXnJSHTaqiWyFnsGv8u/x37XkpctoWIwphMaK+EyxE0qaC
CTdPmpTvhtLvpN1oUx38g+1MpqApafgUoCaPfiqW01zCbTK5eILyc7p+Q2vpmpfELIGN2YXjVnyH
GJqEA7+tjaymb8rnEhHDvV6aT1Ld33TGeqGQWGhD+NT0mU6WFWJ1J56fBvDAU+18z4k2bko43ltm
ZqBqK4K3gHDLmRfbU3NDKKni06K9g0lt1la2dnpTxHH+gP4gxK63yc+GgxLDne6YtzMxyF2zyj80
YalT0DQFHMyBipXMF7/GiitaBonxCB0KrJ7RSEIu6M25an92ydSdPbqCNsLPPTot+12SzHQbKbfh
ADao34YS8LjkSbyPcTJxX2MUmys6fu0lK0/0ig85VFA9v7Ft1xv0nlsL+9wro9RzajQNBU2dd0lc
vHrNtDA41skpAqbD3rk32l019B8UBt6O5mwBmZevFR2Q22ywaUp1W387Opb/lkz4ii04qDvCbMOW
RJzzTLWmg+0rl5dqTm5SOqQ75Wm4N8lT65pfMF2Z/2amoypW1VNSy3crAYlsDZX9qYme7UTcWjtl
lK8TdXhfSpWsC+LKdwkTEuvbGpOCgbm45RUiJjueOqb8q1N+9DGIHgvANAzAnIN5vDaE9/CQ+BH2
BgSIce9oe2ZRU7I/touJpBDow2vFC4uSZ8upXf56kdezP086+ql4BlyRQxpCRB6XNJ646kRrWaai
zSpz1D3MBUQCE7fuRtLhTYOoJCkaDn5h6rAXibqT5BpO/A/+VV75XzKWVzureXn4aXKmOCo/zw6H
q2mNP6Nc9SDtjTwOJ3dd0XsZhJViOi+pR624MF9bjqRtYZLd7eWqBaqKHW8A58YzXZwPTseUxwbg
IB0m4VhLXgnu1A7jMavBTQzNB2iQ88QHflukCqtDbNxGAWakpcCJThLurEwy66OVe6GXu8VZOch/
xJP0Fn4y9BhucdvIbm7aeHgMMv0pypRPfDQ7uOCqx8YmcoQw450qmxynZ3TJgbsLAiIVb/cs695Y
1+hLFxkgQqiE28aFBXhbqDhM69I8TvSa7Vqn1yfwbQLloqs3dLB/4pQJHns4hscsIrOV1PNHHmPC
kt1s7dnvwH/urB+RM5hPo+/kO3fCiLYluT3+crQ3PPHuI1/lApLzRNOf2wYxSrBdNKnevi2AeaOz
wH8NW5Hnx8Ctbu2u0Ntosex+J9ORGjAvNkv27yLJz2vhgBks9T5PZ/Vdm3X9DmbLWlsTluUna0gW
8IB9je+1W7b3nigor+PAo4rI86ajn2ctKymuSCRysmQ3pTFeAzsOrXKmuTcqeLRiUEQAmvz7erSo
IeqS/qeRul948WZF+7OhARL5weMysSJ0Um+stioV44s/Of2DlIm93LWTX6vN6JX1ARW0JGfaWWpN
uAJ5JULj4X1Lp53ChNtu8dwp8sCsT20RGXdm2jrkQTgMjmk0PM+x88KE4Dw1dDvs42bujjwHOCtb
jW0l8F9HH86GSir5FAvcFjqx7n1qs76XU2XA7o18sgUS317BJZ1WXclQcwOPWG+abkguzBDdtIdD
U29xD7v92a54/2xctpgZEPxxWkWiItmMaGHMNCVJhLXVlfFurKH/EeRoX1tlNxd2nz5pWVoWxKYn
8XOYVRZtZ94L726Naf8Oc4Z4HvgC7s5v+uWtz4Gb8hhHiEYI1Am2KeBnVq+AAvHpoUlajeQgmyol
jahUu+PACjZd28dMTEQUNqbsiBC03ToJ8ZZ5L3PX+yDp4PNo91l3VH5CEwKd1Aytvk1wMDboRGSd
Pz05vaLSoxJYRzZcw3x+E0bwWvx2IiaEk3cUPrHKQ1Obr3M+TDBqedDCpVkjp57m4j3R+LxlBC3V
brDUF8GMKmRF8AgWNcMd4oqzwj+8c1QP4SWNmscpHuRbtu6nd9jMCYK0jvmgm9rEXkJB95Xqec5T
3mX1QwER4M2w0/5sJQ26TImj7badje4thxN8B18MCqsCic3lVVuPGtTdNTAiri8t6ZML1YTyx0w/
zLnT/kAkw0IMnWTPU1pXvFY3peOTdPR1gnOT1g4eytHmxOpHVMGNRflSdofC33GeBC2dkJkpZ4c4
0ejwmy6zMOraONtNuX5YYm0DgZ4VPFhkqGdBjcU5s3lVss2cvwqKdt8jUzOoLW7n71A62rskwAG+
ibO0eetdp96PBqduXNscZnykdlx20lDEOjsoAyPmBmn00kaTdxpG0YVw8/IbZRK9Y7I3xU0N3fGl
y6oOGNiUljssv/bWbYHNWYThH1XeqDtnHv1jCa8j1MOiDqPG9GUpak9IWo3drU/G7RvqrcEhNqpn
wXx309IqT30G0z9ypodKYyRXPI7D1g9imETsMrax0uVt3wU/jcE0Q15OJPwTp9sZJEVug4FHw8pk
gtnJOtWJ6T9AJplO4+wMZ9fwFsDKcPztjltHz8S4RW9uz5q6w1tCuvkNRUM/gBlTHhLN5KP9+Xs8
l8lW2jk3Az9DVjSjEq2snV9hU0R7r4Xdq+RihQYf9EMygNYbsAOccl2j2dR5RY0cLUW7xJrMnUvI
gRV/zSwrlvY9LWgO4KqwHOd2cmlfNvE1+V6NDmwGBS0TjhyK6+QQFJoTDpvMWZ2VOUGaG4Om5NFh
fYPGiiNirpO9iV+VIsXlzskX/rmIHjX12fdjR52nHPLXQMtvVszLmvhLmAI23KGUfA8qMvJBzMJj
JFS000YhdjSx1Htp5vZxtEuyYNl18RVXBcimMMfgd8Txcg8LAKh11rwpTesKobhjZMgjg1V3GBZ7
+DAm1iCSiLAlCCSKhQl5agwcpwMHNd7G72WQ0UPXN4/Yz2lpFrXP0W6uF8GkMO4p+50J7JE0aCoh
b+zB+KQnr7+tZdVuWt7/m5Q1GEJPYH/rRsxncTndsFCfTm3RvP13bf1vra1duTYg/+9r67dfuvs/
r2kbk1j51/zOH3/yr/yO9w/2SK4LyvN33sb6HyOXT/GYw97axkNl/tlk9lfWVrDY5rPh+V7gWr7r
sXP+c30NtJfWAZfuwJUaKgM3+E+cXK7PLv7vTi4OnjW2C7ufpC0Wf4oR/mV7Hc/2WLBmS0669PoL
jbRQYyps/hdrRqqhahloD8OyedUmsfcyBqDL2nOHH2U85kmLCBlFvbdvwek/BT7/TUBFySs1qwVC
P683K+2DtQ+E5ifSil2+nfLEOelo8dp9n/XRsnUMe+Q59J0CHn/usEUM5pwzrJyODfSEys/ZELcz
G4K49OMXjJ3kGgZnLSt1s2/BOL5SnBmhX0V6flnwfLB8pMUyHQyx6+ysf4zH2jx3dZXy8OEKZc+y
Hsn0uBBenJv0hj9COIDV+HBgJf+YRirTu2TKxmNrNfXtMs4V0qgl3qCCDZcMZfg5Uoygc6uTBxlo
F+cui/4NEdJch7J0U+w4WbF3PYfmwQQK+FOcIMJKayIBq/nXzKPmJTDTF/zirDX8brj17Zn1StFt
jYagZ0xGgwBnandPucq8B9R7arZsEiL0ObS2uYcjvip2vrHsgj4KNr432KFUKBAu9ChEI36Elu7s
rV0HhPoNz9tEk8X4k6ujSRCHFZ48mH1yz81g6HZyhoiw8/DIbG1nRJgo4sW+6cg2sttB/oWpunRY
dymBHld4m56zbKPSxQyNQUIYzWY2pa2mlCLghXSz+PLYZeKdwIWDHZctTB51r1E1i3Mwti+gjmwi
PaL6WKHPZzNRHgxavIFOTleR2TnkHOP4qm2YTbvBg/znZ2VzV1Rw9Pgpl4m3geDu3se9dpH1KeRB
FRzeozaSj3Bps9CJXQx5i/rVSQu1HVS8G0ZNGj8sY6bPU1BQiuZaW8s3JzJIeKAL0yV7XRnRo2l1
32Jdo53gKDphlI3iy9iJYnicgrhuvkOM1XR/NljSSYQ8uqVyLlncWE+5axMQc6r+xtG6cbcdVRjd
ZlRle9tL8TFOdn9nMPGFchS/7Kr88MaR0AVaZ0MjjU2HRAo5kbyFqXdlO/vvfpz0z4uxWoqHqAhd
ypdA0pfsnY7C7h1EaRcDFi0f4/iRxEstdlA+Ulzn+I1xd2QtsXZ+y6HjdWWYAg0VcK4XQKUiETeq
oSkRw/6M3Krkw+iY74sO3kXbb1phBWHrMWRyKUrpYrK9pGkPyAmsYmPpvjmR/xxH6pfg0k+ExStU
2OJqPzpEO/x7rBkKQYrqkCxx5THmnXPlK8Q4z3Vyp6EkMmiMp8msyIjVrOknBBY9ylsdaJbTfjS1
8bZv1XuZGqq/tpT68C3Rc2300QPBiHrTNjmJ4wFRTg+UsveCsd+2khPl7UPzKBdJZpl2apx1mNKy
C0lcGFupBnu/mUjA3mpIkKFnIXokZWSGjVorJzzuoKZy/TfK62Zn0y0XGNsGVF6dHHLKsqhHk8be
iYisBGIe95Wdsdsme/6NzsB5V5JUufipt7fxWm5UNJuICYh4m7zNnEc4AKj6LhIFIfdy6w85FUw0
ZdDSzCxCpbQ6DPSjbQezjG/HgYTfts9W/mQhnJPT+e3thM3odcSz3hcXIGvxriw0PUkpoI9wMqxy
n6mLO0/fyKK5u7rV8jQReAgd/qtL4Yj61iysJt04tkH0o8H7J3YOySjvBPjM503VNo8Wc/ez78Bv
dQGn7hIHQZ208jIfIoPVyzYo8hzrCt5Te/KovLNN3EXt8EHJFSwo2kkmzClBu5dET1dLyF2xxPNX
nxD7TAbPo5ckBkHANr4/TJH+yTqbMJZH3mOTuDT5AaKm6xp7x7YGw3uTFv0HBwutGMAwj9XS0Bxd
IFgu3N7GEYJVmXY/ZcVpE3q2p2+ofIMyFptPsef6R8vARpAKD6Jb5WeHwiMalFA4DIMLvZUDFoxB
zQBaGUBp20qcxLzmJwM65NwRRq+L3eLidsDkOLH9vVbMYT05PJDzXoqMXFyj1Xbv6dg7jCpgBYDx
4gu2PcmlGXDuplS8eym1KXaBJZtTExAF2WQxC2gxWQ8tDZNETOVqLLHn20TF6V1KVGCbFwr5aQFZ
7WDuPM9dE+2ZEy9sQxoAu5P+dOoWi02pxjDDqnTTWRb3HApsT+0S/ICsXZ5iBw5RAKmhz8cfZQlJ
WJgzI3/PcQM66eS3Oj72Y2HtuKbfDWZ07WjUurNKeNF+PziP3MvKfQsaKp6zay+08Tgm2cPEz/Uc
TY7kaSzu2Lkt+wnqIEdjGjti4xLbhQqt253NfrnaOAPk2dae5hc7Z7U99vxcrw15d/e8ZN3c3wI7
iutQcnKSRfgdce+ENRO0tH+H35G6FxEmUaCWJ9SmwPhGARCR+dTzuFJwg4SZ9EeqHmZcAQfZ60xz
PuLWeHJYXWYkfBdGGQ2G6W7ITdzjtUN0EuNohrpktuWvGaMAAFcSwveSmp1kp7J2ebPYZr+VtZjO
Hhcl0iWVPjSzMQJ3Lr3JXTWe4SzcfOTVX1T8DIakozVQYHEveWP6oP6+z+y1KOrss/Mggt7aOOi1
V/Z16blcbUUgLkOiT+N+ZnHziUvPAN0DvEPPfrPH9WzuLfYuFU0kvF7zxuIHRDJv2tMpEuOri3Bx
ZasGoXKiJkFpIdm0XDuw3HMXGOuebQenG9e92lbWpVU9m4VOtgoXopz7gKReNggUUc62jT8nfrbV
/5e9c1tOW1nC8Kukco9LGp0vsqp2ADsY4ySOs+21bigFFCQQEjoB4unXJ4QchG1yEBfUrq3KTQC3
Rq2Znunuv/82CK1vZr57nSdyQFzQTJYZ0cs86/vurNXDtYFATxoSZX0vKar1UYYnPG2H6SbyLilY
srqhSYtSPL2MhCMwXjA98Bl0IEmYfjbdOLqbWlPY0Cw998BnWBqAheH6Mqaq/MNGdtdL4D1QsNOb
ITaS90acpw++ZVmdIdmrm/nUnBfR+3X+uFE8uK4T7UoBb0HyeJNCXWYGtNCLZt4Qwg5ALbCkr4CU
Q2/fVdYtQP85YMLiBEQScK4LswdjifRAHVzhTsN9AbMFGJBL4GYBiYxZKlECmaaPGO8N5X0JbPaW
/I3oAmlbQ5Oog+a8RXZoVgQ4rRiW6VWaTXNwfZpop9CfLNqq7s4/BlFiym195oJ60dwBvIQUH5LL
vFllhtbTXXMBjkGhtinx42zWTbTAv1IpAO9Cbq9cg/uLlh0/UPPxemhCV8yZ+yv4caM/VN1AbwPx
Nm4SqjD0znAiT6zBHIL4tsiNxxTynId8CAG0PtFUgNubSVusNakXi3xDKQDY/7+VhUrNcQIclIYb
BnYA9vGBT/dBR9Desg2TsWxjT71rb9WC1IuOtY/L5SzJ4TGfG/D9UrdudlKqT0FcwzueB6lyB0mP
Qs3TCo6o3Jh1ZyocAPSpyboaUfn+xliuqKOcrO4SAreARlfrNi49FMGAzm0qH+HIFmGoXsoeqDdS
R4u4G4llCnsLOCNlmEYQu0E+LpaSMRaBWN8sEm9za0Lt+2Wxgjq2jT2fgpiTgfUEkv84kSV/0oHW
yroOid1fe4YvXUuLYUTgWIv6UjTRPyublMpraRH2xAZmxdamyF4a6qKbQ0nD2R8+L00bZm1gB+4M
0zwPLlc67FhTvxX01hJn8QXV7vdhDJtIS4q76SKCd2dCrGs6nS9vp4Yh+hiJZYcFyGIxSAglULIO
FELXbbcVLcBY0to2JzAHin+ZR+/BarLWY3XaXxBh6UKpGnGASv2RO9O1zQcIFVcEdzL9+zINV2NQ
/VBgL3xrPVgKsVYuV7EaXv7f//81/98SYMaP+P85VDvBpAZch1WLv9l5/tuuHxr9NnSJiAD0xfjw
FXBdlunJQ6T/R51W5fhrF7j9ApdfNWgJQpvDJ8dflS4wecQXJROeDQOmrd9x/AsKrf0CLlPSJLDs
ELwJFcJSpQgL7IHWIdWVqQuMVrfZfDxJfOJO3/a08UKPRB786A0O4grxWvHnizU3MGks6EIxnlm2
t7z1LDAt4+O30g4Q+MD/TROuMuhOoI9QtUMWklxOZF/zVXkw1QBTwmE6bwlWLyBCU8wi7Z9kup6Y
I5da51QCPEx7iQ3QLS33gmtJwRTMx2FZuDPhICVZxhV9QaSr3Awyx6PZvDe/yWI1aal9SadZhZ9Y
NMW+N6dS3tfVVji8z6P0cio87TrhyPBpigcKNnI6jIK0ja2iW4QSk2cUS73FHriCnosQvT+P3NmX
yKJeOG7r7D1G2GEQ7OsgJgSo70xcx/LC+5qvfXbhYURd92YJmz0Ezh50yH2DeqmORuz01pShiviH
bsTgmVsToNGUhsWQLmqq8pHA4WLTn6bkj76swHarQVdZTmCLgrYEmNJ6CIY09pKr/y2rsWMaLFqT
drfW4HPmxPmdk2SAJ6pqkOLbT6EXpPcgNAum89/90XFBb/brSUdhFqTFCMD2B/s2hdW5txiehrQd
yjEJvs2Is7Hz7q1iUUCj0JJIAbdXXFD6+fTd2X3dsmhBJBMFpE0I9oWrvOGeil5TwvHnK7V5/De1
J7DHGNSORzsRb5TWdEBUEorCmi3ejum5Fg5k/NACBbAk6oQKg8aLWjC0C6y0hGu60wL2ihuelRZ4
iw21wFyAM0qF+IiWbMXF9rI/F6jnJSYNfAOSl62aSrWfkRYUfUsH2WwuwH+pWLBbssGWV10LJnSW
VFFrYIae5sp5zQWGRpVZIyWQR6BujcSEbJUPyauuTwWLRgmGMChor5R0Xkqglr1cpGXf5iO28VWr
oNAWmsQCDGY7q3CoBIlm0ypYI72kXT2jhSDLUlGJ2GgOCMjlmOZY1906YFLtzwEyVKppUNJYnDiL
6/y0AEFsOag/nwSqeqHQlM+gfrNUwzOjiL3AFhDyK+3vGc0CobJjNZwFKr3WcThMltNuGtRngSwg
BdZMGfJMDvnnZQMURRKNN0UKgkmkAlMs9zyJZVVbBfqFQtVvYQzLVXB2myLtWZ8lq3/7gCRd4AoW
B8HdAejQFlgX3IbeliZ7z/Y6u7mgwv/UcC0UByQBIk8XeJHFdTAXZDx3Yv9CkNM/u+cHb9jYFhgX
tC3AWwB4sL1Y8ftrobQFOvONYvfi+o218Atm88n3arueP956XZ6TvOR3vfaDyt94/v3O1+iN370t
nKraDwve9fLeP5yyv2qnhq0nsPdl5Rls77P7890DPr917V7VU1UffvCc2I5HsCJvnczdMG/tOb7b
f3z7m11vjYXa2fB+jOTd29o49+b/TwQnM7uSU+iEcBUkP43l0i8nrPPZUteAhW4ueGYHSZ0ogjwB
06+p5Lbte9/D+ADFU56wG8sO/TC2x7XO3eWxtbnkIHBGqUevyEoFxVskbcTppanwjuPbKzt2KkmF
ZJNW4NX/X2xT8HQSPTbvKvf+Tfj9DSG2bP6tDp6y4BBufpdLtO6N69O7PC431cyVE4L4qkvmVEDI
pKnkD2jc8yo52xWp0Lmu+uDPVd4b016vErOVW56Zmw6458NcHXpJXfT2INJYdDD27AMrosLvUt2q
gTLCVf3l0faaLa7pgPvPbZMuixOslz4jy0azvBri9v0V22/1wZ+r4ibMIDQ5VLOFr9dc9sD2gpr1
AFFxiu1lYMe5bwfjaoSFOgSE5id4hQM7SeyRmyVOmtbmNPR26ilU4o1cb2LXg7sgTU6wwgceewGY
6trMFsRtTrBgBl6SFP+ovKwpXdaKo3HTdVNIDykBqCRt36dMTqr64M+nN+240oPJLWTDtJpLvnW+
xfbB6UkIQGunEL206/sWeaoi6ttU0bfO6s0He75I4OGrLUzkF9xYp5B/7cSJk1eytq8S0POJhA+c
tTeqbWN0ISoCYKcY+d9hPKsk7cZdRFUai4be+uUeD5AkyCe7wXMuUcSLExxJPrpeXeMqs6W5Wo41
/H09Nf9Lx8uPsUP/zmqI21dZBsiavspPP2ms1XDcd244dt70kmd7m6HrJ3iRX37abKTh+MsbPJ+I
FaltQ/H3aN9JEqdmuXahv6Zv9lX6wYZj/pra7v5EVMroVNPh/teJaViV1iSzFZ/AEL5Yy0KO7ATz
78Fm34EIvb40CSUW8aqmGvlpIU7DF/ngJaMwoPdqNdTCrOzSkI3H/jqI6OioX4o0PSWrn8efqlT8
S39WD64Vvxj5jh3/9S8AAAD//w==</cx:binary>
              </cx:geoCache>
            </cx:geography>
          </cx:layoutPr>
          <cx:valueColors>
            <cx:minColor>
              <a:srgbClr val="D6E9C9"/>
            </cx:minColor>
            <cx:midColor>
              <a:srgbClr val="85BE5E"/>
            </cx:midColor>
            <cx:maxColor>
              <a:srgbClr val="3C5D25"/>
            </cx:maxColor>
          </cx:valueColors>
          <cx:valueColorPositions count="3"/>
        </cx:series>
      </cx:plotAreaRegion>
    </cx:plotArea>
  </cx:chart>
  <cx:spPr>
    <a:noFill/>
    <a:ln>
      <a:noFill/>
    </a:ln>
  </cx:spPr>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strDim type="cat">
        <cx:f>_xlchart.v2.23</cx:f>
      </cx:strDim>
      <cx:numDim type="val">
        <cx:f>_xlchart.v2.24</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Calibri" panose="020F0502020204030204"/>
          </a:endParaRPr>
        </a:p>
      </cx:txPr>
    </cx:title>
    <cx:plotArea>
      <cx:plotAreaRegion>
        <cx:series layoutId="funnel" uniqueId="{72A0A01E-9B2D-42A8-A5EF-6C6E55ECFBCA}">
          <cx:spPr>
            <a:solidFill>
              <a:schemeClr val="accent6">
                <a:lumMod val="50000"/>
              </a:schemeClr>
            </a:solidFill>
          </cx:spPr>
          <cx:dataPt idx="1">
            <cx:spPr>
              <a:solidFill>
                <a:srgbClr val="70AD47">
                  <a:lumMod val="75000"/>
                </a:srgbClr>
              </a:solidFill>
            </cx:spPr>
          </cx:dataPt>
          <cx:dataPt idx="2">
            <cx:spPr>
              <a:solidFill>
                <a:srgbClr val="70AD47">
                  <a:lumMod val="60000"/>
                  <a:lumOff val="40000"/>
                </a:srgbClr>
              </a:solidFill>
            </cx:spPr>
          </cx:dataPt>
          <cx:dataPt idx="3">
            <cx:spPr>
              <a:solidFill>
                <a:srgbClr val="70AD47">
                  <a:lumMod val="40000"/>
                  <a:lumOff val="60000"/>
                </a:srgbClr>
              </a:solidFill>
            </cx:spPr>
          </cx:dataPt>
          <cx:dataPt idx="4">
            <cx:spPr>
              <a:solidFill>
                <a:srgbClr val="70AD47">
                  <a:lumMod val="20000"/>
                  <a:lumOff val="80000"/>
                </a:srgbClr>
              </a:solidFill>
            </cx:spPr>
          </cx:dataPt>
          <cx:dataPt idx="5">
            <cx:spPr>
              <a:solidFill>
                <a:srgbClr val="DEEDD3"/>
              </a:solidFill>
            </cx:spPr>
          </cx:dataPt>
          <cx:dataLabels>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microsoft.com/office/2014/relationships/chartEx" Target="../charts/chartEx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3" Type="http://schemas.microsoft.com/office/2014/relationships/chartEx" Target="../charts/chartEx3.xml"/><Relationship Id="rId2" Type="http://schemas.openxmlformats.org/officeDocument/2006/relationships/chart" Target="../charts/chart8.xml"/><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4.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hyperlink" Target="#'Pre-Analysis Board'!A1"/><Relationship Id="rId18" Type="http://schemas.openxmlformats.org/officeDocument/2006/relationships/image" Target="../media/image7.png"/><Relationship Id="rId3" Type="http://schemas.openxmlformats.org/officeDocument/2006/relationships/chart" Target="../charts/chart12.xml"/><Relationship Id="rId21" Type="http://schemas.openxmlformats.org/officeDocument/2006/relationships/image" Target="../media/image10.svg"/><Relationship Id="rId7" Type="http://schemas.microsoft.com/office/2014/relationships/chartEx" Target="../charts/chartEx5.xml"/><Relationship Id="rId12" Type="http://schemas.openxmlformats.org/officeDocument/2006/relationships/image" Target="../media/image4.svg"/><Relationship Id="rId17" Type="http://schemas.openxmlformats.org/officeDocument/2006/relationships/image" Target="../media/image6.svg"/><Relationship Id="rId2" Type="http://schemas.openxmlformats.org/officeDocument/2006/relationships/chart" Target="../charts/chart11.xml"/><Relationship Id="rId16" Type="http://schemas.openxmlformats.org/officeDocument/2006/relationships/image" Target="../media/image5.png"/><Relationship Id="rId20" Type="http://schemas.openxmlformats.org/officeDocument/2006/relationships/image" Target="../media/image9.png"/><Relationship Id="rId1" Type="http://schemas.openxmlformats.org/officeDocument/2006/relationships/chart" Target="../charts/chart10.xml"/><Relationship Id="rId6" Type="http://schemas.openxmlformats.org/officeDocument/2006/relationships/chart" Target="../charts/chart14.xml"/><Relationship Id="rId11" Type="http://schemas.openxmlformats.org/officeDocument/2006/relationships/image" Target="../media/image3.png"/><Relationship Id="rId5" Type="http://schemas.microsoft.com/office/2014/relationships/chartEx" Target="../charts/chartEx4.xml"/><Relationship Id="rId15" Type="http://schemas.openxmlformats.org/officeDocument/2006/relationships/hyperlink" Target="#'Recommendations Board'!A1"/><Relationship Id="rId10" Type="http://schemas.openxmlformats.org/officeDocument/2006/relationships/hyperlink" Target="#'In-Analysis Board'!A1"/><Relationship Id="rId19" Type="http://schemas.openxmlformats.org/officeDocument/2006/relationships/image" Target="../media/image8.svg"/><Relationship Id="rId4" Type="http://schemas.openxmlformats.org/officeDocument/2006/relationships/chart" Target="../charts/chart13.xml"/><Relationship Id="rId9" Type="http://schemas.openxmlformats.org/officeDocument/2006/relationships/image" Target="../media/image2.svg"/><Relationship Id="rId14" Type="http://schemas.openxmlformats.org/officeDocument/2006/relationships/hyperlink" Target="#'Post Analysis Board'!A1"/><Relationship Id="rId22" Type="http://schemas.openxmlformats.org/officeDocument/2006/relationships/image" Target="../media/image11.png"/></Relationships>
</file>

<file path=xl/drawings/_rels/drawing15.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hyperlink" Target="#'Pre-Analysis Board'!A1"/><Relationship Id="rId3" Type="http://schemas.microsoft.com/office/2014/relationships/chartEx" Target="../charts/chartEx6.xml"/><Relationship Id="rId7" Type="http://schemas.microsoft.com/office/2014/relationships/chartEx" Target="../charts/chartEx8.xml"/><Relationship Id="rId12" Type="http://schemas.openxmlformats.org/officeDocument/2006/relationships/hyperlink" Target="#'In-Analysis Board'!A1"/><Relationship Id="rId2" Type="http://schemas.openxmlformats.org/officeDocument/2006/relationships/chart" Target="../charts/chart16.xml"/><Relationship Id="rId1" Type="http://schemas.openxmlformats.org/officeDocument/2006/relationships/chart" Target="../charts/chart15.xml"/><Relationship Id="rId6" Type="http://schemas.microsoft.com/office/2014/relationships/chartEx" Target="../charts/chartEx7.xml"/><Relationship Id="rId11" Type="http://schemas.openxmlformats.org/officeDocument/2006/relationships/image" Target="../media/image13.svg"/><Relationship Id="rId5" Type="http://schemas.openxmlformats.org/officeDocument/2006/relationships/chart" Target="../charts/chart18.xml"/><Relationship Id="rId15" Type="http://schemas.openxmlformats.org/officeDocument/2006/relationships/image" Target="../media/image14.png"/><Relationship Id="rId10" Type="http://schemas.openxmlformats.org/officeDocument/2006/relationships/image" Target="../media/image12.png"/><Relationship Id="rId4" Type="http://schemas.openxmlformats.org/officeDocument/2006/relationships/chart" Target="../charts/chart17.xml"/><Relationship Id="rId9" Type="http://schemas.openxmlformats.org/officeDocument/2006/relationships/image" Target="../media/image10.svg"/><Relationship Id="rId14" Type="http://schemas.openxmlformats.org/officeDocument/2006/relationships/hyperlink" Target="#'Post Analysis Board'!A1"/></Relationships>
</file>

<file path=xl/drawings/_rels/drawing18.xml.rels><?xml version="1.0" encoding="UTF-8" standalone="yes"?>
<Relationships xmlns="http://schemas.openxmlformats.org/package/2006/relationships"><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4</xdr:col>
      <xdr:colOff>441297</xdr:colOff>
      <xdr:row>2</xdr:row>
      <xdr:rowOff>19878</xdr:rowOff>
    </xdr:from>
    <xdr:to>
      <xdr:col>10</xdr:col>
      <xdr:colOff>588396</xdr:colOff>
      <xdr:row>14</xdr:row>
      <xdr:rowOff>23854</xdr:rowOff>
    </xdr:to>
    <xdr:graphicFrame macro="">
      <xdr:nvGraphicFramePr>
        <xdr:cNvPr id="2" name="Chart 1">
          <a:extLst>
            <a:ext uri="{FF2B5EF4-FFF2-40B4-BE49-F238E27FC236}">
              <a16:creationId xmlns:a16="http://schemas.microsoft.com/office/drawing/2014/main" id="{3CACB140-D884-48E5-8DC1-78DD961238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190831</xdr:colOff>
      <xdr:row>7</xdr:row>
      <xdr:rowOff>135172</xdr:rowOff>
    </xdr:from>
    <xdr:to>
      <xdr:col>11</xdr:col>
      <xdr:colOff>580446</xdr:colOff>
      <xdr:row>20</xdr:row>
      <xdr:rowOff>71560</xdr:rowOff>
    </xdr:to>
    <xdr:graphicFrame macro="">
      <xdr:nvGraphicFramePr>
        <xdr:cNvPr id="2" name="Chart 1">
          <a:extLst>
            <a:ext uri="{FF2B5EF4-FFF2-40B4-BE49-F238E27FC236}">
              <a16:creationId xmlns:a16="http://schemas.microsoft.com/office/drawing/2014/main" id="{FAB7545B-9717-4C22-8C30-8C8CCD5426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441296</xdr:colOff>
      <xdr:row>2</xdr:row>
      <xdr:rowOff>19877</xdr:rowOff>
    </xdr:from>
    <xdr:to>
      <xdr:col>14</xdr:col>
      <xdr:colOff>628153</xdr:colOff>
      <xdr:row>21</xdr:row>
      <xdr:rowOff>87465</xdr:rowOff>
    </xdr:to>
    <xdr:graphicFrame macro="">
      <xdr:nvGraphicFramePr>
        <xdr:cNvPr id="2" name="Chart 1">
          <a:extLst>
            <a:ext uri="{FF2B5EF4-FFF2-40B4-BE49-F238E27FC236}">
              <a16:creationId xmlns:a16="http://schemas.microsoft.com/office/drawing/2014/main" id="{C3DF762C-D32A-4752-A8EF-E681170E8E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445273</xdr:colOff>
      <xdr:row>1</xdr:row>
      <xdr:rowOff>55660</xdr:rowOff>
    </xdr:from>
    <xdr:to>
      <xdr:col>18</xdr:col>
      <xdr:colOff>174929</xdr:colOff>
      <xdr:row>15</xdr:row>
      <xdr:rowOff>151074</xdr:rowOff>
    </xdr:to>
    <xdr:graphicFrame macro="">
      <xdr:nvGraphicFramePr>
        <xdr:cNvPr id="2" name="Chart 1">
          <a:extLst>
            <a:ext uri="{FF2B5EF4-FFF2-40B4-BE49-F238E27FC236}">
              <a16:creationId xmlns:a16="http://schemas.microsoft.com/office/drawing/2014/main" id="{C079B0DD-497E-4702-83AB-6854A165E5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318052</xdr:colOff>
      <xdr:row>18</xdr:row>
      <xdr:rowOff>103368</xdr:rowOff>
    </xdr:from>
    <xdr:to>
      <xdr:col>18</xdr:col>
      <xdr:colOff>47708</xdr:colOff>
      <xdr:row>33</xdr:row>
      <xdr:rowOff>7951</xdr:rowOff>
    </xdr:to>
    <xdr:graphicFrame macro="">
      <xdr:nvGraphicFramePr>
        <xdr:cNvPr id="3" name="Chart 2">
          <a:extLst>
            <a:ext uri="{FF2B5EF4-FFF2-40B4-BE49-F238E27FC236}">
              <a16:creationId xmlns:a16="http://schemas.microsoft.com/office/drawing/2014/main" id="{53426C64-9ABD-4ACD-9006-CA20249DE3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23855</xdr:colOff>
      <xdr:row>3</xdr:row>
      <xdr:rowOff>7951</xdr:rowOff>
    </xdr:from>
    <xdr:to>
      <xdr:col>13</xdr:col>
      <xdr:colOff>461176</xdr:colOff>
      <xdr:row>14</xdr:row>
      <xdr:rowOff>143122</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6C61E735-5D09-4AA2-98E8-DDEF2C3B3BB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305385" y="580445"/>
              <a:ext cx="4253948" cy="2234315"/>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9</xdr:col>
      <xdr:colOff>357808</xdr:colOff>
      <xdr:row>8</xdr:row>
      <xdr:rowOff>119269</xdr:rowOff>
    </xdr:from>
    <xdr:to>
      <xdr:col>16</xdr:col>
      <xdr:colOff>532738</xdr:colOff>
      <xdr:row>23</xdr:row>
      <xdr:rowOff>7950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38141659-2252-435E-80E9-ED38E0E3A8E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195930" y="1645919"/>
              <a:ext cx="4627660" cy="2751151"/>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6</xdr:col>
      <xdr:colOff>413468</xdr:colOff>
      <xdr:row>9</xdr:row>
      <xdr:rowOff>127220</xdr:rowOff>
    </xdr:from>
    <xdr:to>
      <xdr:col>11</xdr:col>
      <xdr:colOff>596348</xdr:colOff>
      <xdr:row>20</xdr:row>
      <xdr:rowOff>63609</xdr:rowOff>
    </xdr:to>
    <xdr:graphicFrame macro="">
      <xdr:nvGraphicFramePr>
        <xdr:cNvPr id="2" name="Chart 1">
          <a:extLst>
            <a:ext uri="{FF2B5EF4-FFF2-40B4-BE49-F238E27FC236}">
              <a16:creationId xmlns:a16="http://schemas.microsoft.com/office/drawing/2014/main" id="{1F1D8730-353C-443F-9F78-D3BF50077A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79512</xdr:colOff>
      <xdr:row>21</xdr:row>
      <xdr:rowOff>71563</xdr:rowOff>
    </xdr:from>
    <xdr:to>
      <xdr:col>10</xdr:col>
      <xdr:colOff>485029</xdr:colOff>
      <xdr:row>33</xdr:row>
      <xdr:rowOff>151074</xdr:rowOff>
    </xdr:to>
    <xdr:graphicFrame macro="">
      <xdr:nvGraphicFramePr>
        <xdr:cNvPr id="2" name="Chart 1">
          <a:extLst>
            <a:ext uri="{FF2B5EF4-FFF2-40B4-BE49-F238E27FC236}">
              <a16:creationId xmlns:a16="http://schemas.microsoft.com/office/drawing/2014/main" id="{79DC30C1-1851-4843-9919-27E3902AF9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406842</xdr:colOff>
      <xdr:row>4</xdr:row>
      <xdr:rowOff>112643</xdr:rowOff>
    </xdr:from>
    <xdr:to>
      <xdr:col>21</xdr:col>
      <xdr:colOff>381664</xdr:colOff>
      <xdr:row>20</xdr:row>
      <xdr:rowOff>47707</xdr:rowOff>
    </xdr:to>
    <xdr:graphicFrame macro="">
      <xdr:nvGraphicFramePr>
        <xdr:cNvPr id="3" name="Chart 2">
          <a:extLst>
            <a:ext uri="{FF2B5EF4-FFF2-40B4-BE49-F238E27FC236}">
              <a16:creationId xmlns:a16="http://schemas.microsoft.com/office/drawing/2014/main" id="{391B9C43-0DA1-400D-830F-EE04CFFA15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182880</xdr:colOff>
      <xdr:row>0</xdr:row>
      <xdr:rowOff>166977</xdr:rowOff>
    </xdr:from>
    <xdr:to>
      <xdr:col>13</xdr:col>
      <xdr:colOff>302149</xdr:colOff>
      <xdr:row>15</xdr:row>
      <xdr:rowOff>47707</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E86B4D3A-61BA-49A1-A79D-A48A966FF9D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762831" y="166977"/>
              <a:ext cx="4572000" cy="274320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0</xdr:col>
      <xdr:colOff>79515</xdr:colOff>
      <xdr:row>0</xdr:row>
      <xdr:rowOff>111318</xdr:rowOff>
    </xdr:from>
    <xdr:to>
      <xdr:col>23</xdr:col>
      <xdr:colOff>31805</xdr:colOff>
      <xdr:row>28</xdr:row>
      <xdr:rowOff>143123</xdr:rowOff>
    </xdr:to>
    <xdr:sp macro="" textlink="">
      <xdr:nvSpPr>
        <xdr:cNvPr id="2" name="Rectangle: Rounded Corners 1">
          <a:extLst>
            <a:ext uri="{FF2B5EF4-FFF2-40B4-BE49-F238E27FC236}">
              <a16:creationId xmlns:a16="http://schemas.microsoft.com/office/drawing/2014/main" id="{40ED8197-FE50-4200-A777-581329464286}"/>
            </a:ext>
          </a:extLst>
        </xdr:cNvPr>
        <xdr:cNvSpPr/>
      </xdr:nvSpPr>
      <xdr:spPr>
        <a:xfrm>
          <a:off x="79515" y="111318"/>
          <a:ext cx="14582690" cy="5375082"/>
        </a:xfrm>
        <a:prstGeom prst="roundRect">
          <a:avLst>
            <a:gd name="adj" fmla="val 2171"/>
          </a:avLst>
        </a:prstGeom>
        <a:solidFill>
          <a:srgbClr val="D9D9D9">
            <a:alpha val="6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155370</xdr:colOff>
      <xdr:row>0</xdr:row>
      <xdr:rowOff>182880</xdr:rowOff>
    </xdr:from>
    <xdr:to>
      <xdr:col>1</xdr:col>
      <xdr:colOff>438693</xdr:colOff>
      <xdr:row>28</xdr:row>
      <xdr:rowOff>87464</xdr:rowOff>
    </xdr:to>
    <xdr:sp macro="" textlink="">
      <xdr:nvSpPr>
        <xdr:cNvPr id="3" name="Rectangle: Rounded Corners 2">
          <a:extLst>
            <a:ext uri="{FF2B5EF4-FFF2-40B4-BE49-F238E27FC236}">
              <a16:creationId xmlns:a16="http://schemas.microsoft.com/office/drawing/2014/main" id="{5102F078-A4E7-48FD-9DAF-BFF248C33500}"/>
            </a:ext>
          </a:extLst>
        </xdr:cNvPr>
        <xdr:cNvSpPr/>
      </xdr:nvSpPr>
      <xdr:spPr>
        <a:xfrm>
          <a:off x="155370" y="182880"/>
          <a:ext cx="919427" cy="5247861"/>
        </a:xfrm>
        <a:prstGeom prst="roundRect">
          <a:avLst>
            <a:gd name="adj" fmla="val 229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508835</xdr:colOff>
      <xdr:row>0</xdr:row>
      <xdr:rowOff>161539</xdr:rowOff>
    </xdr:from>
    <xdr:to>
      <xdr:col>17</xdr:col>
      <xdr:colOff>564542</xdr:colOff>
      <xdr:row>3</xdr:row>
      <xdr:rowOff>9140</xdr:rowOff>
    </xdr:to>
    <xdr:sp macro="" textlink="">
      <xdr:nvSpPr>
        <xdr:cNvPr id="4" name="Rectangle: Rounded Corners 3">
          <a:extLst>
            <a:ext uri="{FF2B5EF4-FFF2-40B4-BE49-F238E27FC236}">
              <a16:creationId xmlns:a16="http://schemas.microsoft.com/office/drawing/2014/main" id="{381344DB-76E9-457B-8FAE-44AD98480BB6}"/>
            </a:ext>
          </a:extLst>
        </xdr:cNvPr>
        <xdr:cNvSpPr/>
      </xdr:nvSpPr>
      <xdr:spPr>
        <a:xfrm>
          <a:off x="1144939" y="161539"/>
          <a:ext cx="10233377" cy="420095"/>
        </a:xfrm>
        <a:prstGeom prst="roundRect">
          <a:avLst>
            <a:gd name="adj" fmla="val 526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524143</xdr:colOff>
      <xdr:row>3</xdr:row>
      <xdr:rowOff>99891</xdr:rowOff>
    </xdr:from>
    <xdr:to>
      <xdr:col>5</xdr:col>
      <xdr:colOff>14259</xdr:colOff>
      <xdr:row>9</xdr:row>
      <xdr:rowOff>13613</xdr:rowOff>
    </xdr:to>
    <xdr:sp macro="" textlink="">
      <xdr:nvSpPr>
        <xdr:cNvPr id="5" name="Rectangle: Rounded Corners 4">
          <a:extLst>
            <a:ext uri="{FF2B5EF4-FFF2-40B4-BE49-F238E27FC236}">
              <a16:creationId xmlns:a16="http://schemas.microsoft.com/office/drawing/2014/main" id="{797D4316-16ED-4F12-ADA0-30823C727B40}"/>
            </a:ext>
          </a:extLst>
        </xdr:cNvPr>
        <xdr:cNvSpPr/>
      </xdr:nvSpPr>
      <xdr:spPr>
        <a:xfrm>
          <a:off x="1160247" y="672385"/>
          <a:ext cx="2034534" cy="1058710"/>
        </a:xfrm>
        <a:prstGeom prst="roundRect">
          <a:avLst>
            <a:gd name="adj" fmla="val 526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19</xdr:col>
      <xdr:colOff>222636</xdr:colOff>
      <xdr:row>3</xdr:row>
      <xdr:rowOff>99891</xdr:rowOff>
    </xdr:from>
    <xdr:to>
      <xdr:col>22</xdr:col>
      <xdr:colOff>580444</xdr:colOff>
      <xdr:row>4</xdr:row>
      <xdr:rowOff>182880</xdr:rowOff>
    </xdr:to>
    <xdr:sp macro="" textlink="">
      <xdr:nvSpPr>
        <xdr:cNvPr id="15" name="Rectangle: Rounded Corners 14">
          <a:extLst>
            <a:ext uri="{FF2B5EF4-FFF2-40B4-BE49-F238E27FC236}">
              <a16:creationId xmlns:a16="http://schemas.microsoft.com/office/drawing/2014/main" id="{305B4A42-4987-4DE2-8CA5-5250A140C48E}"/>
            </a:ext>
          </a:extLst>
        </xdr:cNvPr>
        <xdr:cNvSpPr/>
      </xdr:nvSpPr>
      <xdr:spPr>
        <a:xfrm>
          <a:off x="12308619" y="672385"/>
          <a:ext cx="2266121" cy="273820"/>
        </a:xfrm>
        <a:prstGeom prst="roundRect">
          <a:avLst>
            <a:gd name="adj" fmla="val 526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541371</xdr:colOff>
      <xdr:row>9</xdr:row>
      <xdr:rowOff>127728</xdr:rowOff>
    </xdr:from>
    <xdr:to>
      <xdr:col>6</xdr:col>
      <xdr:colOff>389614</xdr:colOff>
      <xdr:row>18</xdr:row>
      <xdr:rowOff>55660</xdr:rowOff>
    </xdr:to>
    <xdr:sp macro="" textlink="">
      <xdr:nvSpPr>
        <xdr:cNvPr id="17" name="Rectangle: Rounded Corners 16">
          <a:extLst>
            <a:ext uri="{FF2B5EF4-FFF2-40B4-BE49-F238E27FC236}">
              <a16:creationId xmlns:a16="http://schemas.microsoft.com/office/drawing/2014/main" id="{FF877D5D-4210-4824-BB5E-6A27F49BD90C}"/>
            </a:ext>
          </a:extLst>
        </xdr:cNvPr>
        <xdr:cNvSpPr/>
      </xdr:nvSpPr>
      <xdr:spPr>
        <a:xfrm>
          <a:off x="1177475" y="1845210"/>
          <a:ext cx="3028765" cy="1645413"/>
        </a:xfrm>
        <a:prstGeom prst="roundRect">
          <a:avLst>
            <a:gd name="adj" fmla="val 526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223318</xdr:colOff>
      <xdr:row>3</xdr:row>
      <xdr:rowOff>99891</xdr:rowOff>
    </xdr:from>
    <xdr:to>
      <xdr:col>8</xdr:col>
      <xdr:colOff>349539</xdr:colOff>
      <xdr:row>9</xdr:row>
      <xdr:rowOff>13613</xdr:rowOff>
    </xdr:to>
    <xdr:sp macro="" textlink="">
      <xdr:nvSpPr>
        <xdr:cNvPr id="21" name="Rectangle: Rounded Corners 20">
          <a:extLst>
            <a:ext uri="{FF2B5EF4-FFF2-40B4-BE49-F238E27FC236}">
              <a16:creationId xmlns:a16="http://schemas.microsoft.com/office/drawing/2014/main" id="{936E611B-CA5B-447A-80A9-C0E1FE08D28B}"/>
            </a:ext>
          </a:extLst>
        </xdr:cNvPr>
        <xdr:cNvSpPr/>
      </xdr:nvSpPr>
      <xdr:spPr>
        <a:xfrm>
          <a:off x="3403840" y="672385"/>
          <a:ext cx="2034534" cy="1058710"/>
        </a:xfrm>
        <a:prstGeom prst="roundRect">
          <a:avLst>
            <a:gd name="adj" fmla="val 526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8</xdr:col>
      <xdr:colOff>558598</xdr:colOff>
      <xdr:row>3</xdr:row>
      <xdr:rowOff>99891</xdr:rowOff>
    </xdr:from>
    <xdr:to>
      <xdr:col>12</xdr:col>
      <xdr:colOff>48715</xdr:colOff>
      <xdr:row>9</xdr:row>
      <xdr:rowOff>13613</xdr:rowOff>
    </xdr:to>
    <xdr:sp macro="" textlink="">
      <xdr:nvSpPr>
        <xdr:cNvPr id="22" name="Rectangle: Rounded Corners 21">
          <a:extLst>
            <a:ext uri="{FF2B5EF4-FFF2-40B4-BE49-F238E27FC236}">
              <a16:creationId xmlns:a16="http://schemas.microsoft.com/office/drawing/2014/main" id="{2A2C2B64-7954-4120-AE05-7F66F1497728}"/>
            </a:ext>
          </a:extLst>
        </xdr:cNvPr>
        <xdr:cNvSpPr/>
      </xdr:nvSpPr>
      <xdr:spPr>
        <a:xfrm>
          <a:off x="5647433" y="672385"/>
          <a:ext cx="2034534" cy="1058710"/>
        </a:xfrm>
        <a:prstGeom prst="roundRect">
          <a:avLst>
            <a:gd name="adj" fmla="val 526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257774</xdr:colOff>
      <xdr:row>3</xdr:row>
      <xdr:rowOff>99891</xdr:rowOff>
    </xdr:from>
    <xdr:to>
      <xdr:col>15</xdr:col>
      <xdr:colOff>383995</xdr:colOff>
      <xdr:row>9</xdr:row>
      <xdr:rowOff>13613</xdr:rowOff>
    </xdr:to>
    <xdr:sp macro="" textlink="">
      <xdr:nvSpPr>
        <xdr:cNvPr id="23" name="Rectangle: Rounded Corners 22">
          <a:extLst>
            <a:ext uri="{FF2B5EF4-FFF2-40B4-BE49-F238E27FC236}">
              <a16:creationId xmlns:a16="http://schemas.microsoft.com/office/drawing/2014/main" id="{8216BF01-AB34-424D-9942-5A1B48840FC4}"/>
            </a:ext>
          </a:extLst>
        </xdr:cNvPr>
        <xdr:cNvSpPr/>
      </xdr:nvSpPr>
      <xdr:spPr>
        <a:xfrm>
          <a:off x="7891026" y="672385"/>
          <a:ext cx="2034534" cy="1058710"/>
        </a:xfrm>
        <a:prstGeom prst="roundRect">
          <a:avLst>
            <a:gd name="adj" fmla="val 526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15</xdr:col>
      <xdr:colOff>593054</xdr:colOff>
      <xdr:row>3</xdr:row>
      <xdr:rowOff>99891</xdr:rowOff>
    </xdr:from>
    <xdr:to>
      <xdr:col>19</xdr:col>
      <xdr:colOff>83170</xdr:colOff>
      <xdr:row>9</xdr:row>
      <xdr:rowOff>13613</xdr:rowOff>
    </xdr:to>
    <xdr:sp macro="" textlink="">
      <xdr:nvSpPr>
        <xdr:cNvPr id="24" name="Rectangle: Rounded Corners 23">
          <a:extLst>
            <a:ext uri="{FF2B5EF4-FFF2-40B4-BE49-F238E27FC236}">
              <a16:creationId xmlns:a16="http://schemas.microsoft.com/office/drawing/2014/main" id="{AE0DF9E7-B039-4442-B9F2-466E57A1DF8B}"/>
            </a:ext>
          </a:extLst>
        </xdr:cNvPr>
        <xdr:cNvSpPr/>
      </xdr:nvSpPr>
      <xdr:spPr>
        <a:xfrm>
          <a:off x="10134619" y="672385"/>
          <a:ext cx="2034534" cy="1058710"/>
        </a:xfrm>
        <a:prstGeom prst="roundRect">
          <a:avLst>
            <a:gd name="adj" fmla="val 526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6</xdr:col>
      <xdr:colOff>518842</xdr:colOff>
      <xdr:row>9</xdr:row>
      <xdr:rowOff>129053</xdr:rowOff>
    </xdr:from>
    <xdr:to>
      <xdr:col>11</xdr:col>
      <xdr:colOff>367085</xdr:colOff>
      <xdr:row>18</xdr:row>
      <xdr:rowOff>56985</xdr:rowOff>
    </xdr:to>
    <xdr:sp macro="" textlink="">
      <xdr:nvSpPr>
        <xdr:cNvPr id="25" name="Rectangle: Rounded Corners 24">
          <a:extLst>
            <a:ext uri="{FF2B5EF4-FFF2-40B4-BE49-F238E27FC236}">
              <a16:creationId xmlns:a16="http://schemas.microsoft.com/office/drawing/2014/main" id="{B1306364-2A0C-4C56-9BF4-66D9A27F9A6D}"/>
            </a:ext>
          </a:extLst>
        </xdr:cNvPr>
        <xdr:cNvSpPr/>
      </xdr:nvSpPr>
      <xdr:spPr>
        <a:xfrm>
          <a:off x="4335468" y="1846535"/>
          <a:ext cx="3028765" cy="1645413"/>
        </a:xfrm>
        <a:prstGeom prst="roundRect">
          <a:avLst>
            <a:gd name="adj" fmla="val 526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11</xdr:col>
      <xdr:colOff>496313</xdr:colOff>
      <xdr:row>9</xdr:row>
      <xdr:rowOff>130379</xdr:rowOff>
    </xdr:from>
    <xdr:to>
      <xdr:col>22</xdr:col>
      <xdr:colOff>564542</xdr:colOff>
      <xdr:row>18</xdr:row>
      <xdr:rowOff>58311</xdr:rowOff>
    </xdr:to>
    <xdr:sp macro="" textlink="">
      <xdr:nvSpPr>
        <xdr:cNvPr id="26" name="Rectangle: Rounded Corners 25">
          <a:extLst>
            <a:ext uri="{FF2B5EF4-FFF2-40B4-BE49-F238E27FC236}">
              <a16:creationId xmlns:a16="http://schemas.microsoft.com/office/drawing/2014/main" id="{62E5C0C8-926A-462B-94EC-4D7F060C6D8F}"/>
            </a:ext>
          </a:extLst>
        </xdr:cNvPr>
        <xdr:cNvSpPr/>
      </xdr:nvSpPr>
      <xdr:spPr>
        <a:xfrm>
          <a:off x="7493461" y="1847861"/>
          <a:ext cx="7065377" cy="1645413"/>
        </a:xfrm>
        <a:prstGeom prst="roundRect">
          <a:avLst>
            <a:gd name="adj" fmla="val 526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19</xdr:col>
      <xdr:colOff>222636</xdr:colOff>
      <xdr:row>7</xdr:row>
      <xdr:rowOff>121456</xdr:rowOff>
    </xdr:from>
    <xdr:to>
      <xdr:col>22</xdr:col>
      <xdr:colOff>580444</xdr:colOff>
      <xdr:row>9</xdr:row>
      <xdr:rowOff>13613</xdr:rowOff>
    </xdr:to>
    <xdr:sp macro="" textlink="">
      <xdr:nvSpPr>
        <xdr:cNvPr id="28" name="Rectangle: Rounded Corners 27">
          <a:extLst>
            <a:ext uri="{FF2B5EF4-FFF2-40B4-BE49-F238E27FC236}">
              <a16:creationId xmlns:a16="http://schemas.microsoft.com/office/drawing/2014/main" id="{A841BBCF-A1CC-4D0F-802E-7BDF20674E54}"/>
            </a:ext>
          </a:extLst>
        </xdr:cNvPr>
        <xdr:cNvSpPr/>
      </xdr:nvSpPr>
      <xdr:spPr>
        <a:xfrm>
          <a:off x="12308619" y="1457275"/>
          <a:ext cx="2266121" cy="273820"/>
        </a:xfrm>
        <a:prstGeom prst="roundRect">
          <a:avLst>
            <a:gd name="adj" fmla="val 526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518841</xdr:colOff>
      <xdr:row>18</xdr:row>
      <xdr:rowOff>170951</xdr:rowOff>
    </xdr:from>
    <xdr:to>
      <xdr:col>7</xdr:col>
      <xdr:colOff>286247</xdr:colOff>
      <xdr:row>28</xdr:row>
      <xdr:rowOff>83485</xdr:rowOff>
    </xdr:to>
    <xdr:sp macro="" textlink="">
      <xdr:nvSpPr>
        <xdr:cNvPr id="29" name="Rectangle: Rounded Corners 28">
          <a:extLst>
            <a:ext uri="{FF2B5EF4-FFF2-40B4-BE49-F238E27FC236}">
              <a16:creationId xmlns:a16="http://schemas.microsoft.com/office/drawing/2014/main" id="{7484F48E-B929-4CF1-A169-F3C17ADB0757}"/>
            </a:ext>
          </a:extLst>
        </xdr:cNvPr>
        <xdr:cNvSpPr/>
      </xdr:nvSpPr>
      <xdr:spPr>
        <a:xfrm>
          <a:off x="1154945" y="3605914"/>
          <a:ext cx="3584032" cy="1820848"/>
        </a:xfrm>
        <a:prstGeom prst="roundRect">
          <a:avLst>
            <a:gd name="adj" fmla="val 526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512215</xdr:colOff>
      <xdr:row>29</xdr:row>
      <xdr:rowOff>98572</xdr:rowOff>
    </xdr:from>
    <xdr:to>
      <xdr:col>6</xdr:col>
      <xdr:colOff>360458</xdr:colOff>
      <xdr:row>38</xdr:row>
      <xdr:rowOff>26503</xdr:rowOff>
    </xdr:to>
    <xdr:sp macro="" textlink="">
      <xdr:nvSpPr>
        <xdr:cNvPr id="30" name="Rectangle: Rounded Corners 29">
          <a:extLst>
            <a:ext uri="{FF2B5EF4-FFF2-40B4-BE49-F238E27FC236}">
              <a16:creationId xmlns:a16="http://schemas.microsoft.com/office/drawing/2014/main" id="{C23B0658-84F7-4CF4-B27B-64CF3F157EA4}"/>
            </a:ext>
          </a:extLst>
        </xdr:cNvPr>
        <xdr:cNvSpPr/>
      </xdr:nvSpPr>
      <xdr:spPr>
        <a:xfrm>
          <a:off x="1148319" y="5632680"/>
          <a:ext cx="3028765" cy="1645413"/>
        </a:xfrm>
        <a:prstGeom prst="roundRect">
          <a:avLst>
            <a:gd name="adj" fmla="val 526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7</xdr:col>
      <xdr:colOff>408848</xdr:colOff>
      <xdr:row>18</xdr:row>
      <xdr:rowOff>170951</xdr:rowOff>
    </xdr:from>
    <xdr:to>
      <xdr:col>12</xdr:col>
      <xdr:colOff>174929</xdr:colOff>
      <xdr:row>28</xdr:row>
      <xdr:rowOff>83485</xdr:rowOff>
    </xdr:to>
    <xdr:sp macro="" textlink="">
      <xdr:nvSpPr>
        <xdr:cNvPr id="31" name="Rectangle: Rounded Corners 30">
          <a:extLst>
            <a:ext uri="{FF2B5EF4-FFF2-40B4-BE49-F238E27FC236}">
              <a16:creationId xmlns:a16="http://schemas.microsoft.com/office/drawing/2014/main" id="{CC043810-E41B-4900-9BBB-A4C8341DABD3}"/>
            </a:ext>
          </a:extLst>
        </xdr:cNvPr>
        <xdr:cNvSpPr/>
      </xdr:nvSpPr>
      <xdr:spPr>
        <a:xfrm>
          <a:off x="4861578" y="3605914"/>
          <a:ext cx="2946603" cy="1820848"/>
        </a:xfrm>
        <a:prstGeom prst="roundRect">
          <a:avLst>
            <a:gd name="adj" fmla="val 526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314757</xdr:colOff>
      <xdr:row>18</xdr:row>
      <xdr:rowOff>170951</xdr:rowOff>
    </xdr:from>
    <xdr:to>
      <xdr:col>17</xdr:col>
      <xdr:colOff>80838</xdr:colOff>
      <xdr:row>28</xdr:row>
      <xdr:rowOff>83485</xdr:rowOff>
    </xdr:to>
    <xdr:sp macro="" textlink="">
      <xdr:nvSpPr>
        <xdr:cNvPr id="32" name="Rectangle: Rounded Corners 31">
          <a:extLst>
            <a:ext uri="{FF2B5EF4-FFF2-40B4-BE49-F238E27FC236}">
              <a16:creationId xmlns:a16="http://schemas.microsoft.com/office/drawing/2014/main" id="{72270488-3CEA-4594-8503-012B66780097}"/>
            </a:ext>
          </a:extLst>
        </xdr:cNvPr>
        <xdr:cNvSpPr/>
      </xdr:nvSpPr>
      <xdr:spPr>
        <a:xfrm>
          <a:off x="7948009" y="3605914"/>
          <a:ext cx="2946603" cy="1820848"/>
        </a:xfrm>
        <a:prstGeom prst="roundRect">
          <a:avLst>
            <a:gd name="adj" fmla="val 526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17</xdr:col>
      <xdr:colOff>220666</xdr:colOff>
      <xdr:row>18</xdr:row>
      <xdr:rowOff>170951</xdr:rowOff>
    </xdr:from>
    <xdr:to>
      <xdr:col>22</xdr:col>
      <xdr:colOff>548640</xdr:colOff>
      <xdr:row>28</xdr:row>
      <xdr:rowOff>83485</xdr:rowOff>
    </xdr:to>
    <xdr:sp macro="" textlink="">
      <xdr:nvSpPr>
        <xdr:cNvPr id="33" name="Rectangle: Rounded Corners 32">
          <a:extLst>
            <a:ext uri="{FF2B5EF4-FFF2-40B4-BE49-F238E27FC236}">
              <a16:creationId xmlns:a16="http://schemas.microsoft.com/office/drawing/2014/main" id="{47C1C164-BB8F-450B-A88F-F51EBE25FA46}"/>
            </a:ext>
          </a:extLst>
        </xdr:cNvPr>
        <xdr:cNvSpPr/>
      </xdr:nvSpPr>
      <xdr:spPr>
        <a:xfrm>
          <a:off x="11034440" y="3605914"/>
          <a:ext cx="3508496" cy="1820848"/>
        </a:xfrm>
        <a:prstGeom prst="roundRect">
          <a:avLst>
            <a:gd name="adj" fmla="val 526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3</xdr:col>
      <xdr:colOff>51682</xdr:colOff>
      <xdr:row>4</xdr:row>
      <xdr:rowOff>19878</xdr:rowOff>
    </xdr:from>
    <xdr:to>
      <xdr:col>12</xdr:col>
      <xdr:colOff>286247</xdr:colOff>
      <xdr:row>20</xdr:row>
      <xdr:rowOff>111318</xdr:rowOff>
    </xdr:to>
    <xdr:graphicFrame macro="">
      <xdr:nvGraphicFramePr>
        <xdr:cNvPr id="2" name="Chart 1">
          <a:extLst>
            <a:ext uri="{FF2B5EF4-FFF2-40B4-BE49-F238E27FC236}">
              <a16:creationId xmlns:a16="http://schemas.microsoft.com/office/drawing/2014/main" id="{DE0C8360-7459-4231-A1C7-383178AC6E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95415</xdr:colOff>
      <xdr:row>0</xdr:row>
      <xdr:rowOff>119270</xdr:rowOff>
    </xdr:from>
    <xdr:to>
      <xdr:col>7</xdr:col>
      <xdr:colOff>469127</xdr:colOff>
      <xdr:row>25</xdr:row>
      <xdr:rowOff>143123</xdr:rowOff>
    </xdr:to>
    <xdr:sp macro="" textlink="">
      <xdr:nvSpPr>
        <xdr:cNvPr id="2" name="Rectangle: Rounded Corners 1">
          <a:extLst>
            <a:ext uri="{FF2B5EF4-FFF2-40B4-BE49-F238E27FC236}">
              <a16:creationId xmlns:a16="http://schemas.microsoft.com/office/drawing/2014/main" id="{2A5C8F14-21E5-4B4C-9768-D46B2E16B0F0}"/>
            </a:ext>
          </a:extLst>
        </xdr:cNvPr>
        <xdr:cNvSpPr/>
      </xdr:nvSpPr>
      <xdr:spPr>
        <a:xfrm>
          <a:off x="95415" y="119270"/>
          <a:ext cx="4826442" cy="4794636"/>
        </a:xfrm>
        <a:prstGeom prst="roundRect">
          <a:avLst>
            <a:gd name="adj" fmla="val 5638"/>
          </a:avLst>
        </a:prstGeom>
        <a:solidFill>
          <a:schemeClr val="accent6">
            <a:lumMod val="50000"/>
          </a:schemeClr>
        </a:solidFill>
        <a:ln>
          <a:no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b="1"/>
            <a:t>DATA SPLITTING:</a:t>
          </a:r>
          <a:r>
            <a:rPr lang="en-US" sz="1100" b="1" baseline="0"/>
            <a:t> </a:t>
          </a:r>
          <a:r>
            <a:rPr lang="en-US" sz="1100" b="0" baseline="0"/>
            <a:t>This is the process of identifying and dividing your data points into Independent and Dependent values</a:t>
          </a:r>
        </a:p>
        <a:p>
          <a:pPr algn="l"/>
          <a:endParaRPr lang="en-US" sz="1100" b="0" baseline="0"/>
        </a:p>
        <a:p>
          <a:pPr algn="l"/>
          <a:r>
            <a:rPr lang="en-US" sz="1100" b="1" baseline="0"/>
            <a:t>1. Independent Values: </a:t>
          </a:r>
          <a:r>
            <a:rPr lang="en-US" sz="1100" b="0" baseline="0"/>
            <a:t>These are standalone data points that do not rely on other factors to make sense. They represent the inputs, drivers, or characteristics you are studying. Such as:</a:t>
          </a:r>
        </a:p>
        <a:p>
          <a:pPr algn="l"/>
          <a:r>
            <a:rPr lang="en-US" sz="1100" b="0" baseline="0"/>
            <a:t>- Customer name</a:t>
          </a:r>
        </a:p>
        <a:p>
          <a:pPr algn="l"/>
          <a:r>
            <a:rPr lang="en-US" sz="1100" b="0" baseline="0"/>
            <a:t>- Sales person</a:t>
          </a:r>
        </a:p>
        <a:p>
          <a:pPr algn="l"/>
          <a:r>
            <a:rPr lang="en-US" sz="1100" b="0" baseline="0"/>
            <a:t>- Region</a:t>
          </a:r>
        </a:p>
        <a:p>
          <a:pPr algn="l"/>
          <a:r>
            <a:rPr lang="en-US" sz="1100" b="0" baseline="0"/>
            <a:t>- City</a:t>
          </a:r>
        </a:p>
        <a:p>
          <a:pPr algn="l"/>
          <a:r>
            <a:rPr lang="en-US" sz="1100" b="0" baseline="0"/>
            <a:t>- Ship Name</a:t>
          </a:r>
        </a:p>
        <a:p>
          <a:pPr algn="l"/>
          <a:r>
            <a:rPr lang="en-US" sz="1100" b="0" baseline="0"/>
            <a:t>- Product Name</a:t>
          </a:r>
        </a:p>
        <a:p>
          <a:pPr algn="l"/>
          <a:r>
            <a:rPr lang="en-US" sz="1100" b="0" baseline="0"/>
            <a:t>- Category</a:t>
          </a:r>
        </a:p>
        <a:p>
          <a:pPr algn="l"/>
          <a:r>
            <a:rPr lang="en-US" sz="1100" b="0" baseline="0"/>
            <a:t>- Ship City</a:t>
          </a:r>
        </a:p>
        <a:p>
          <a:pPr algn="l"/>
          <a:r>
            <a:rPr lang="en-US" sz="1100" b="0" baseline="0"/>
            <a:t>-  Ship name</a:t>
          </a:r>
        </a:p>
        <a:p>
          <a:pPr algn="l"/>
          <a:r>
            <a:rPr lang="en-US" sz="1100" b="0" baseline="0"/>
            <a:t>- Payment Type</a:t>
          </a:r>
        </a:p>
        <a:p>
          <a:pPr algn="l"/>
          <a:endParaRPr lang="en-US" sz="1100" b="0" baseline="0"/>
        </a:p>
        <a:p>
          <a:r>
            <a:rPr lang="en-US" sz="1100" b="1" baseline="0">
              <a:solidFill>
                <a:schemeClr val="lt1"/>
              </a:solidFill>
              <a:effectLst/>
              <a:latin typeface="+mn-lt"/>
              <a:ea typeface="+mn-ea"/>
              <a:cs typeface="+mn-cs"/>
            </a:rPr>
            <a:t>2. Dependent Values: </a:t>
          </a:r>
          <a:r>
            <a:rPr lang="en-US" sz="1100" b="0" baseline="0">
              <a:solidFill>
                <a:schemeClr val="lt1"/>
              </a:solidFill>
              <a:effectLst/>
              <a:latin typeface="+mn-lt"/>
              <a:ea typeface="+mn-ea"/>
              <a:cs typeface="+mn-cs"/>
            </a:rPr>
            <a:t>These are the outcomes or results that you are trying to predict or understand. They usually depend or rely on independent values and do not stand alone or provide meaningful context on their own. Such as:</a:t>
          </a:r>
          <a:endParaRPr lang="en-NG">
            <a:effectLst/>
          </a:endParaRPr>
        </a:p>
        <a:p>
          <a:r>
            <a:rPr lang="en-US" sz="1100" b="0" baseline="0">
              <a:solidFill>
                <a:schemeClr val="lt1"/>
              </a:solidFill>
              <a:effectLst/>
              <a:latin typeface="+mn-lt"/>
              <a:ea typeface="+mn-ea"/>
              <a:cs typeface="+mn-cs"/>
            </a:rPr>
            <a:t>- Revenue</a:t>
          </a:r>
          <a:endParaRPr lang="en-NG">
            <a:effectLst/>
          </a:endParaRPr>
        </a:p>
        <a:p>
          <a:r>
            <a:rPr lang="en-US" sz="1100" b="0" baseline="0">
              <a:solidFill>
                <a:schemeClr val="lt1"/>
              </a:solidFill>
              <a:effectLst/>
              <a:latin typeface="+mn-lt"/>
              <a:ea typeface="+mn-ea"/>
              <a:cs typeface="+mn-cs"/>
            </a:rPr>
            <a:t>- Unit Price</a:t>
          </a:r>
          <a:endParaRPr lang="en-NG">
            <a:effectLst/>
          </a:endParaRPr>
        </a:p>
        <a:p>
          <a:r>
            <a:rPr lang="en-US" sz="1100" b="0" baseline="0">
              <a:solidFill>
                <a:schemeClr val="lt1"/>
              </a:solidFill>
              <a:effectLst/>
              <a:latin typeface="+mn-lt"/>
              <a:ea typeface="+mn-ea"/>
              <a:cs typeface="+mn-cs"/>
            </a:rPr>
            <a:t>- Quantity</a:t>
          </a:r>
          <a:endParaRPr lang="en-NG">
            <a:effectLst/>
          </a:endParaRPr>
        </a:p>
        <a:p>
          <a:r>
            <a:rPr lang="en-US" sz="1100" b="0" baseline="0">
              <a:solidFill>
                <a:schemeClr val="lt1"/>
              </a:solidFill>
              <a:effectLst/>
              <a:latin typeface="+mn-lt"/>
              <a:ea typeface="+mn-ea"/>
              <a:cs typeface="+mn-cs"/>
            </a:rPr>
            <a:t>- Shipping Fee</a:t>
          </a:r>
          <a:endParaRPr lang="en-NG">
            <a:effectLst/>
          </a:endParaRPr>
        </a:p>
        <a:p>
          <a:r>
            <a:rPr lang="en-US" sz="1100" b="0" baseline="0">
              <a:solidFill>
                <a:schemeClr val="lt1"/>
              </a:solidFill>
              <a:effectLst/>
              <a:latin typeface="+mn-lt"/>
              <a:ea typeface="+mn-ea"/>
              <a:cs typeface="+mn-cs"/>
            </a:rPr>
            <a:t>- Date</a:t>
          </a:r>
          <a:endParaRPr lang="en-NG">
            <a:effectLst/>
          </a:endParaRPr>
        </a:p>
        <a:p>
          <a:r>
            <a:rPr lang="en-US" sz="1100" b="0" baseline="0">
              <a:solidFill>
                <a:schemeClr val="lt1"/>
              </a:solidFill>
              <a:effectLst/>
              <a:latin typeface="+mn-lt"/>
              <a:ea typeface="+mn-ea"/>
              <a:cs typeface="+mn-cs"/>
            </a:rPr>
            <a:t>- Order ID</a:t>
          </a:r>
          <a:endParaRPr lang="en-NG">
            <a:effectLst/>
          </a:endParaRPr>
        </a:p>
        <a:p>
          <a:r>
            <a:rPr lang="en-US" sz="1100" b="0" baseline="0">
              <a:solidFill>
                <a:schemeClr val="lt1"/>
              </a:solidFill>
              <a:effectLst/>
              <a:latin typeface="+mn-lt"/>
              <a:ea typeface="+mn-ea"/>
              <a:cs typeface="+mn-cs"/>
            </a:rPr>
            <a:t>- Customer</a:t>
          </a:r>
          <a:endParaRPr lang="en-US" sz="1100" b="1"/>
        </a:p>
      </xdr:txBody>
    </xdr:sp>
    <xdr:clientData/>
  </xdr:twoCellAnchor>
  <xdr:twoCellAnchor>
    <xdr:from>
      <xdr:col>7</xdr:col>
      <xdr:colOff>549965</xdr:colOff>
      <xdr:row>0</xdr:row>
      <xdr:rowOff>144449</xdr:rowOff>
    </xdr:from>
    <xdr:to>
      <xdr:col>15</xdr:col>
      <xdr:colOff>287572</xdr:colOff>
      <xdr:row>25</xdr:row>
      <xdr:rowOff>168302</xdr:rowOff>
    </xdr:to>
    <xdr:sp macro="" textlink="">
      <xdr:nvSpPr>
        <xdr:cNvPr id="3" name="Rectangle: Rounded Corners 2">
          <a:extLst>
            <a:ext uri="{FF2B5EF4-FFF2-40B4-BE49-F238E27FC236}">
              <a16:creationId xmlns:a16="http://schemas.microsoft.com/office/drawing/2014/main" id="{815775B1-300E-4C6E-A0DC-053C2F9FA306}"/>
            </a:ext>
          </a:extLst>
        </xdr:cNvPr>
        <xdr:cNvSpPr/>
      </xdr:nvSpPr>
      <xdr:spPr>
        <a:xfrm>
          <a:off x="5002695" y="144449"/>
          <a:ext cx="4826442" cy="4794636"/>
        </a:xfrm>
        <a:prstGeom prst="roundRect">
          <a:avLst>
            <a:gd name="adj" fmla="val 5638"/>
          </a:avLst>
        </a:prstGeom>
        <a:noFill/>
        <a:ln w="19050">
          <a:solidFill>
            <a:schemeClr val="tx1"/>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b="1">
              <a:solidFill>
                <a:schemeClr val="tx1"/>
              </a:solidFill>
            </a:rPr>
            <a:t>Data Story</a:t>
          </a:r>
        </a:p>
        <a:p>
          <a:pPr algn="l"/>
          <a:r>
            <a:rPr lang="en-US" sz="1100" b="0">
              <a:solidFill>
                <a:schemeClr val="tx1"/>
              </a:solidFill>
            </a:rPr>
            <a:t>The</a:t>
          </a:r>
          <a:r>
            <a:rPr lang="en-US" sz="1100" b="0" baseline="0">
              <a:solidFill>
                <a:schemeClr val="tx1"/>
              </a:solidFill>
            </a:rPr>
            <a:t> data is telling a story around different goods that are sold by a company in different regions and cities in the United States. It also highlights the quantities purchased, quantities sold, revenue generated, shipping and payment method used, the information of sales made by each sales person. Hence, it can be concluded that the story is talking about Sales and Distribution Data</a:t>
          </a:r>
        </a:p>
        <a:p>
          <a:pPr algn="l"/>
          <a:endParaRPr lang="en-US" sz="1100" b="0" baseline="0">
            <a:solidFill>
              <a:schemeClr val="tx1"/>
            </a:solidFill>
          </a:endParaRPr>
        </a:p>
        <a:p>
          <a:pPr algn="l"/>
          <a:r>
            <a:rPr lang="en-US" sz="1100" b="1" baseline="0">
              <a:solidFill>
                <a:schemeClr val="tx1"/>
              </a:solidFill>
            </a:rPr>
            <a:t>Industry Type</a:t>
          </a:r>
        </a:p>
        <a:p>
          <a:pPr algn="l"/>
          <a:r>
            <a:rPr lang="en-US" sz="1100" b="1" baseline="0">
              <a:solidFill>
                <a:schemeClr val="tx1"/>
              </a:solidFill>
            </a:rPr>
            <a:t>- FMCG (Fast-Moving Consumer Goods)</a:t>
          </a:r>
        </a:p>
        <a:p>
          <a:pPr algn="l"/>
          <a:endParaRPr lang="en-US" sz="1100" b="1" baseline="0">
            <a:solidFill>
              <a:schemeClr val="tx1"/>
            </a:solidFill>
          </a:endParaRPr>
        </a:p>
        <a:p>
          <a:pPr algn="l"/>
          <a:r>
            <a:rPr lang="en-US" sz="1100" b="1" baseline="0">
              <a:solidFill>
                <a:schemeClr val="tx1"/>
              </a:solidFill>
            </a:rPr>
            <a:t>Satkeholders</a:t>
          </a:r>
        </a:p>
        <a:p>
          <a:pPr algn="l"/>
          <a:r>
            <a:rPr lang="en-US" sz="1100" b="0" baseline="0">
              <a:solidFill>
                <a:schemeClr val="tx1"/>
              </a:solidFill>
            </a:rPr>
            <a:t>- The CSDO (Chief Sales and Distribution Officer)</a:t>
          </a:r>
        </a:p>
        <a:p>
          <a:pPr algn="l"/>
          <a:r>
            <a:rPr lang="en-US" sz="1100" b="0" baseline="0">
              <a:solidFill>
                <a:schemeClr val="tx1"/>
              </a:solidFill>
            </a:rPr>
            <a:t>- Other C-Levels</a:t>
          </a:r>
        </a:p>
        <a:p>
          <a:pPr algn="l"/>
          <a:r>
            <a:rPr lang="en-US" sz="1100" b="0" baseline="0">
              <a:solidFill>
                <a:schemeClr val="tx1"/>
              </a:solidFill>
            </a:rPr>
            <a:t>- The Sales and Commercial Director</a:t>
          </a:r>
        </a:p>
        <a:p>
          <a:pPr algn="l"/>
          <a:r>
            <a:rPr lang="en-US" sz="1100" b="0" baseline="0">
              <a:solidFill>
                <a:schemeClr val="tx1"/>
              </a:solidFill>
            </a:rPr>
            <a:t>- The Regional Sales Manager</a:t>
          </a:r>
        </a:p>
        <a:p>
          <a:pPr algn="l"/>
          <a:r>
            <a:rPr lang="en-US" sz="1100" b="0" baseline="0">
              <a:solidFill>
                <a:schemeClr val="tx1"/>
              </a:solidFill>
            </a:rPr>
            <a:t>- The Sales Managers</a:t>
          </a:r>
        </a:p>
        <a:p>
          <a:pPr algn="l"/>
          <a:endParaRPr lang="en-US" sz="1100" b="0" baseline="0">
            <a:solidFill>
              <a:schemeClr val="tx1"/>
            </a:solidFill>
          </a:endParaRPr>
        </a:p>
        <a:p>
          <a:pPr algn="l"/>
          <a:r>
            <a:rPr lang="en-US" sz="1100" b="1" baseline="0">
              <a:solidFill>
                <a:schemeClr val="tx1"/>
              </a:solidFill>
            </a:rPr>
            <a:t>What success means to the industry</a:t>
          </a:r>
        </a:p>
        <a:p>
          <a:pPr algn="l"/>
          <a:r>
            <a:rPr lang="en-US" sz="1100" b="0" baseline="0">
              <a:solidFill>
                <a:schemeClr val="tx1"/>
              </a:solidFill>
            </a:rPr>
            <a:t>- Generating more revenue</a:t>
          </a:r>
        </a:p>
        <a:p>
          <a:pPr algn="l"/>
          <a:r>
            <a:rPr lang="en-US" sz="1100" b="0" baseline="0">
              <a:solidFill>
                <a:schemeClr val="tx1"/>
              </a:solidFill>
            </a:rPr>
            <a:t>- Sales Coverage to increase market share</a:t>
          </a:r>
        </a:p>
      </xdr:txBody>
    </xdr:sp>
    <xdr:clientData/>
  </xdr:twoCellAnchor>
  <xdr:twoCellAnchor>
    <xdr:from>
      <xdr:col>15</xdr:col>
      <xdr:colOff>382988</xdr:colOff>
      <xdr:row>0</xdr:row>
      <xdr:rowOff>144450</xdr:rowOff>
    </xdr:from>
    <xdr:to>
      <xdr:col>23</xdr:col>
      <xdr:colOff>120595</xdr:colOff>
      <xdr:row>25</xdr:row>
      <xdr:rowOff>168303</xdr:rowOff>
    </xdr:to>
    <xdr:sp macro="" textlink="">
      <xdr:nvSpPr>
        <xdr:cNvPr id="4" name="Rectangle: Rounded Corners 3">
          <a:extLst>
            <a:ext uri="{FF2B5EF4-FFF2-40B4-BE49-F238E27FC236}">
              <a16:creationId xmlns:a16="http://schemas.microsoft.com/office/drawing/2014/main" id="{719582C9-2039-45EC-A9D8-4BE9D715CBDC}"/>
            </a:ext>
          </a:extLst>
        </xdr:cNvPr>
        <xdr:cNvSpPr/>
      </xdr:nvSpPr>
      <xdr:spPr>
        <a:xfrm>
          <a:off x="9924553" y="144450"/>
          <a:ext cx="4826442" cy="4794636"/>
        </a:xfrm>
        <a:prstGeom prst="roundRect">
          <a:avLst>
            <a:gd name="adj" fmla="val 5638"/>
          </a:avLst>
        </a:prstGeom>
        <a:solidFill>
          <a:schemeClr val="accent6">
            <a:lumMod val="50000"/>
          </a:schemeClr>
        </a:solidFill>
        <a:ln>
          <a:no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b="1"/>
            <a:t>Potential Questions</a:t>
          </a:r>
          <a:r>
            <a:rPr lang="en-US" sz="1100" b="1" baseline="0"/>
            <a:t> / Insights</a:t>
          </a:r>
        </a:p>
        <a:p>
          <a:pPr algn="l"/>
          <a:r>
            <a:rPr lang="en-US" sz="1100" b="1" baseline="0"/>
            <a:t>-</a:t>
          </a:r>
          <a:r>
            <a:rPr lang="en-US" sz="1100" b="0" baseline="0"/>
            <a:t> Revenue generation by Salesperson</a:t>
          </a:r>
        </a:p>
        <a:p>
          <a:pPr algn="l"/>
          <a:r>
            <a:rPr lang="en-US" sz="1100" b="0" baseline="0"/>
            <a:t>- Total Revenue and Quantity sold by Product Category</a:t>
          </a:r>
        </a:p>
        <a:p>
          <a:pPr algn="l"/>
          <a:r>
            <a:rPr lang="en-US" sz="1100" b="0" baseline="0"/>
            <a:t>- Average Unit Price across different Regions</a:t>
          </a:r>
        </a:p>
        <a:p>
          <a:pPr algn="l"/>
          <a:r>
            <a:rPr lang="en-US" sz="1100" b="0" baseline="0"/>
            <a:t>- Order Quantity by Region</a:t>
          </a:r>
        </a:p>
        <a:p>
          <a:pPr algn="l"/>
          <a:r>
            <a:rPr lang="en-US" sz="1100" b="0" baseline="0"/>
            <a:t>- Payment Type by Region</a:t>
          </a:r>
        </a:p>
        <a:p>
          <a:pPr algn="l"/>
          <a:r>
            <a:rPr lang="en-US" sz="1100" b="0" baseline="0"/>
            <a:t>- Product Name popularity by City</a:t>
          </a:r>
        </a:p>
        <a:p>
          <a:pPr algn="l"/>
          <a:r>
            <a:rPr lang="en-US" sz="1100" b="0" baseline="0"/>
            <a:t>- Revenue growth trends by Date</a:t>
          </a:r>
        </a:p>
        <a:p>
          <a:pPr algn="l"/>
          <a:r>
            <a:rPr lang="en-US" sz="1100" b="0" baseline="0"/>
            <a:t>- Shipping Fee trends by Date and Category</a:t>
          </a:r>
        </a:p>
        <a:p>
          <a:pPr algn="l"/>
          <a:r>
            <a:rPr lang="en-US" sz="1100" b="0" baseline="0"/>
            <a:t>- Shipping Fee by City:</a:t>
          </a:r>
        </a:p>
        <a:p>
          <a:pPr algn="l"/>
          <a:r>
            <a:rPr lang="en-US" sz="1100" b="0" baseline="0"/>
            <a:t>- High-value Customer identification by Revenue</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95414</xdr:colOff>
      <xdr:row>0</xdr:row>
      <xdr:rowOff>119268</xdr:rowOff>
    </xdr:from>
    <xdr:to>
      <xdr:col>8</xdr:col>
      <xdr:colOff>516834</xdr:colOff>
      <xdr:row>80</xdr:row>
      <xdr:rowOff>127221</xdr:rowOff>
    </xdr:to>
    <xdr:sp macro="" textlink="">
      <xdr:nvSpPr>
        <xdr:cNvPr id="2" name="Rectangle: Rounded Corners 1">
          <a:extLst>
            <a:ext uri="{FF2B5EF4-FFF2-40B4-BE49-F238E27FC236}">
              <a16:creationId xmlns:a16="http://schemas.microsoft.com/office/drawing/2014/main" id="{830E7361-F576-454C-9AF7-C86159F30298}"/>
            </a:ext>
          </a:extLst>
        </xdr:cNvPr>
        <xdr:cNvSpPr/>
      </xdr:nvSpPr>
      <xdr:spPr>
        <a:xfrm>
          <a:off x="95414" y="119268"/>
          <a:ext cx="5510255" cy="15274457"/>
        </a:xfrm>
        <a:prstGeom prst="roundRect">
          <a:avLst>
            <a:gd name="adj" fmla="val 5638"/>
          </a:avLst>
        </a:prstGeom>
        <a:solidFill>
          <a:schemeClr val="accent6">
            <a:lumMod val="50000"/>
          </a:schemeClr>
        </a:solidFill>
        <a:ln>
          <a:no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b="1"/>
            <a:t>IN</a:t>
          </a:r>
          <a:r>
            <a:rPr lang="en-US" sz="1100" b="1" baseline="0"/>
            <a:t> ANALYSIS OBSERVATIONS</a:t>
          </a:r>
        </a:p>
        <a:p>
          <a:pPr algn="l"/>
          <a:r>
            <a:rPr lang="en-US" sz="1000" b="1" baseline="0"/>
            <a:t>- Resolutions for Sales By Region</a:t>
          </a:r>
        </a:p>
        <a:p>
          <a:pPr algn="l"/>
          <a:r>
            <a:rPr lang="en-US" sz="850" b="0" baseline="0"/>
            <a:t>Looking at the chart clockwise, starting from the top-right (darkest green) and matching the sequential order of the legend (North, East, South, West), we can map out the sales figures as follows:</a:t>
          </a:r>
        </a:p>
        <a:p>
          <a:pPr algn="l"/>
          <a:r>
            <a:rPr lang="en-US" sz="850" b="0" baseline="0"/>
            <a:t>North: $141,680.34 (32.6% of the total, the top performer)</a:t>
          </a:r>
        </a:p>
        <a:p>
          <a:pPr algn="l"/>
          <a:r>
            <a:rPr lang="en-US" sz="850" b="0" baseline="0"/>
            <a:t>East: $108,275.51 (24.9%)</a:t>
          </a:r>
        </a:p>
        <a:p>
          <a:pPr algn="l"/>
          <a:r>
            <a:rPr lang="en-US" sz="850" b="0" baseline="0"/>
            <a:t>South: $93,858.33 (21.6%)</a:t>
          </a:r>
        </a:p>
        <a:p>
          <a:pPr algn="l"/>
          <a:r>
            <a:rPr lang="en-US" sz="850" b="0" baseline="0"/>
            <a:t>West: $91,251.98 (21.0%)</a:t>
          </a:r>
        </a:p>
        <a:p>
          <a:pPr algn="l"/>
          <a:r>
            <a:rPr lang="en-US" sz="850" b="1" baseline="0"/>
            <a:t>Key Pre-Insights</a:t>
          </a:r>
        </a:p>
        <a:p>
          <a:pPr algn="l"/>
          <a:r>
            <a:rPr lang="en-US" sz="850" b="0" baseline="0"/>
            <a:t>Before you begin slicing and dicing the data in your dashboard, here are the immediate takeaways </a:t>
          </a:r>
        </a:p>
        <a:p>
          <a:pPr algn="l"/>
          <a:r>
            <a:rPr lang="en-US" sz="850" b="1" baseline="0"/>
            <a:t>North is the Clear Powerhouse: </a:t>
          </a:r>
          <a:r>
            <a:rPr lang="en-US" sz="850" b="0" baseline="0"/>
            <a:t>The North region is the dominant revenue driver for Nova Mart, generating roughly 32.6% of total sales</a:t>
          </a:r>
          <a:r>
            <a:rPr lang="en-US" sz="850" b="1" baseline="0"/>
            <a:t>. It outperforms the lowest-performing region (West) </a:t>
          </a:r>
          <a:r>
            <a:rPr lang="en-US" sz="850" b="0" baseline="0"/>
            <a:t>by over $50,000.</a:t>
          </a:r>
        </a:p>
        <a:p>
          <a:pPr algn="l"/>
          <a:r>
            <a:rPr lang="en-US" sz="850" b="1" baseline="0"/>
            <a:t>The "Middle Tier" and Trailends: While the East </a:t>
          </a:r>
          <a:r>
            <a:rPr lang="en-US" sz="850" b="0" baseline="0"/>
            <a:t>holds a comfortable second place</a:t>
          </a:r>
          <a:r>
            <a:rPr lang="en-US" sz="850" b="1" baseline="0"/>
            <a:t>, the South and West regions are neck-and-neck, separated by just a little over $2,600.</a:t>
          </a:r>
        </a:p>
        <a:p>
          <a:pPr algn="l"/>
          <a:r>
            <a:rPr lang="en-US" sz="850" b="1" baseline="0"/>
            <a:t>Total Revenue Baseline: </a:t>
          </a:r>
          <a:r>
            <a:rPr lang="en-US" sz="850" b="0" baseline="0"/>
            <a:t>Combining all regions, Globos Co. has a total sales baseline of $435,066.16. This is a great anchor metric to put at the very top of your dashboard.</a:t>
          </a:r>
        </a:p>
        <a:p>
          <a:pPr algn="l"/>
          <a:endParaRPr lang="en-US" sz="900" b="0" baseline="0"/>
        </a:p>
        <a:p>
          <a:pPr algn="l"/>
          <a:r>
            <a:rPr lang="en-US" sz="900" b="1" baseline="0"/>
            <a:t>- Resolution for Sales by Salespersons</a:t>
          </a:r>
        </a:p>
        <a:p>
          <a:pPr algn="l"/>
          <a:r>
            <a:rPr lang="en-US" sz="850" b="0" baseline="0"/>
            <a:t>The chart displays a clear ranking of sales revenue by individual team members, descending from highest to lowest performer:</a:t>
          </a:r>
        </a:p>
        <a:p>
          <a:pPr algn="l"/>
          <a:r>
            <a:rPr lang="en-US" sz="850" b="1" baseline="0"/>
            <a:t>Nancy Freehafer: $104,252.34 (Top Performer)</a:t>
          </a:r>
        </a:p>
        <a:p>
          <a:pPr algn="l"/>
          <a:r>
            <a:rPr lang="en-US" sz="850" b="0" baseline="0"/>
            <a:t>Anne Larsen: $93,858.33</a:t>
          </a:r>
        </a:p>
        <a:p>
          <a:pPr algn="l"/>
          <a:r>
            <a:rPr lang="en-US" sz="850" b="0" baseline="0"/>
            <a:t>Andrew Cencini: $67,180.50</a:t>
          </a:r>
        </a:p>
        <a:p>
          <a:pPr algn="l"/>
          <a:r>
            <a:rPr lang="en-US" sz="850" b="0" baseline="0"/>
            <a:t>Mariya Sergienko: $42,370.88</a:t>
          </a:r>
        </a:p>
        <a:p>
          <a:pPr algn="l"/>
          <a:r>
            <a:rPr lang="en-US" sz="850" b="0" baseline="0"/>
            <a:t>Laura Giussani: $41,095.01</a:t>
          </a:r>
        </a:p>
        <a:p>
          <a:pPr algn="l"/>
          <a:r>
            <a:rPr lang="en-US" sz="850" b="0" baseline="0"/>
            <a:t>Michael Neipper: $37,428.00</a:t>
          </a:r>
        </a:p>
        <a:p>
          <a:pPr algn="l"/>
          <a:r>
            <a:rPr lang="en-US" sz="850" b="0" baseline="0"/>
            <a:t>Robert Zare: $32,530.60</a:t>
          </a:r>
        </a:p>
        <a:p>
          <a:pPr algn="l"/>
          <a:r>
            <a:rPr lang="en-US" sz="850" b="1" baseline="0"/>
            <a:t>Jan Kotas: $16,350.50 (Lowest Performer)</a:t>
          </a:r>
        </a:p>
        <a:p>
          <a:pPr algn="l"/>
          <a:endParaRPr lang="en-US" sz="850" b="0" baseline="0"/>
        </a:p>
        <a:p>
          <a:pPr algn="l"/>
          <a:r>
            <a:rPr lang="en-US" sz="850" b="0" baseline="0"/>
            <a:t>The top performers are heavily carrying the revenue. Nancy Freehafer and Anne Larsen alone generate $198,110.67. That means just two people are responsible for roughly 45.5% of the entire team's total sales ($435,066.16). There is a steep drop-off across the roster. Nancy Freehafer makes more sales than the bottom three salespeople combined (Michael, Robert, and Jan total $86,309.10). Furthermore, Nancy brings in over 6 times the revenue of Jan Kotas. Mariya, Laura, and Michael are tightly clustered together in the $37k–$42k range. They represent the "baseline steady performers" of the company, showing very consistent, closely matched output.</a:t>
          </a:r>
        </a:p>
        <a:p>
          <a:pPr algn="l"/>
          <a:endParaRPr lang="en-US" sz="850" b="0" baseline="0"/>
        </a:p>
        <a:p>
          <a:pPr algn="l"/>
          <a:r>
            <a:rPr lang="en-US" sz="850" b="1" baseline="0"/>
            <a:t>Resolution for Top 10 Customers</a:t>
          </a:r>
        </a:p>
        <a:p>
          <a:pPr algn="l"/>
          <a:r>
            <a:rPr lang="en-US" sz="850" b="0" baseline="0"/>
            <a:t>Clear Market Leader: Company D is your top-performing account by a significant margin, bringing in $67,180.50. The top three customers (Company D, Company H, and Company BB) represent a huge chunk of the revenue in this bracket. There is a noticeable drop-off after Company BB ($43,713.00) down to Company F ($37,428.00). From Company F down to Company K, the revenue decline is much more gradual and tightly clustered (ranging from roughly $37k down to $22k).</a:t>
          </a:r>
        </a:p>
        <a:p>
          <a:pPr algn="l"/>
          <a:endParaRPr lang="en-US" sz="850" b="0" baseline="0"/>
        </a:p>
        <a:p>
          <a:pPr algn="l"/>
          <a:r>
            <a:rPr lang="en-US" sz="850" b="1" baseline="0"/>
            <a:t>Resolution for Sales Trend Report</a:t>
          </a:r>
        </a:p>
        <a:p>
          <a:pPr algn="l"/>
          <a:r>
            <a:rPr lang="en-US" sz="850" b="0" baseline="0"/>
            <a:t>December reaches the absolute maximum at $66,642.78. June hits a major mid-year high at $55,601.61. February marks the lowest point of the year at $19,985.50, closely followed by a secondary drop in April ($20,771.79). Following the sharp crash in July ($27,318.54), there is a slow, steady three-month climb through August ($29,921.46) and September ($31,949.97) leading up to the October surge.</a:t>
          </a:r>
        </a:p>
        <a:p>
          <a:pPr algn="l"/>
          <a:r>
            <a:rPr lang="en-US" sz="850" b="0" baseline="0"/>
            <a:t>Every time there is a massive sales month, it is immediately followed by a steep crash. June's high ($55.6k) plummets into July ($27.3k), and October's high ($53k) plummets into November ($31.7k). This suggests a cyclical pipeline exhaustion issue—when the sales team closes everything in one month, they have to spend the next month rebuilding the pipeline from scratch.</a:t>
          </a:r>
        </a:p>
        <a:p>
          <a:pPr algn="l"/>
          <a:endParaRPr lang="en-US" sz="850" b="0" baseline="0"/>
        </a:p>
        <a:p>
          <a:pPr algn="l"/>
          <a:r>
            <a:rPr lang="en-US" sz="850" b="1" baseline="0"/>
            <a:t>Resolution for Product Category Performance</a:t>
          </a:r>
        </a:p>
        <a:p>
          <a:pPr algn="l"/>
          <a:r>
            <a:rPr lang="en-US" sz="850" b="0" baseline="0"/>
            <a:t>Beverages is the undisputed powerhouse, driving $110,577.11 in revenue. It takes up the largest visual footprint on the treemap by a wide margin. Together, Beverages and Sauces ($69,000.00) represent the lion's share of the portfolio. The revenue drops significantly once you move past these two heavy-hitting categories. Jams, Preserves ($51,541.00) holds its own as a very healthy mid-tier category, bridging the gap between the dominant leaders and the smaller categories. Dairy Products ($33,129.60), Dried Fruit &amp; Nuts ($27,999.50), and Canned Meat ($25,465.60) make up the tail end of the product mix. They are closely grouped together in value but are individually dwarfed by the Beverages category.</a:t>
          </a:r>
        </a:p>
        <a:p>
          <a:pPr algn="l"/>
          <a:r>
            <a:rPr lang="en-US" sz="850" b="0" baseline="0"/>
            <a:t>There is a massive revenue gap between the "Big Two" (Beverages, Sauces) and the bottom three niche categories (Dairy, Dried Fruit, Canned Meat). This gap suggests that customers buying your core items (Beverages/Sauces) might not even realize the company sells Dried Fruit or Canned Meat. </a:t>
          </a:r>
        </a:p>
        <a:p>
          <a:pPr algn="l"/>
          <a:endParaRPr lang="en-US" sz="850" b="0" baseline="0"/>
        </a:p>
        <a:p>
          <a:pPr algn="l"/>
          <a:r>
            <a:rPr lang="en-US" sz="850" b="1" baseline="0"/>
            <a:t>Resolution for States' Performance by Revenue</a:t>
          </a:r>
        </a:p>
        <a:p>
          <a:pPr algn="l"/>
          <a:r>
            <a:rPr lang="en-US" sz="850" b="0" baseline="0"/>
            <a:t>The company currently has a presence or recorded revenue in a specific subset of states—primarily clustered in the Pacific Northwest/West Coast, a few states in the Mountain/Midwest regions, Tennessee, Florida, and a heavy concentration in New York. The rest of the US shows no revenue data on this map.</a:t>
          </a:r>
        </a:p>
        <a:p>
          <a:pPr algn="l"/>
          <a:r>
            <a:rPr lang="en-US" sz="850" b="1" baseline="0"/>
            <a:t>New York</a:t>
          </a:r>
          <a:r>
            <a:rPr lang="en-US" sz="850" b="0" baseline="0"/>
            <a:t> is the top-performing state by a significant margin with a revenue figure hitting the maximum end of your scale ($67,180.50). The Pacific Northwest is a highly active region. Oregon ($50,208.35) and Washington ($36,839.99) are both strong performers. Combined with California ($27,011.50 approx, based on visible cut-off), the West Coast represents a massive pillar of your total revenue. Nevada ($15,365.50), Colorado ($16,350.50), and Idaho ($17,204.00) represent the lowest revenue-generating states currently active on the map, falling right at the bottom.</a:t>
          </a:r>
        </a:p>
        <a:p>
          <a:pPr algn="l"/>
          <a:endParaRPr lang="en-US" sz="850" b="0" baseline="0"/>
        </a:p>
        <a:p>
          <a:pPr algn="l"/>
          <a:r>
            <a:rPr lang="en-US" sz="850" b="1" baseline="0"/>
            <a:t>Resolution for Cities' Performance by Revenue</a:t>
          </a:r>
        </a:p>
        <a:p>
          <a:pPr algn="l"/>
          <a:r>
            <a:rPr lang="en-US" sz="850" b="1" baseline="0"/>
            <a:t>New York </a:t>
          </a:r>
          <a:r>
            <a:rPr lang="en-US" sz="850" b="0" baseline="0"/>
            <a:t>is the clear market leader, generating $67,180.50 in revenue. It stands out significantly on the chart.</a:t>
          </a:r>
        </a:p>
        <a:p>
          <a:pPr algn="l"/>
          <a:r>
            <a:rPr lang="en-US" sz="850" b="0" baseline="0"/>
            <a:t>Portland ($50,208.35) and Miami ($50,145.33) are performing almost identically. There is a mere $63.02 difference between these two cities, placing them in a tight race for the number two spot. Memphis ($43,713.00) and Chicago ($41,095.01) round out the bottom of this top-five list. While they lag behind New York by over $20K, they still represent solid, multi-thousand-dollar revenue hubs.</a:t>
          </a:r>
        </a:p>
        <a:p>
          <a:pPr algn="l"/>
          <a:endParaRPr lang="en-US" sz="850" b="0" baseline="0"/>
        </a:p>
        <a:p>
          <a:pPr algn="l"/>
          <a:r>
            <a:rPr lang="en-US" sz="850" b="1" baseline="0"/>
            <a:t>Resolution for Top 6 Ship Cities by Revenue</a:t>
          </a:r>
        </a:p>
        <a:p>
          <a:pPr algn="l"/>
          <a:r>
            <a:rPr lang="en-US" sz="850" b="0" baseline="0"/>
            <a:t>New York firmly sits at the apex of the chart as the highest revenue-generating ship city, bringing in $67,180.50. </a:t>
          </a:r>
        </a:p>
        <a:p>
          <a:pPr algn="l"/>
          <a:r>
            <a:rPr lang="en-US" sz="850" b="0" baseline="0"/>
            <a:t>Portland ($50,208.35) and Miami ($50,145.33) form a highly symmetrical pair on the left side of the chart. Their performance is essentially identical, with a negligible gap of roughly $63. The bottom and right segments of the radar map are anchored by Memphis ($43,713.00), Chicago ($41,095.01), and Milwaukee ($37,428.00). Milwaukee represents the bottom boundary of this "Top 6" group. This tells us that to break into the company's elite tier of shipping cities, a location currently needs a revenue threshold of at least $37.4K.</a:t>
          </a:r>
        </a:p>
        <a:p>
          <a:pPr algn="l"/>
          <a:endParaRPr lang="en-US" sz="850" b="0" baseline="0"/>
        </a:p>
        <a:p>
          <a:pPr algn="l"/>
          <a:r>
            <a:rPr lang="en-US" sz="850" b="1" baseline="0"/>
            <a:t>Resolution for Transaction by Amount</a:t>
          </a:r>
        </a:p>
        <a:p>
          <a:pPr algn="l"/>
          <a:r>
            <a:rPr lang="en-US" sz="850" b="0" baseline="0"/>
            <a:t>The 10–1010 range is the absolute dominant bucket with 221.00 transactions. This single bucket accounts for well over half of the total transaction occurrences captured on the chart. Moving from the first bucket to the 1010–2010 bucket shows a steep decline of over 62% down to 82.00 transactions. By the time you reach the 4010–5010 range, volume drops to single digits (8.00). High-value transactions are exceedingly rare. The 6010–7010 bucket has only 2.00 transactions, and the highest bucket shown, 7010–8010, has just a single transaction (1.00). Interestingly, the 5010–6010 bucket is completely missing from the x-axis, implying there were zero transactions recorded within that specific price range.</a:t>
          </a:r>
        </a:p>
        <a:p>
          <a:pPr algn="l"/>
          <a:endParaRPr lang="en-US" sz="850" b="0" baseline="0"/>
        </a:p>
        <a:p>
          <a:pPr algn="l"/>
          <a:endParaRPr lang="en-US" sz="850" b="0" baseline="0"/>
        </a:p>
        <a:p>
          <a:pPr algn="l"/>
          <a:endParaRPr lang="en-US" sz="850" b="0" baseline="0"/>
        </a:p>
        <a:p>
          <a:pPr algn="l"/>
          <a:endParaRPr lang="en-US" sz="850" b="0" baseline="0"/>
        </a:p>
        <a:p>
          <a:pPr algn="l"/>
          <a:endParaRPr lang="en-US" sz="850" b="0" baseline="0"/>
        </a:p>
        <a:p>
          <a:pPr algn="l"/>
          <a:endParaRPr lang="en-US" sz="850" b="0" baseline="0"/>
        </a:p>
        <a:p>
          <a:pPr algn="l"/>
          <a:endParaRPr lang="en-US" sz="850" b="0" baseline="0"/>
        </a:p>
        <a:p>
          <a:pPr algn="l"/>
          <a:endParaRPr lang="en-US" sz="850" b="0" baseline="0"/>
        </a:p>
        <a:p>
          <a:pPr algn="l"/>
          <a:endParaRPr lang="en-US" sz="850" b="0" baseline="0"/>
        </a:p>
        <a:p>
          <a:pPr algn="l"/>
          <a:endParaRPr lang="en-US" sz="850" b="0" baseline="0"/>
        </a:p>
        <a:p>
          <a:pPr algn="l"/>
          <a:endParaRPr lang="en-US" sz="850" b="0" baseline="0"/>
        </a:p>
        <a:p>
          <a:pPr algn="l"/>
          <a:endParaRPr lang="en-US" sz="850" b="0" baseline="0"/>
        </a:p>
        <a:p>
          <a:pPr algn="l"/>
          <a:endParaRPr lang="en-US" sz="850" b="0" baseline="0"/>
        </a:p>
        <a:p>
          <a:pPr algn="l"/>
          <a:endParaRPr lang="en-US" sz="900" b="1" baseline="0"/>
        </a:p>
      </xdr:txBody>
    </xdr:sp>
    <xdr:clientData/>
  </xdr:twoCellAnchor>
  <xdr:twoCellAnchor>
    <xdr:from>
      <xdr:col>9</xdr:col>
      <xdr:colOff>17235</xdr:colOff>
      <xdr:row>0</xdr:row>
      <xdr:rowOff>144447</xdr:rowOff>
    </xdr:from>
    <xdr:to>
      <xdr:col>18</xdr:col>
      <xdr:colOff>294208</xdr:colOff>
      <xdr:row>80</xdr:row>
      <xdr:rowOff>103366</xdr:rowOff>
    </xdr:to>
    <xdr:sp macro="" textlink="">
      <xdr:nvSpPr>
        <xdr:cNvPr id="3" name="Rectangle: Rounded Corners 2">
          <a:extLst>
            <a:ext uri="{FF2B5EF4-FFF2-40B4-BE49-F238E27FC236}">
              <a16:creationId xmlns:a16="http://schemas.microsoft.com/office/drawing/2014/main" id="{5B573B3C-5C04-4798-8CA1-55C8D6CCC39D}"/>
            </a:ext>
          </a:extLst>
        </xdr:cNvPr>
        <xdr:cNvSpPr/>
      </xdr:nvSpPr>
      <xdr:spPr>
        <a:xfrm>
          <a:off x="5742174" y="144447"/>
          <a:ext cx="6001912" cy="15225423"/>
        </a:xfrm>
        <a:prstGeom prst="roundRect">
          <a:avLst>
            <a:gd name="adj" fmla="val 5638"/>
          </a:avLst>
        </a:prstGeom>
        <a:noFill/>
        <a:ln w="19050">
          <a:solidFill>
            <a:schemeClr val="tx1"/>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b="1" baseline="0">
              <a:solidFill>
                <a:schemeClr val="tx1"/>
              </a:solidFill>
            </a:rPr>
            <a:t>IN ANALYSIS PRE INSIGHT BOARD</a:t>
          </a:r>
        </a:p>
        <a:p>
          <a:pPr algn="l"/>
          <a:r>
            <a:rPr lang="en-US" sz="1000" b="1" baseline="0">
              <a:solidFill>
                <a:schemeClr val="tx1"/>
              </a:solidFill>
            </a:rPr>
            <a:t>Regional pre insight</a:t>
          </a:r>
        </a:p>
        <a:p>
          <a:pPr algn="l"/>
          <a:r>
            <a:rPr lang="en-US" sz="850" b="0" baseline="0">
              <a:solidFill>
                <a:schemeClr val="tx1"/>
              </a:solidFill>
            </a:rPr>
            <a:t>The North region accounts for approximately 32.6% of total revenue. This reveals a high dependency on a single geographic area. While this indicates a strong "stronghold," it also suggests that any localized economic downturn or new competitor in the North would have a disproportionately negative impact on Nova Mart.'s total bottom line.</a:t>
          </a:r>
        </a:p>
        <a:p>
          <a:pPr algn="l"/>
          <a:r>
            <a:rPr lang="en-US" sz="850" b="0" baseline="0">
              <a:solidFill>
                <a:schemeClr val="tx1"/>
              </a:solidFill>
            </a:rPr>
            <a:t>The chart reveals a clear split in the company's regional maturity: </a:t>
          </a:r>
        </a:p>
        <a:p>
          <a:pPr algn="l"/>
          <a:r>
            <a:rPr lang="en-US" sz="850" b="1" baseline="0">
              <a:solidFill>
                <a:schemeClr val="tx1"/>
              </a:solidFill>
            </a:rPr>
            <a:t>Tier 1 (High Volume): </a:t>
          </a:r>
          <a:r>
            <a:rPr lang="en-US" sz="850" b="0" baseline="0">
              <a:solidFill>
                <a:schemeClr val="tx1"/>
              </a:solidFill>
            </a:rPr>
            <a:t>North and East together generate $249,955.85, or roughly 57% of total sales. </a:t>
          </a:r>
        </a:p>
        <a:p>
          <a:pPr algn="l"/>
          <a:r>
            <a:rPr lang="en-US" sz="850" b="1" baseline="0">
              <a:solidFill>
                <a:schemeClr val="tx1"/>
              </a:solidFill>
            </a:rPr>
            <a:t>Tier 2 (Emerging/Stabilizing): </a:t>
          </a:r>
          <a:r>
            <a:rPr lang="en-US" sz="850" b="0" baseline="0">
              <a:solidFill>
                <a:schemeClr val="tx1"/>
              </a:solidFill>
            </a:rPr>
            <a:t>South and West contribute the remaining 43%.</a:t>
          </a:r>
        </a:p>
        <a:p>
          <a:pPr algn="l"/>
          <a:r>
            <a:rPr lang="en-US" sz="850" b="0" baseline="0">
              <a:solidFill>
                <a:schemeClr val="tx1"/>
              </a:solidFill>
            </a:rPr>
            <a:t>This suggests that the East region ($108,275.51) is likely the next "growth engine" that could potentially challenge the North's dominance if given targeted support.</a:t>
          </a:r>
        </a:p>
        <a:p>
          <a:pPr algn="l"/>
          <a:r>
            <a:rPr lang="en-US" sz="850" b="0" baseline="0">
              <a:solidFill>
                <a:schemeClr val="tx1"/>
              </a:solidFill>
            </a:rPr>
            <a:t>There is an extremely narrow margin between the South ($93,858.33) and the West ($91,251.98), a difference of only $2,606.35. These two regions are effectively operating at the same scale. This "parity" might indicate they share similar market challenges, customer demographics, or perhaps a lack of the specialized resources currently enjoyed by the North and East. </a:t>
          </a:r>
        </a:p>
        <a:p>
          <a:pPr algn="l"/>
          <a:r>
            <a:rPr lang="en-US" sz="850" b="0" baseline="0">
              <a:solidFill>
                <a:schemeClr val="tx1"/>
              </a:solidFill>
            </a:rPr>
            <a:t>The total revenue is $435,066.16. To achieve a more "balanced" portfolio, the goal for the next cycle would be to see the South and West slices expand toward the 25% mark ($108,766 each). Currently, both are hovering around the 21% mark</a:t>
          </a:r>
        </a:p>
        <a:p>
          <a:pPr algn="l"/>
          <a:endParaRPr lang="en-US" sz="850" b="0" baseline="0">
            <a:solidFill>
              <a:schemeClr val="tx1"/>
            </a:solidFill>
          </a:endParaRPr>
        </a:p>
        <a:p>
          <a:pPr algn="l"/>
          <a:r>
            <a:rPr lang="en-US" sz="850" b="1" baseline="0">
              <a:solidFill>
                <a:schemeClr val="tx1"/>
              </a:solidFill>
            </a:rPr>
            <a:t>Salespersons pre insight</a:t>
          </a:r>
        </a:p>
        <a:p>
          <a:pPr algn="l"/>
          <a:r>
            <a:rPr lang="en-US" sz="850" b="0" baseline="0">
              <a:solidFill>
                <a:schemeClr val="tx1"/>
              </a:solidFill>
            </a:rPr>
            <a:t>The chart reveals a "heavy-top" performance structure where a small percentage of the team drives the vast majority of the company's success. Nancy Freehafer alone accounts for nearly 24% of the total sales revenue across the eight individuals shown. This creates high "key-person risk." If Nancy were to leave the company, Globos Co. would immediately lose nearly a quarter of its sales volume.</a:t>
          </a:r>
        </a:p>
        <a:p>
          <a:pPr algn="l"/>
          <a:r>
            <a:rPr lang="en-US" sz="850" b="0" baseline="0">
              <a:solidFill>
                <a:schemeClr val="tx1"/>
              </a:solidFill>
            </a:rPr>
            <a:t>Anne Larsen’s total sales of $93,858.33 match the total revenue of the South region exactly to the cent. This suggests Anne is either the sole representative for the South or her performance is the single defining factor for that entire territory's health.</a:t>
          </a:r>
        </a:p>
        <a:p>
          <a:pPr algn="l"/>
          <a:r>
            <a:rPr lang="en-US" sz="850" b="0" baseline="0">
              <a:solidFill>
                <a:schemeClr val="tx1"/>
              </a:solidFill>
            </a:rPr>
            <a:t>There is a $37,071.84 gap between the second (Anne) and third (Andrew) performers, which is a larger drop-off than the entire total sales of the lowest performer, Jan Kotas ($16,350.50). The team is effectively split into "Superstars" (Top 2), "Core Performers" (Middle 5), and "Underperformers" (Bottom 1). While the top two performers get the most attention, the "Middle 5" (Andrew through Robert) represent the company's stability. The average sales for these five mid-tier performers is approximately $44,121. Moving just two of these "Core" performers up by 20% would yield more total revenue growth than doubling the output of the lowest performer. The disparity between the top and bottom of the chart is extreme. Nancy Freehafer is 6.3 times more productive than Jan Kotas in terms of revenue generated. This insight prompts a deep dive: Is this a difference in skill, or is Jan assigned to a territory (like the West) that has significantly lower market potential?</a:t>
          </a:r>
        </a:p>
        <a:p>
          <a:pPr algn="l"/>
          <a:endParaRPr lang="en-US" sz="850" b="0" baseline="0">
            <a:solidFill>
              <a:schemeClr val="tx1"/>
            </a:solidFill>
          </a:endParaRPr>
        </a:p>
        <a:p>
          <a:pPr algn="l"/>
          <a:r>
            <a:rPr lang="en-US" sz="850" b="1" baseline="0">
              <a:solidFill>
                <a:schemeClr val="tx1"/>
              </a:solidFill>
            </a:rPr>
            <a:t>Top 10 Customers pre insight</a:t>
          </a:r>
        </a:p>
        <a:p>
          <a:pPr algn="l"/>
          <a:r>
            <a:rPr lang="en-US" sz="850" b="0" baseline="0">
              <a:solidFill>
                <a:schemeClr val="tx1"/>
              </a:solidFill>
            </a:rPr>
            <a:t>Company D is a massive outlier, generating $67,180.50. It brings in more than triple the revenue of the 10th customer, Company K ($21,937.08). This highlights a classic high-dependency risk. While Company D is a fantastic asset, losing this single account would deal a catastrophic blow to this segment's total revenue compared to losing any other single client. Company D and Company H are well above the $50k mark.</a:t>
          </a:r>
        </a:p>
        <a:p>
          <a:pPr algn="l"/>
          <a:r>
            <a:rPr lang="en-US" sz="850" b="0" baseline="0">
              <a:solidFill>
                <a:schemeClr val="tx1"/>
              </a:solidFill>
            </a:rPr>
            <a:t>Company BB down to Company Z form a steady, stair-step decline between roughly $43k and $28k.</a:t>
          </a:r>
        </a:p>
        <a:p>
          <a:pPr algn="l"/>
          <a:r>
            <a:rPr lang="en-US" sz="850" b="0" baseline="0">
              <a:solidFill>
                <a:schemeClr val="tx1"/>
              </a:solidFill>
            </a:rPr>
            <a:t>Company C and Company K sit at the bottom, dipping below $27k. </a:t>
          </a:r>
        </a:p>
        <a:p>
          <a:pPr algn="l"/>
          <a:endParaRPr lang="en-US" sz="850" b="0" baseline="0">
            <a:solidFill>
              <a:schemeClr val="tx1"/>
            </a:solidFill>
          </a:endParaRPr>
        </a:p>
        <a:p>
          <a:pPr algn="l"/>
          <a:r>
            <a:rPr lang="en-US" sz="850" b="1" baseline="0">
              <a:solidFill>
                <a:schemeClr val="tx1"/>
              </a:solidFill>
            </a:rPr>
            <a:t>Sales Trend Report pre insight</a:t>
          </a:r>
        </a:p>
        <a:p>
          <a:pPr algn="l"/>
          <a:r>
            <a:rPr lang="en-US" sz="850" b="0" baseline="0">
              <a:solidFill>
                <a:schemeClr val="tx1"/>
              </a:solidFill>
            </a:rPr>
            <a:t>While the overall trendline is positive, the business is defined by "boom and bust" cycles. Sales swing dramatically, with the gap between a peak (June: $55,601.61) and a following trough (July: $27,318.54) exceeding 50%. The company currently lacks a "steady state" revenue stream. The business is highly dependent on high-volume months, which suggests a sales model driven by large, non-recurring, or seasonal contracts rather than consistent monthly subscriptions. This is a very positive sign of business health. Even when "sales are down," the baseline of what the company considers a "bad month" has increased by nearly 60% since February. This suggests the company is successfully building a stronger foundation of recurring revenue or smaller, consistent accounts.</a:t>
          </a:r>
        </a:p>
        <a:p>
          <a:pPr algn="l"/>
          <a:r>
            <a:rPr lang="en-US" sz="850" b="0" baseline="0">
              <a:solidFill>
                <a:schemeClr val="tx1"/>
              </a:solidFill>
            </a:rPr>
            <a:t>The year ends on its absolute highest point (December at $66,642.78), which is more than double the revenue of the previous month. The company is entering the next fiscal year with significant tailwinds. This peak suggests that growth strategies implemented earlier in the year (potentially around May/June) are compounding effectively by year-end.</a:t>
          </a:r>
        </a:p>
        <a:p>
          <a:pPr algn="l"/>
          <a:endParaRPr lang="en-US" sz="850" b="0" baseline="0">
            <a:solidFill>
              <a:schemeClr val="tx1"/>
            </a:solidFill>
          </a:endParaRPr>
        </a:p>
        <a:p>
          <a:pPr algn="l"/>
          <a:r>
            <a:rPr lang="en-US" sz="850" b="1" baseline="0">
              <a:solidFill>
                <a:schemeClr val="tx1"/>
              </a:solidFill>
            </a:rPr>
            <a:t>Product Category Performance pre insight</a:t>
          </a:r>
        </a:p>
        <a:p>
          <a:pPr algn="l"/>
          <a:r>
            <a:rPr lang="en-US" sz="850" b="0" baseline="0">
              <a:solidFill>
                <a:schemeClr val="tx1"/>
              </a:solidFill>
            </a:rPr>
            <a:t>Beverages ($110,577.11) is a massive anchor for the company, generating more revenue than the bottom three categories combined (Dairy, Dried Fruit, and Canned Meat total $86,594.70). While a flagship category is great, it exposes the business to high concentration risk. Any supply chain bottleneck, regulatory change, or intense competitive pricing pressure in the beverage market will disproportionately impact the company's total bottom line.</a:t>
          </a:r>
        </a:p>
        <a:p>
          <a:pPr algn="l"/>
          <a:r>
            <a:rPr lang="en-US" sz="850" b="0" baseline="0">
              <a:solidFill>
                <a:schemeClr val="tx1"/>
              </a:solidFill>
            </a:rPr>
            <a:t>Beverages and Sauces ($69,000.00) function as the primary revenue engines of the business, totaling $179,577.11. These two categories likely drive customer acquisition. They are your "foot-in-the-door" products that get the company onto the vendor lists of major clients. The strategic focus here should be on defending this market share at all costs.</a:t>
          </a:r>
        </a:p>
        <a:p>
          <a:pPr algn="l"/>
          <a:r>
            <a:rPr lang="en-US" sz="850" b="0" baseline="0">
              <a:solidFill>
                <a:schemeClr val="tx1"/>
              </a:solidFill>
            </a:rPr>
            <a:t>There is a sharp drop-off after your top three categories. Dairy Products ($33.1k), Dried Fruit &amp; Nuts ($28.0k), and Canned Meat ($25.5k) sit at the bottom, tightly clustered together. The small, uniform size of these three boxes suggests they are likely being treated as secondary or reactive product lines. However, because they are already generating baseline sales, they represent low-hanging fruit. A concerted effort to cross-sell Dried Fruits or Canned Meats to the existing, massive pool of Beverage/Sauce buyers could easily unlock hidden revenue.</a:t>
          </a:r>
        </a:p>
        <a:p>
          <a:pPr algn="l"/>
          <a:endParaRPr lang="en-US" sz="850" b="0" baseline="0">
            <a:solidFill>
              <a:schemeClr val="tx1"/>
            </a:solidFill>
          </a:endParaRPr>
        </a:p>
        <a:p>
          <a:pPr algn="l"/>
          <a:r>
            <a:rPr lang="en-US" sz="850" b="1" baseline="0">
              <a:solidFill>
                <a:schemeClr val="tx1"/>
              </a:solidFill>
            </a:rPr>
            <a:t>States' Performanace by Revenue pre insights</a:t>
          </a:r>
        </a:p>
        <a:p>
          <a:pPr algn="l"/>
          <a:r>
            <a:rPr lang="en-US" sz="850" b="1" baseline="0">
              <a:solidFill>
                <a:schemeClr val="tx1"/>
              </a:solidFill>
            </a:rPr>
            <a:t>Tier 1: High-Value Anchors (Over $50K): </a:t>
          </a:r>
          <a:r>
            <a:rPr lang="en-US" sz="850" b="0" baseline="0">
              <a:solidFill>
                <a:schemeClr val="tx1"/>
              </a:solidFill>
            </a:rPr>
            <a:t>New York ($67,180.50) and Oregon ($50,208.35) are the primary revenue engines. Florida also firmly sits in this top tier, displaying a dark green hue and a revenue figure starting with $50k (partially cut off but visually corresponding to the high end of the scale).</a:t>
          </a:r>
        </a:p>
        <a:p>
          <a:pPr algn="l"/>
          <a:r>
            <a:rPr lang="en-US" sz="850" b="1" baseline="0">
              <a:solidFill>
                <a:schemeClr val="tx1"/>
              </a:solidFill>
            </a:rPr>
            <a:t>Tier 2: Strong Mid-Market ($30K – $45K): </a:t>
          </a:r>
          <a:r>
            <a:rPr lang="en-US" sz="850" b="0" baseline="0">
              <a:solidFill>
                <a:schemeClr val="tx1"/>
              </a:solidFill>
            </a:rPr>
            <a:t>This tier is highly active and represents stable core revenue. It includes Tennessee ($43,711...), Illinois ($41,0...), Wisconsin ($37,4...), Washington ($36,839.99), and Utah ($32,530...).</a:t>
          </a:r>
        </a:p>
        <a:p>
          <a:pPr algn="l"/>
          <a:r>
            <a:rPr lang="en-US" sz="850" b="1" baseline="0">
              <a:solidFill>
                <a:schemeClr val="tx1"/>
              </a:solidFill>
            </a:rPr>
            <a:t>Tier 3: Emerging/Low-Yield Markets (Under $30K): </a:t>
          </a:r>
          <a:r>
            <a:rPr lang="en-US" sz="850" b="0" baseline="0">
              <a:solidFill>
                <a:schemeClr val="tx1"/>
              </a:solidFill>
            </a:rPr>
            <a:t>California ($27,0...), Idaho ($17,204.00), Colorado ($16,350.50), and Nevada ($15,365.50) lag significantly behind, anchoring the bottom of the active revenue scale.</a:t>
          </a:r>
        </a:p>
        <a:p>
          <a:pPr algn="l"/>
          <a:r>
            <a:rPr lang="en-US" sz="850" b="0" baseline="0">
              <a:solidFill>
                <a:schemeClr val="tx1"/>
              </a:solidFill>
            </a:rPr>
            <a:t>New York is the single largest revenue generator on the entire map, yet it stands completely alone on the East Coast. Every surrounding state is grey. This suggests that while the New York market is highly optimized, the company. has yet to leverage this massive success to capture adjacent northeastern markets (like New Jersey, Pennsylvania, or Connecticut).</a:t>
          </a:r>
        </a:p>
        <a:p>
          <a:pPr algn="l"/>
          <a:endParaRPr lang="en-US" sz="850" b="0" baseline="0">
            <a:solidFill>
              <a:schemeClr val="tx1"/>
            </a:solidFill>
          </a:endParaRPr>
        </a:p>
        <a:p>
          <a:pPr algn="l"/>
          <a:r>
            <a:rPr lang="en-US" sz="850" b="1" baseline="0">
              <a:solidFill>
                <a:schemeClr val="tx1"/>
              </a:solidFill>
            </a:rPr>
            <a:t>Cities' Performance by Revenue pre insights</a:t>
          </a:r>
        </a:p>
        <a:p>
          <a:pPr algn="l"/>
          <a:r>
            <a:rPr lang="en-US" sz="850" b="0" baseline="0">
              <a:solidFill>
                <a:schemeClr val="tx1"/>
              </a:solidFill>
            </a:rPr>
            <a:t>New York is the undisputed top performer, generating $67,180.50. It serves as the baseline for maximum performance. New York holds a massive lead over the next closest city (Portland), outperforming it by $16,972.15 (roughly a 34% lead). This visually emphasizes that New York is currently the company's most mature and lucrative city market.</a:t>
          </a:r>
        </a:p>
        <a:p>
          <a:pPr algn="l"/>
          <a:r>
            <a:rPr lang="en-US" sz="850" b="0" baseline="0">
              <a:solidFill>
                <a:schemeClr val="tx1"/>
              </a:solidFill>
            </a:rPr>
            <a:t>The most striking element is the near-identical performance of Portland ($50,208.35) and Miami ($50,145.33). They are separated by a mere $63.02. Despite being on completely opposite sides of the country with entirely different regional economics and climates, these two cities yield the exact same financial value for the company. They form a highly stable, secondary tier of "coastal anchors" just hitting the $50K milestone. Even the lowest-performing cities on this top-five list, Memphis ($43,713.00) and Chicago ($41,095.01), are performing remarkably well. Memphis leads Chicago by just $2,617.99. This tells us that the company's secondary markets are highly competitive with one another and maintain a strong revenue baseline of at least $40K.</a:t>
          </a:r>
        </a:p>
        <a:p>
          <a:pPr algn="l"/>
          <a:endParaRPr lang="en-US" sz="850" b="0" baseline="0">
            <a:solidFill>
              <a:schemeClr val="tx1"/>
            </a:solidFill>
          </a:endParaRPr>
        </a:p>
        <a:p>
          <a:pPr algn="l"/>
          <a:r>
            <a:rPr lang="en-US" sz="850" b="1" baseline="0">
              <a:solidFill>
                <a:schemeClr val="tx1"/>
              </a:solidFill>
            </a:rPr>
            <a:t>Top 6 Cities by Revenue pre insights</a:t>
          </a:r>
        </a:p>
        <a:p>
          <a:pPr algn="l"/>
          <a:r>
            <a:rPr lang="en-US" sz="850" b="0" baseline="0">
              <a:solidFill>
                <a:schemeClr val="tx1"/>
              </a:solidFill>
            </a:rPr>
            <a:t>The radar web is noticeably pulled upward toward New York, which sits at the absolute peak of the chart with $67,180.50. New York stretches significantly further from the center than any other city node. This immediate visual cue tells the audience that the relies heavily on this single market to drive its top-line shipping revenue benchmark.</a:t>
          </a:r>
        </a:p>
        <a:p>
          <a:pPr algn="l"/>
          <a:r>
            <a:rPr lang="en-US" sz="850" b="0" baseline="0">
              <a:solidFill>
                <a:schemeClr val="tx1"/>
              </a:solidFill>
            </a:rPr>
            <a:t>The left side of the radar chart displays striking visual symmetry between Portland ($50,208.35) and Miami ($50,145.33). Because the web forms a nearly straight vertical line between these two points on the left wing, it proves that the company has established two equally powerful, identical revenue pillars on opposite coasts of the United States, separated by a negligible $63.02. Chicago ($41,095.01) and Milwaukee ($37,428.00) sit adjacent to one another. Together, these two nearby Midwestern cities pull a combined total of $78,523.01 in shipping revenue. While individually smaller than New York or the coastal anchors, their geographic proximity means this specific wing of the radar chart represents a high-density pocket of business.</a:t>
          </a:r>
        </a:p>
        <a:p>
          <a:pPr algn="l"/>
          <a:r>
            <a:rPr lang="en-US" sz="850" b="0" baseline="0">
              <a:solidFill>
                <a:schemeClr val="tx1"/>
              </a:solidFill>
            </a:rPr>
            <a:t>Milwaukee ($37,428.00) represents the innermost point of the entire web. This establishes a clean visual baseline for the presentation. To be considered an elite, top-tier shipping city for Globos Co., a metro area must generate a minimum revenue threshold of roughly $37.5K.</a:t>
          </a:r>
        </a:p>
        <a:p>
          <a:pPr algn="l"/>
          <a:endParaRPr lang="en-US" sz="850" b="0" baseline="0">
            <a:solidFill>
              <a:schemeClr val="tx1"/>
            </a:solidFill>
          </a:endParaRPr>
        </a:p>
        <a:p>
          <a:pPr algn="l"/>
          <a:r>
            <a:rPr lang="en-US" sz="850" b="1" baseline="0">
              <a:solidFill>
                <a:schemeClr val="tx1"/>
              </a:solidFill>
            </a:rPr>
            <a:t>Transaction by Amount pre insights</a:t>
          </a:r>
        </a:p>
        <a:p>
          <a:pPr algn="l"/>
          <a:r>
            <a:rPr lang="en-US" sz="850" b="0" baseline="0">
              <a:solidFill>
                <a:schemeClr val="tx1"/>
              </a:solidFill>
            </a:rPr>
            <a:t>The 10–1010 bucket is the undisputed foundation of the company's transaction volume, capturing 221 transactions. Visually, its bar towers over every other category on the chart. This single bucket represents the vast majority of all company transactions combined. It demonstrates that the business functions primarily on a high-frequency, lower-value transactional model. 32 transactions in the 2010–3010 range and 23 in the 3010–4010 range. This rapid step-down illustrates that convincing high-frequency customers to cross the $1,010 threshold is a significant barrier for the company. Transactions above $6,010 are exceptionally rare anomalies. There are only 2 transactions in the 6010–7010 range and just 1 transaction at the apex of 7010–8010. The 5010–6010 bucket is entirely missing from the x-axis, highlighting a distinct gap in our transactional distribution where no business is occurring.</a:t>
          </a:r>
        </a:p>
        <a:p>
          <a:pPr algn="l"/>
          <a:endParaRPr lang="en-US" sz="850" b="0" baseline="0">
            <a:solidFill>
              <a:schemeClr val="tx1"/>
            </a:solidFill>
          </a:endParaRPr>
        </a:p>
        <a:p>
          <a:pPr algn="l"/>
          <a:endParaRPr lang="en-US" sz="850" b="0" baseline="0">
            <a:solidFill>
              <a:schemeClr val="tx1"/>
            </a:solidFill>
          </a:endParaRPr>
        </a:p>
        <a:p>
          <a:pPr algn="l"/>
          <a:endParaRPr lang="en-US" sz="850" b="0" baseline="0">
            <a:solidFill>
              <a:schemeClr val="tx1"/>
            </a:solidFill>
          </a:endParaRPr>
        </a:p>
        <a:p>
          <a:pPr algn="l"/>
          <a:endParaRPr lang="en-US" sz="850" b="0" baseline="0">
            <a:solidFill>
              <a:schemeClr val="tx1"/>
            </a:solidFill>
          </a:endParaRPr>
        </a:p>
        <a:p>
          <a:pPr algn="l"/>
          <a:endParaRPr lang="en-US" sz="850" b="0" baseline="0">
            <a:solidFill>
              <a:schemeClr val="tx1"/>
            </a:solidFill>
          </a:endParaRPr>
        </a:p>
        <a:p>
          <a:pPr algn="l"/>
          <a:endParaRPr lang="en-US" sz="850" b="0" baseline="0">
            <a:solidFill>
              <a:schemeClr val="tx1"/>
            </a:solidFill>
          </a:endParaRPr>
        </a:p>
        <a:p>
          <a:pPr algn="l"/>
          <a:endParaRPr lang="en-US" sz="850" b="0" baseline="0">
            <a:solidFill>
              <a:schemeClr val="tx1"/>
            </a:solidFill>
          </a:endParaRPr>
        </a:p>
        <a:p>
          <a:pPr algn="l"/>
          <a:endParaRPr lang="en-US" sz="850" b="0" baseline="0">
            <a:solidFill>
              <a:schemeClr val="tx1"/>
            </a:solidFill>
          </a:endParaRPr>
        </a:p>
        <a:p>
          <a:pPr algn="l"/>
          <a:endParaRPr lang="en-US" sz="850" b="0" baseline="0">
            <a:solidFill>
              <a:schemeClr val="tx1"/>
            </a:solidFill>
          </a:endParaRPr>
        </a:p>
        <a:p>
          <a:pPr algn="l"/>
          <a:endParaRPr lang="en-US" sz="850" b="0" baseline="0">
            <a:solidFill>
              <a:schemeClr val="tx1"/>
            </a:solidFill>
          </a:endParaRPr>
        </a:p>
        <a:p>
          <a:pPr algn="l"/>
          <a:endParaRPr lang="en-US" sz="850" b="0" baseline="0">
            <a:solidFill>
              <a:schemeClr val="tx1"/>
            </a:solidFill>
          </a:endParaRPr>
        </a:p>
        <a:p>
          <a:pPr algn="l"/>
          <a:endParaRPr lang="en-US" sz="850" b="0" baseline="0">
            <a:solidFill>
              <a:schemeClr val="tx1"/>
            </a:solidFill>
          </a:endParaRPr>
        </a:p>
        <a:p>
          <a:pPr algn="l"/>
          <a:endParaRPr lang="en-US" sz="850" b="0" baseline="0">
            <a:solidFill>
              <a:schemeClr val="tx1"/>
            </a:solidFill>
          </a:endParaRPr>
        </a:p>
        <a:p>
          <a:pPr algn="l"/>
          <a:endParaRPr lang="en-US" sz="850" b="0" baseline="0">
            <a:solidFill>
              <a:schemeClr val="tx1"/>
            </a:solidFill>
          </a:endParaRPr>
        </a:p>
        <a:p>
          <a:pPr algn="l"/>
          <a:endParaRPr lang="en-US" sz="850" b="0" baseline="0">
            <a:solidFill>
              <a:schemeClr val="tx1"/>
            </a:solidFill>
          </a:endParaRPr>
        </a:p>
        <a:p>
          <a:pPr algn="l"/>
          <a:endParaRPr lang="en-US" sz="850" b="0" baseline="0">
            <a:solidFill>
              <a:schemeClr val="tx1"/>
            </a:solidFill>
          </a:endParaRPr>
        </a:p>
        <a:p>
          <a:pPr algn="l"/>
          <a:endParaRPr lang="en-US" sz="850" b="0" baseline="0">
            <a:solidFill>
              <a:schemeClr val="tx1"/>
            </a:solidFill>
          </a:endParaRPr>
        </a:p>
        <a:p>
          <a:pPr algn="l"/>
          <a:endParaRPr lang="en-US" sz="850" b="0" baseline="0">
            <a:solidFill>
              <a:schemeClr val="tx1"/>
            </a:solidFill>
          </a:endParaRPr>
        </a:p>
        <a:p>
          <a:pPr algn="l"/>
          <a:endParaRPr lang="en-US" sz="850" b="0" baseline="0">
            <a:solidFill>
              <a:schemeClr val="tx1"/>
            </a:solidFill>
          </a:endParaRPr>
        </a:p>
        <a:p>
          <a:pPr algn="l"/>
          <a:endParaRPr lang="en-US" sz="850" b="0" baseline="0">
            <a:solidFill>
              <a:schemeClr val="tx1"/>
            </a:solidFill>
          </a:endParaRPr>
        </a:p>
        <a:p>
          <a:pPr algn="l"/>
          <a:endParaRPr lang="en-US" sz="850" b="0" baseline="0">
            <a:solidFill>
              <a:schemeClr val="tx1"/>
            </a:solidFill>
          </a:endParaRPr>
        </a:p>
        <a:p>
          <a:pPr algn="l"/>
          <a:endParaRPr lang="en-US" sz="900" b="0" baseline="0">
            <a:solidFill>
              <a:schemeClr val="tx1"/>
            </a:solidFill>
          </a:endParaRPr>
        </a:p>
        <a:p>
          <a:pPr algn="l"/>
          <a:endParaRPr lang="en-US" sz="900" b="0" baseline="0">
            <a:solidFill>
              <a:schemeClr val="tx1"/>
            </a:solidFill>
          </a:endParaRPr>
        </a:p>
        <a:p>
          <a:pPr algn="l"/>
          <a:endParaRPr lang="en-US" sz="900" b="0" baseline="0">
            <a:solidFill>
              <a:schemeClr val="tx1"/>
            </a:solidFill>
          </a:endParaRPr>
        </a:p>
        <a:p>
          <a:pPr algn="l"/>
          <a:endParaRPr lang="en-US" sz="900" b="0" baseline="0">
            <a:solidFill>
              <a:schemeClr val="tx1"/>
            </a:solidFill>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143123</xdr:colOff>
      <xdr:row>0</xdr:row>
      <xdr:rowOff>103366</xdr:rowOff>
    </xdr:from>
    <xdr:to>
      <xdr:col>22</xdr:col>
      <xdr:colOff>636103</xdr:colOff>
      <xdr:row>36</xdr:row>
      <xdr:rowOff>143122</xdr:rowOff>
    </xdr:to>
    <xdr:sp macro="" textlink="">
      <xdr:nvSpPr>
        <xdr:cNvPr id="2" name="Rectangle 1">
          <a:extLst>
            <a:ext uri="{FF2B5EF4-FFF2-40B4-BE49-F238E27FC236}">
              <a16:creationId xmlns:a16="http://schemas.microsoft.com/office/drawing/2014/main" id="{F0C15A78-FDC7-4491-B371-CD36E87D1B9A}"/>
            </a:ext>
          </a:extLst>
        </xdr:cNvPr>
        <xdr:cNvSpPr/>
      </xdr:nvSpPr>
      <xdr:spPr>
        <a:xfrm flipH="1" flipV="1">
          <a:off x="143123" y="103366"/>
          <a:ext cx="14487276" cy="6909683"/>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222637</xdr:colOff>
      <xdr:row>0</xdr:row>
      <xdr:rowOff>166977</xdr:rowOff>
    </xdr:from>
    <xdr:to>
      <xdr:col>3</xdr:col>
      <xdr:colOff>222638</xdr:colOff>
      <xdr:row>36</xdr:row>
      <xdr:rowOff>87464</xdr:rowOff>
    </xdr:to>
    <xdr:sp macro="" textlink="">
      <xdr:nvSpPr>
        <xdr:cNvPr id="3" name="Rectangle 2">
          <a:extLst>
            <a:ext uri="{FF2B5EF4-FFF2-40B4-BE49-F238E27FC236}">
              <a16:creationId xmlns:a16="http://schemas.microsoft.com/office/drawing/2014/main" id="{18FA20A0-AF5F-45C2-A0AC-BDEC01A53933}"/>
            </a:ext>
          </a:extLst>
        </xdr:cNvPr>
        <xdr:cNvSpPr/>
      </xdr:nvSpPr>
      <xdr:spPr>
        <a:xfrm>
          <a:off x="222637" y="166977"/>
          <a:ext cx="1908314" cy="679041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303477</xdr:colOff>
      <xdr:row>3</xdr:row>
      <xdr:rowOff>64940</xdr:rowOff>
    </xdr:from>
    <xdr:to>
      <xdr:col>12</xdr:col>
      <xdr:colOff>341906</xdr:colOff>
      <xdr:row>13</xdr:row>
      <xdr:rowOff>166976</xdr:rowOff>
    </xdr:to>
    <xdr:sp macro="" textlink="">
      <xdr:nvSpPr>
        <xdr:cNvPr id="4" name="Rectangle 3">
          <a:extLst>
            <a:ext uri="{FF2B5EF4-FFF2-40B4-BE49-F238E27FC236}">
              <a16:creationId xmlns:a16="http://schemas.microsoft.com/office/drawing/2014/main" id="{22058410-D497-4877-95B9-077348581F02}"/>
            </a:ext>
          </a:extLst>
        </xdr:cNvPr>
        <xdr:cNvSpPr/>
      </xdr:nvSpPr>
      <xdr:spPr>
        <a:xfrm>
          <a:off x="2211790" y="637434"/>
          <a:ext cx="5763368" cy="201034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296850</xdr:colOff>
      <xdr:row>0</xdr:row>
      <xdr:rowOff>185533</xdr:rowOff>
    </xdr:from>
    <xdr:to>
      <xdr:col>22</xdr:col>
      <xdr:colOff>469126</xdr:colOff>
      <xdr:row>3</xdr:row>
      <xdr:rowOff>4</xdr:rowOff>
    </xdr:to>
    <xdr:sp macro="" textlink="">
      <xdr:nvSpPr>
        <xdr:cNvPr id="5" name="Rectangle 4">
          <a:extLst>
            <a:ext uri="{FF2B5EF4-FFF2-40B4-BE49-F238E27FC236}">
              <a16:creationId xmlns:a16="http://schemas.microsoft.com/office/drawing/2014/main" id="{23D247C1-D2B1-4351-8BC4-2B55A4A0386C}"/>
            </a:ext>
          </a:extLst>
        </xdr:cNvPr>
        <xdr:cNvSpPr/>
      </xdr:nvSpPr>
      <xdr:spPr>
        <a:xfrm>
          <a:off x="2205163" y="185533"/>
          <a:ext cx="12258259" cy="38696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463828</xdr:colOff>
      <xdr:row>3</xdr:row>
      <xdr:rowOff>74217</xdr:rowOff>
    </xdr:from>
    <xdr:to>
      <xdr:col>22</xdr:col>
      <xdr:colOff>429369</xdr:colOff>
      <xdr:row>13</xdr:row>
      <xdr:rowOff>174856</xdr:rowOff>
    </xdr:to>
    <xdr:sp macro="" textlink="">
      <xdr:nvSpPr>
        <xdr:cNvPr id="6" name="Rectangle 5">
          <a:extLst>
            <a:ext uri="{FF2B5EF4-FFF2-40B4-BE49-F238E27FC236}">
              <a16:creationId xmlns:a16="http://schemas.microsoft.com/office/drawing/2014/main" id="{8FC2A31E-EE87-4675-AED1-3927A0755417}"/>
            </a:ext>
          </a:extLst>
        </xdr:cNvPr>
        <xdr:cNvSpPr/>
      </xdr:nvSpPr>
      <xdr:spPr>
        <a:xfrm>
          <a:off x="8097080" y="646711"/>
          <a:ext cx="6326585" cy="2008952"/>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310101</xdr:colOff>
      <xdr:row>14</xdr:row>
      <xdr:rowOff>66258</xdr:rowOff>
    </xdr:from>
    <xdr:to>
      <xdr:col>10</xdr:col>
      <xdr:colOff>71563</xdr:colOff>
      <xdr:row>25</xdr:row>
      <xdr:rowOff>128543</xdr:rowOff>
    </xdr:to>
    <xdr:sp macro="" textlink="">
      <xdr:nvSpPr>
        <xdr:cNvPr id="7" name="Rectangle 6">
          <a:extLst>
            <a:ext uri="{FF2B5EF4-FFF2-40B4-BE49-F238E27FC236}">
              <a16:creationId xmlns:a16="http://schemas.microsoft.com/office/drawing/2014/main" id="{CE415D01-0F21-41F1-B80D-DF8986438BA4}"/>
            </a:ext>
          </a:extLst>
        </xdr:cNvPr>
        <xdr:cNvSpPr/>
      </xdr:nvSpPr>
      <xdr:spPr>
        <a:xfrm>
          <a:off x="2218414" y="2737896"/>
          <a:ext cx="4214192" cy="216143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10</xdr:col>
      <xdr:colOff>176255</xdr:colOff>
      <xdr:row>14</xdr:row>
      <xdr:rowOff>59632</xdr:rowOff>
    </xdr:from>
    <xdr:to>
      <xdr:col>15</xdr:col>
      <xdr:colOff>413468</xdr:colOff>
      <xdr:row>25</xdr:row>
      <xdr:rowOff>121917</xdr:rowOff>
    </xdr:to>
    <xdr:sp macro="" textlink="">
      <xdr:nvSpPr>
        <xdr:cNvPr id="8" name="Rectangle 7">
          <a:extLst>
            <a:ext uri="{FF2B5EF4-FFF2-40B4-BE49-F238E27FC236}">
              <a16:creationId xmlns:a16="http://schemas.microsoft.com/office/drawing/2014/main" id="{2649C4E2-783A-424F-8872-86C21C64C87F}"/>
            </a:ext>
          </a:extLst>
        </xdr:cNvPr>
        <xdr:cNvSpPr/>
      </xdr:nvSpPr>
      <xdr:spPr>
        <a:xfrm>
          <a:off x="6537298" y="2731270"/>
          <a:ext cx="3417735" cy="216143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15</xdr:col>
      <xdr:colOff>526112</xdr:colOff>
      <xdr:row>14</xdr:row>
      <xdr:rowOff>43729</xdr:rowOff>
    </xdr:from>
    <xdr:to>
      <xdr:col>22</xdr:col>
      <xdr:colOff>421419</xdr:colOff>
      <xdr:row>25</xdr:row>
      <xdr:rowOff>106014</xdr:rowOff>
    </xdr:to>
    <xdr:sp macro="" textlink="">
      <xdr:nvSpPr>
        <xdr:cNvPr id="9" name="Rectangle 8">
          <a:extLst>
            <a:ext uri="{FF2B5EF4-FFF2-40B4-BE49-F238E27FC236}">
              <a16:creationId xmlns:a16="http://schemas.microsoft.com/office/drawing/2014/main" id="{36696CB4-1A1C-4E59-A77F-BFE802A7E617}"/>
            </a:ext>
          </a:extLst>
        </xdr:cNvPr>
        <xdr:cNvSpPr/>
      </xdr:nvSpPr>
      <xdr:spPr>
        <a:xfrm>
          <a:off x="10067677" y="2715367"/>
          <a:ext cx="4348038" cy="216143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296851</xdr:colOff>
      <xdr:row>25</xdr:row>
      <xdr:rowOff>185531</xdr:rowOff>
    </xdr:from>
    <xdr:to>
      <xdr:col>12</xdr:col>
      <xdr:colOff>198783</xdr:colOff>
      <xdr:row>36</xdr:row>
      <xdr:rowOff>79512</xdr:rowOff>
    </xdr:to>
    <xdr:sp macro="" textlink="">
      <xdr:nvSpPr>
        <xdr:cNvPr id="10" name="Rectangle 9">
          <a:extLst>
            <a:ext uri="{FF2B5EF4-FFF2-40B4-BE49-F238E27FC236}">
              <a16:creationId xmlns:a16="http://schemas.microsoft.com/office/drawing/2014/main" id="{12A0D530-DCF6-4BC2-85D5-A4D5B53188AA}"/>
            </a:ext>
          </a:extLst>
        </xdr:cNvPr>
        <xdr:cNvSpPr/>
      </xdr:nvSpPr>
      <xdr:spPr>
        <a:xfrm>
          <a:off x="2205164" y="4956314"/>
          <a:ext cx="5626871" cy="19931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294199</xdr:colOff>
      <xdr:row>25</xdr:row>
      <xdr:rowOff>178909</xdr:rowOff>
    </xdr:from>
    <xdr:to>
      <xdr:col>22</xdr:col>
      <xdr:colOff>437321</xdr:colOff>
      <xdr:row>36</xdr:row>
      <xdr:rowOff>88717</xdr:rowOff>
    </xdr:to>
    <xdr:sp macro="" textlink="">
      <xdr:nvSpPr>
        <xdr:cNvPr id="12" name="Rectangle 11">
          <a:extLst>
            <a:ext uri="{FF2B5EF4-FFF2-40B4-BE49-F238E27FC236}">
              <a16:creationId xmlns:a16="http://schemas.microsoft.com/office/drawing/2014/main" id="{8A6C1416-BEBD-434D-9411-0DC86B1B4762}"/>
            </a:ext>
          </a:extLst>
        </xdr:cNvPr>
        <xdr:cNvSpPr/>
      </xdr:nvSpPr>
      <xdr:spPr>
        <a:xfrm>
          <a:off x="7927451" y="4949692"/>
          <a:ext cx="6504166" cy="2008952"/>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87464</xdr:colOff>
      <xdr:row>1</xdr:row>
      <xdr:rowOff>2</xdr:rowOff>
    </xdr:from>
    <xdr:to>
      <xdr:col>23</xdr:col>
      <xdr:colOff>71561</xdr:colOff>
      <xdr:row>36</xdr:row>
      <xdr:rowOff>63612</xdr:rowOff>
    </xdr:to>
    <xdr:sp macro="" textlink="">
      <xdr:nvSpPr>
        <xdr:cNvPr id="2" name="Rectangle: Rounded Corners 1">
          <a:extLst>
            <a:ext uri="{FF2B5EF4-FFF2-40B4-BE49-F238E27FC236}">
              <a16:creationId xmlns:a16="http://schemas.microsoft.com/office/drawing/2014/main" id="{D8E7FD14-3292-457C-8E9C-7185D6D40298}"/>
            </a:ext>
          </a:extLst>
        </xdr:cNvPr>
        <xdr:cNvSpPr/>
      </xdr:nvSpPr>
      <xdr:spPr>
        <a:xfrm>
          <a:off x="87464" y="190833"/>
          <a:ext cx="14614497" cy="6742706"/>
        </a:xfrm>
        <a:prstGeom prst="roundRect">
          <a:avLst>
            <a:gd name="adj" fmla="val 2171"/>
          </a:avLst>
        </a:prstGeom>
        <a:solidFill>
          <a:srgbClr val="D9D9D9">
            <a:alpha val="6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163321</xdr:colOff>
      <xdr:row>1</xdr:row>
      <xdr:rowOff>119270</xdr:rowOff>
    </xdr:from>
    <xdr:to>
      <xdr:col>2</xdr:col>
      <xdr:colOff>206733</xdr:colOff>
      <xdr:row>35</xdr:row>
      <xdr:rowOff>151076</xdr:rowOff>
    </xdr:to>
    <xdr:sp macro="" textlink="">
      <xdr:nvSpPr>
        <xdr:cNvPr id="3" name="Rectangle: Rounded Corners 2">
          <a:extLst>
            <a:ext uri="{FF2B5EF4-FFF2-40B4-BE49-F238E27FC236}">
              <a16:creationId xmlns:a16="http://schemas.microsoft.com/office/drawing/2014/main" id="{67E10BE0-8AFF-4AE9-B8FE-813B66CF2F14}"/>
            </a:ext>
          </a:extLst>
        </xdr:cNvPr>
        <xdr:cNvSpPr/>
      </xdr:nvSpPr>
      <xdr:spPr>
        <a:xfrm>
          <a:off x="163321" y="310101"/>
          <a:ext cx="1315621" cy="6520071"/>
        </a:xfrm>
        <a:prstGeom prst="roundRect">
          <a:avLst>
            <a:gd name="adj" fmla="val 229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18</xdr:col>
      <xdr:colOff>461175</xdr:colOff>
      <xdr:row>4</xdr:row>
      <xdr:rowOff>151078</xdr:rowOff>
    </xdr:from>
    <xdr:to>
      <xdr:col>22</xdr:col>
      <xdr:colOff>588398</xdr:colOff>
      <xdr:row>9</xdr:row>
      <xdr:rowOff>143124</xdr:rowOff>
    </xdr:to>
    <xdr:sp macro="" textlink="">
      <xdr:nvSpPr>
        <xdr:cNvPr id="14" name="Rectangle: Rounded Corners 13">
          <a:extLst>
            <a:ext uri="{FF2B5EF4-FFF2-40B4-BE49-F238E27FC236}">
              <a16:creationId xmlns:a16="http://schemas.microsoft.com/office/drawing/2014/main" id="{D8435B02-EAE6-4A48-BCC5-FE20282406A6}"/>
            </a:ext>
          </a:extLst>
        </xdr:cNvPr>
        <xdr:cNvSpPr/>
      </xdr:nvSpPr>
      <xdr:spPr>
        <a:xfrm>
          <a:off x="11911053" y="914403"/>
          <a:ext cx="2671641" cy="946203"/>
        </a:xfrm>
        <a:prstGeom prst="roundRect">
          <a:avLst>
            <a:gd name="adj" fmla="val 526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294201</xdr:colOff>
      <xdr:row>23</xdr:row>
      <xdr:rowOff>86381</xdr:rowOff>
    </xdr:from>
    <xdr:to>
      <xdr:col>7</xdr:col>
      <xdr:colOff>238542</xdr:colOff>
      <xdr:row>35</xdr:row>
      <xdr:rowOff>128482</xdr:rowOff>
    </xdr:to>
    <xdr:sp macro="" textlink="">
      <xdr:nvSpPr>
        <xdr:cNvPr id="15" name="Rectangle: Rounded Corners 14">
          <a:extLst>
            <a:ext uri="{FF2B5EF4-FFF2-40B4-BE49-F238E27FC236}">
              <a16:creationId xmlns:a16="http://schemas.microsoft.com/office/drawing/2014/main" id="{FA007EBD-85F2-4E9E-BF4A-A5C163F3CDC0}"/>
            </a:ext>
          </a:extLst>
        </xdr:cNvPr>
        <xdr:cNvSpPr/>
      </xdr:nvSpPr>
      <xdr:spPr>
        <a:xfrm>
          <a:off x="1566410" y="4475501"/>
          <a:ext cx="3124862" cy="2332077"/>
        </a:xfrm>
        <a:prstGeom prst="roundRect">
          <a:avLst>
            <a:gd name="adj" fmla="val 5260"/>
          </a:avLst>
        </a:prstGeom>
        <a:solidFill>
          <a:schemeClr val="bg1"/>
        </a:solidFill>
        <a:ln>
          <a:noFill/>
        </a:ln>
        <a:effectLst>
          <a:outerShdw blurRad="50800" dist="38100" dir="5400000" algn="t" rotWithShape="0">
            <a:schemeClr val="accent6">
              <a:lumMod val="75000"/>
              <a:alpha val="76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7</xdr:col>
      <xdr:colOff>262390</xdr:colOff>
      <xdr:row>10</xdr:row>
      <xdr:rowOff>111322</xdr:rowOff>
    </xdr:from>
    <xdr:to>
      <xdr:col>12</xdr:col>
      <xdr:colOff>159023</xdr:colOff>
      <xdr:row>22</xdr:row>
      <xdr:rowOff>153112</xdr:rowOff>
    </xdr:to>
    <xdr:graphicFrame macro="">
      <xdr:nvGraphicFramePr>
        <xdr:cNvPr id="20" name="Chart 19">
          <a:extLst>
            <a:ext uri="{FF2B5EF4-FFF2-40B4-BE49-F238E27FC236}">
              <a16:creationId xmlns:a16="http://schemas.microsoft.com/office/drawing/2014/main" id="{EA021CD2-DCD3-4319-BE77-0981620B0F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286244</xdr:colOff>
      <xdr:row>10</xdr:row>
      <xdr:rowOff>102227</xdr:rowOff>
    </xdr:from>
    <xdr:to>
      <xdr:col>7</xdr:col>
      <xdr:colOff>198779</xdr:colOff>
      <xdr:row>22</xdr:row>
      <xdr:rowOff>145271</xdr:rowOff>
    </xdr:to>
    <xdr:graphicFrame macro="">
      <xdr:nvGraphicFramePr>
        <xdr:cNvPr id="23" name="Chart 22">
          <a:extLst>
            <a:ext uri="{FF2B5EF4-FFF2-40B4-BE49-F238E27FC236}">
              <a16:creationId xmlns:a16="http://schemas.microsoft.com/office/drawing/2014/main" id="{75F1EEB4-4802-4B6A-83B5-7D6214BDA2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230587</xdr:colOff>
      <xdr:row>10</xdr:row>
      <xdr:rowOff>134848</xdr:rowOff>
    </xdr:from>
    <xdr:to>
      <xdr:col>22</xdr:col>
      <xdr:colOff>620200</xdr:colOff>
      <xdr:row>22</xdr:row>
      <xdr:rowOff>159530</xdr:rowOff>
    </xdr:to>
    <xdr:graphicFrame macro="">
      <xdr:nvGraphicFramePr>
        <xdr:cNvPr id="24" name="Chart 23">
          <a:extLst>
            <a:ext uri="{FF2B5EF4-FFF2-40B4-BE49-F238E27FC236}">
              <a16:creationId xmlns:a16="http://schemas.microsoft.com/office/drawing/2014/main" id="{B0D93CC4-65CD-430D-A2DE-2C6FDC569C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318051</xdr:colOff>
      <xdr:row>23</xdr:row>
      <xdr:rowOff>103369</xdr:rowOff>
    </xdr:from>
    <xdr:to>
      <xdr:col>12</xdr:col>
      <xdr:colOff>238533</xdr:colOff>
      <xdr:row>35</xdr:row>
      <xdr:rowOff>119271</xdr:rowOff>
    </xdr:to>
    <xdr:graphicFrame macro="">
      <xdr:nvGraphicFramePr>
        <xdr:cNvPr id="25" name="Chart 24">
          <a:extLst>
            <a:ext uri="{FF2B5EF4-FFF2-40B4-BE49-F238E27FC236}">
              <a16:creationId xmlns:a16="http://schemas.microsoft.com/office/drawing/2014/main" id="{54B40929-E3A8-4411-AC7A-589390C7D7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7951</xdr:colOff>
      <xdr:row>23</xdr:row>
      <xdr:rowOff>88254</xdr:rowOff>
    </xdr:from>
    <xdr:to>
      <xdr:col>7</xdr:col>
      <xdr:colOff>135172</xdr:colOff>
      <xdr:row>35</xdr:row>
      <xdr:rowOff>28136</xdr:rowOff>
    </xdr:to>
    <mc:AlternateContent xmlns:mc="http://schemas.openxmlformats.org/markup-compatibility/2006">
      <mc:Choice xmlns:cx4="http://schemas.microsoft.com/office/drawing/2016/5/10/chartex" Requires="cx4">
        <xdr:graphicFrame macro="">
          <xdr:nvGraphicFramePr>
            <xdr:cNvPr id="26" name="Chart 25">
              <a:extLst>
                <a:ext uri="{FF2B5EF4-FFF2-40B4-BE49-F238E27FC236}">
                  <a16:creationId xmlns:a16="http://schemas.microsoft.com/office/drawing/2014/main" id="{18DB3F98-83D6-4209-9406-DB0525D1F91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280160" y="4477374"/>
              <a:ext cx="3307742" cy="2229858"/>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295524</xdr:colOff>
      <xdr:row>23</xdr:row>
      <xdr:rowOff>86189</xdr:rowOff>
    </xdr:from>
    <xdr:to>
      <xdr:col>5</xdr:col>
      <xdr:colOff>47709</xdr:colOff>
      <xdr:row>24</xdr:row>
      <xdr:rowOff>147343</xdr:rowOff>
    </xdr:to>
    <xdr:sp macro="" textlink="">
      <xdr:nvSpPr>
        <xdr:cNvPr id="27" name="TextBox 26">
          <a:extLst>
            <a:ext uri="{FF2B5EF4-FFF2-40B4-BE49-F238E27FC236}">
              <a16:creationId xmlns:a16="http://schemas.microsoft.com/office/drawing/2014/main" id="{557D705C-BFF1-4E67-A87F-6D65215AD916}"/>
            </a:ext>
          </a:extLst>
        </xdr:cNvPr>
        <xdr:cNvSpPr txBox="1"/>
      </xdr:nvSpPr>
      <xdr:spPr>
        <a:xfrm>
          <a:off x="1567733" y="4475309"/>
          <a:ext cx="1660498" cy="251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6">
                  <a:lumMod val="50000"/>
                </a:schemeClr>
              </a:solidFill>
              <a:latin typeface="Amasis MT Std" panose="02040802050304020203" pitchFamily="18" charset="0"/>
              <a:cs typeface="Angsana New" panose="020B0502040204020203" pitchFamily="18" charset="-34"/>
            </a:rPr>
            <a:t>States' Performance</a:t>
          </a:r>
          <a:endParaRPr lang="en-NG" sz="1100" b="1">
            <a:solidFill>
              <a:schemeClr val="accent6">
                <a:lumMod val="50000"/>
              </a:schemeClr>
            </a:solidFill>
            <a:latin typeface="Amasis MT Std" panose="02040802050304020203" pitchFamily="18" charset="0"/>
            <a:cs typeface="Angsana New" panose="020B0502040204020203" pitchFamily="18" charset="-34"/>
          </a:endParaRPr>
        </a:p>
      </xdr:txBody>
    </xdr:sp>
    <xdr:clientData/>
  </xdr:twoCellAnchor>
  <xdr:twoCellAnchor>
    <xdr:from>
      <xdr:col>12</xdr:col>
      <xdr:colOff>294194</xdr:colOff>
      <xdr:row>23</xdr:row>
      <xdr:rowOff>86743</xdr:rowOff>
    </xdr:from>
    <xdr:to>
      <xdr:col>17</xdr:col>
      <xdr:colOff>103364</xdr:colOff>
      <xdr:row>35</xdr:row>
      <xdr:rowOff>120114</xdr:rowOff>
    </xdr:to>
    <xdr:graphicFrame macro="">
      <xdr:nvGraphicFramePr>
        <xdr:cNvPr id="28" name="Chart 27">
          <a:extLst>
            <a:ext uri="{FF2B5EF4-FFF2-40B4-BE49-F238E27FC236}">
              <a16:creationId xmlns:a16="http://schemas.microsoft.com/office/drawing/2014/main" id="{F58D555D-70FF-43F5-99F7-93AD03884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166977</xdr:colOff>
      <xdr:row>23</xdr:row>
      <xdr:rowOff>77707</xdr:rowOff>
    </xdr:from>
    <xdr:to>
      <xdr:col>22</xdr:col>
      <xdr:colOff>628153</xdr:colOff>
      <xdr:row>35</xdr:row>
      <xdr:rowOff>137279</xdr:rowOff>
    </xdr:to>
    <xdr:sp macro="" textlink="">
      <xdr:nvSpPr>
        <xdr:cNvPr id="30" name="Rectangle: Rounded Corners 29">
          <a:extLst>
            <a:ext uri="{FF2B5EF4-FFF2-40B4-BE49-F238E27FC236}">
              <a16:creationId xmlns:a16="http://schemas.microsoft.com/office/drawing/2014/main" id="{987E4B88-BB8B-46A0-8E52-445136B03C42}"/>
            </a:ext>
          </a:extLst>
        </xdr:cNvPr>
        <xdr:cNvSpPr/>
      </xdr:nvSpPr>
      <xdr:spPr>
        <a:xfrm>
          <a:off x="10980751" y="4466827"/>
          <a:ext cx="3641698" cy="2349548"/>
        </a:xfrm>
        <a:prstGeom prst="roundRect">
          <a:avLst>
            <a:gd name="adj" fmla="val 5260"/>
          </a:avLst>
        </a:prstGeom>
        <a:solidFill>
          <a:schemeClr val="bg1"/>
        </a:solidFill>
        <a:ln>
          <a:noFill/>
        </a:ln>
        <a:effectLst>
          <a:outerShdw blurRad="50800" dist="38100" dir="5400000" algn="t" rotWithShape="0">
            <a:schemeClr val="accent6">
              <a:lumMod val="75000"/>
              <a:alpha val="76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17</xdr:col>
      <xdr:colOff>143123</xdr:colOff>
      <xdr:row>24</xdr:row>
      <xdr:rowOff>72103</xdr:rowOff>
    </xdr:from>
    <xdr:to>
      <xdr:col>22</xdr:col>
      <xdr:colOff>604299</xdr:colOff>
      <xdr:row>35</xdr:row>
      <xdr:rowOff>180227</xdr:rowOff>
    </xdr:to>
    <mc:AlternateContent xmlns:mc="http://schemas.openxmlformats.org/markup-compatibility/2006">
      <mc:Choice xmlns:cx1="http://schemas.microsoft.com/office/drawing/2015/9/8/chartex" Requires="cx1">
        <xdr:graphicFrame macro="">
          <xdr:nvGraphicFramePr>
            <xdr:cNvPr id="31" name="Chart 30">
              <a:extLst>
                <a:ext uri="{FF2B5EF4-FFF2-40B4-BE49-F238E27FC236}">
                  <a16:creationId xmlns:a16="http://schemas.microsoft.com/office/drawing/2014/main" id="{335BC576-9F43-43A6-B504-BFA8A5C57D3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956897" y="4652054"/>
              <a:ext cx="3641698" cy="2207269"/>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161675</xdr:colOff>
      <xdr:row>23</xdr:row>
      <xdr:rowOff>39736</xdr:rowOff>
    </xdr:from>
    <xdr:to>
      <xdr:col>20</xdr:col>
      <xdr:colOff>230586</xdr:colOff>
      <xdr:row>24</xdr:row>
      <xdr:rowOff>107928</xdr:rowOff>
    </xdr:to>
    <xdr:sp macro="" textlink="">
      <xdr:nvSpPr>
        <xdr:cNvPr id="32" name="TextBox 31">
          <a:extLst>
            <a:ext uri="{FF2B5EF4-FFF2-40B4-BE49-F238E27FC236}">
              <a16:creationId xmlns:a16="http://schemas.microsoft.com/office/drawing/2014/main" id="{3CC9AD4B-19EB-4EFC-8D2D-5C92C902E20B}"/>
            </a:ext>
          </a:extLst>
        </xdr:cNvPr>
        <xdr:cNvSpPr txBox="1"/>
      </xdr:nvSpPr>
      <xdr:spPr>
        <a:xfrm>
          <a:off x="10975449" y="4428856"/>
          <a:ext cx="1977224" cy="259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6">
                  <a:lumMod val="50000"/>
                </a:schemeClr>
              </a:solidFill>
              <a:latin typeface="Amasis MT Std" panose="02040802050304020203" pitchFamily="18" charset="0"/>
              <a:cs typeface="Angsana New" panose="020B0502040204020203" pitchFamily="18" charset="-34"/>
            </a:rPr>
            <a:t>Products' Performance</a:t>
          </a:r>
          <a:endParaRPr lang="en-NG" sz="1100" b="1">
            <a:solidFill>
              <a:schemeClr val="accent6">
                <a:lumMod val="50000"/>
              </a:schemeClr>
            </a:solidFill>
            <a:latin typeface="Amasis MT Std" panose="02040802050304020203" pitchFamily="18" charset="0"/>
            <a:cs typeface="Angsana New" panose="020B0502040204020203" pitchFamily="18" charset="-34"/>
          </a:endParaRPr>
        </a:p>
      </xdr:txBody>
    </xdr:sp>
    <xdr:clientData/>
  </xdr:twoCellAnchor>
  <xdr:twoCellAnchor>
    <xdr:from>
      <xdr:col>2</xdr:col>
      <xdr:colOff>310101</xdr:colOff>
      <xdr:row>4</xdr:row>
      <xdr:rowOff>103871</xdr:rowOff>
    </xdr:from>
    <xdr:to>
      <xdr:col>5</xdr:col>
      <xdr:colOff>238539</xdr:colOff>
      <xdr:row>10</xdr:row>
      <xdr:rowOff>7952</xdr:rowOff>
    </xdr:to>
    <xdr:grpSp>
      <xdr:nvGrpSpPr>
        <xdr:cNvPr id="6" name="Group 5">
          <a:extLst>
            <a:ext uri="{FF2B5EF4-FFF2-40B4-BE49-F238E27FC236}">
              <a16:creationId xmlns:a16="http://schemas.microsoft.com/office/drawing/2014/main" id="{B1F8ABF4-9E90-4F4F-AB2F-BE90B247D8C7}"/>
            </a:ext>
          </a:extLst>
        </xdr:cNvPr>
        <xdr:cNvGrpSpPr/>
      </xdr:nvGrpSpPr>
      <xdr:grpSpPr>
        <a:xfrm>
          <a:off x="1582310" y="867196"/>
          <a:ext cx="1836751" cy="1049069"/>
          <a:chOff x="1224500" y="628656"/>
          <a:chExt cx="2047129" cy="890050"/>
        </a:xfrm>
      </xdr:grpSpPr>
      <xdr:sp macro="" textlink="">
        <xdr:nvSpPr>
          <xdr:cNvPr id="71" name="Rectangle: Rounded Corners 70">
            <a:extLst>
              <a:ext uri="{FF2B5EF4-FFF2-40B4-BE49-F238E27FC236}">
                <a16:creationId xmlns:a16="http://schemas.microsoft.com/office/drawing/2014/main" id="{8A7928C6-B0A9-4275-9114-EC0BCEA43E40}"/>
              </a:ext>
            </a:extLst>
          </xdr:cNvPr>
          <xdr:cNvSpPr/>
        </xdr:nvSpPr>
        <xdr:spPr>
          <a:xfrm>
            <a:off x="1224500" y="628656"/>
            <a:ext cx="1959997" cy="886071"/>
          </a:xfrm>
          <a:prstGeom prst="roundRect">
            <a:avLst>
              <a:gd name="adj" fmla="val 5260"/>
            </a:avLst>
          </a:prstGeom>
          <a:solidFill>
            <a:srgbClr val="FF0000">
              <a:alpha val="2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5" name="Rectangle: Rounded Corners 4">
            <a:extLst>
              <a:ext uri="{FF2B5EF4-FFF2-40B4-BE49-F238E27FC236}">
                <a16:creationId xmlns:a16="http://schemas.microsoft.com/office/drawing/2014/main" id="{35BEBA9B-FC92-45A6-B16D-49C639803D0D}"/>
              </a:ext>
            </a:extLst>
          </xdr:cNvPr>
          <xdr:cNvSpPr/>
        </xdr:nvSpPr>
        <xdr:spPr>
          <a:xfrm>
            <a:off x="1264257" y="632635"/>
            <a:ext cx="1971922" cy="886071"/>
          </a:xfrm>
          <a:prstGeom prst="roundRect">
            <a:avLst>
              <a:gd name="adj" fmla="val 5260"/>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33" name="TextBox 32">
            <a:extLst>
              <a:ext uri="{FF2B5EF4-FFF2-40B4-BE49-F238E27FC236}">
                <a16:creationId xmlns:a16="http://schemas.microsoft.com/office/drawing/2014/main" id="{A86D12F9-242D-400C-8A20-DC692532DCDA}"/>
              </a:ext>
            </a:extLst>
          </xdr:cNvPr>
          <xdr:cNvSpPr txBox="1"/>
        </xdr:nvSpPr>
        <xdr:spPr>
          <a:xfrm>
            <a:off x="1242223" y="672489"/>
            <a:ext cx="2029406" cy="267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latin typeface="Amasis MT Std" panose="02040802050304020203" pitchFamily="18" charset="0"/>
                <a:cs typeface="Angsana New" panose="020B0502040204020203" pitchFamily="18" charset="-34"/>
              </a:rPr>
              <a:t>Top Performing Month</a:t>
            </a:r>
            <a:endParaRPr lang="en-NG" sz="1100" b="1">
              <a:solidFill>
                <a:schemeClr val="bg1"/>
              </a:solidFill>
              <a:latin typeface="Amasis MT Std" panose="02040802050304020203" pitchFamily="18" charset="0"/>
              <a:cs typeface="Angsana New" panose="020B0502040204020203" pitchFamily="18" charset="-34"/>
            </a:endParaRPr>
          </a:p>
        </xdr:txBody>
      </xdr:sp>
      <xdr:sp macro="" textlink="">
        <xdr:nvSpPr>
          <xdr:cNvPr id="34" name="TextBox 33">
            <a:extLst>
              <a:ext uri="{FF2B5EF4-FFF2-40B4-BE49-F238E27FC236}">
                <a16:creationId xmlns:a16="http://schemas.microsoft.com/office/drawing/2014/main" id="{43788C88-F25A-49DC-818D-78AA064D5E75}"/>
              </a:ext>
            </a:extLst>
          </xdr:cNvPr>
          <xdr:cNvSpPr txBox="1"/>
        </xdr:nvSpPr>
        <xdr:spPr>
          <a:xfrm>
            <a:off x="1543535" y="829708"/>
            <a:ext cx="1373615" cy="409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500" b="1">
                <a:solidFill>
                  <a:schemeClr val="bg1"/>
                </a:solidFill>
                <a:latin typeface="Amasis MT Std" panose="02040802050304020203" pitchFamily="18" charset="0"/>
                <a:cs typeface="Angsana New" panose="020B0502040204020203" pitchFamily="18" charset="-34"/>
              </a:rPr>
              <a:t>Dec.</a:t>
            </a:r>
            <a:endParaRPr lang="en-NG" sz="2500" b="1">
              <a:solidFill>
                <a:schemeClr val="bg1"/>
              </a:solidFill>
              <a:latin typeface="Amasis MT Std" panose="02040802050304020203" pitchFamily="18" charset="0"/>
              <a:cs typeface="Angsana New" panose="020B0502040204020203" pitchFamily="18" charset="-34"/>
            </a:endParaRPr>
          </a:p>
        </xdr:txBody>
      </xdr:sp>
      <xdr:sp macro="" textlink="">
        <xdr:nvSpPr>
          <xdr:cNvPr id="35" name="TextBox 34">
            <a:extLst>
              <a:ext uri="{FF2B5EF4-FFF2-40B4-BE49-F238E27FC236}">
                <a16:creationId xmlns:a16="http://schemas.microsoft.com/office/drawing/2014/main" id="{7CECE2A0-52DC-484D-9C6C-8C97EAF5FC84}"/>
              </a:ext>
            </a:extLst>
          </xdr:cNvPr>
          <xdr:cNvSpPr txBox="1"/>
        </xdr:nvSpPr>
        <xdr:spPr>
          <a:xfrm>
            <a:off x="1850668" y="1238359"/>
            <a:ext cx="759352" cy="267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latin typeface="Amasis MT Std" panose="02040802050304020203" pitchFamily="18" charset="0"/>
                <a:cs typeface="Angsana New" panose="020B0502040204020203" pitchFamily="18" charset="-34"/>
              </a:rPr>
              <a:t>66.7k</a:t>
            </a:r>
            <a:endParaRPr lang="en-NG" sz="1200" b="1">
              <a:solidFill>
                <a:schemeClr val="bg1"/>
              </a:solidFill>
              <a:latin typeface="Amasis MT Std" panose="02040802050304020203" pitchFamily="18" charset="0"/>
              <a:cs typeface="Angsana New" panose="020B0502040204020203" pitchFamily="18" charset="-34"/>
            </a:endParaRPr>
          </a:p>
        </xdr:txBody>
      </xdr:sp>
    </xdr:grpSp>
    <xdr:clientData/>
  </xdr:twoCellAnchor>
  <xdr:twoCellAnchor>
    <xdr:from>
      <xdr:col>5</xdr:col>
      <xdr:colOff>294204</xdr:colOff>
      <xdr:row>4</xdr:row>
      <xdr:rowOff>125073</xdr:rowOff>
    </xdr:from>
    <xdr:to>
      <xdr:col>8</xdr:col>
      <xdr:colOff>310107</xdr:colOff>
      <xdr:row>10</xdr:row>
      <xdr:rowOff>7953</xdr:rowOff>
    </xdr:to>
    <xdr:grpSp>
      <xdr:nvGrpSpPr>
        <xdr:cNvPr id="9" name="Group 8">
          <a:extLst>
            <a:ext uri="{FF2B5EF4-FFF2-40B4-BE49-F238E27FC236}">
              <a16:creationId xmlns:a16="http://schemas.microsoft.com/office/drawing/2014/main" id="{3C1AB0EF-4DA1-4337-A6A4-835B01183411}"/>
            </a:ext>
          </a:extLst>
        </xdr:cNvPr>
        <xdr:cNvGrpSpPr/>
      </xdr:nvGrpSpPr>
      <xdr:grpSpPr>
        <a:xfrm>
          <a:off x="3474726" y="888398"/>
          <a:ext cx="1924216" cy="1027868"/>
          <a:chOff x="3339547" y="626004"/>
          <a:chExt cx="2207433" cy="905950"/>
        </a:xfrm>
      </xdr:grpSpPr>
      <xdr:sp macro="" textlink="">
        <xdr:nvSpPr>
          <xdr:cNvPr id="70" name="Rectangle: Rounded Corners 69">
            <a:extLst>
              <a:ext uri="{FF2B5EF4-FFF2-40B4-BE49-F238E27FC236}">
                <a16:creationId xmlns:a16="http://schemas.microsoft.com/office/drawing/2014/main" id="{CD9C81D7-DA26-4792-859D-1D35FA2552DC}"/>
              </a:ext>
            </a:extLst>
          </xdr:cNvPr>
          <xdr:cNvSpPr/>
        </xdr:nvSpPr>
        <xdr:spPr>
          <a:xfrm>
            <a:off x="3339547" y="645883"/>
            <a:ext cx="1985173" cy="886071"/>
          </a:xfrm>
          <a:prstGeom prst="roundRect">
            <a:avLst>
              <a:gd name="adj" fmla="val 5260"/>
            </a:avLst>
          </a:prstGeom>
          <a:solidFill>
            <a:srgbClr val="FFFF00">
              <a:alpha val="23922"/>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endParaRPr lang="en-NG" sz="1100"/>
          </a:p>
        </xdr:txBody>
      </xdr:sp>
      <xdr:grpSp>
        <xdr:nvGrpSpPr>
          <xdr:cNvPr id="48" name="Group 47">
            <a:extLst>
              <a:ext uri="{FF2B5EF4-FFF2-40B4-BE49-F238E27FC236}">
                <a16:creationId xmlns:a16="http://schemas.microsoft.com/office/drawing/2014/main" id="{AA653402-54CD-41E5-AF61-D1A14D101B08}"/>
              </a:ext>
            </a:extLst>
          </xdr:cNvPr>
          <xdr:cNvGrpSpPr/>
        </xdr:nvGrpSpPr>
        <xdr:grpSpPr>
          <a:xfrm>
            <a:off x="3390587" y="626004"/>
            <a:ext cx="2156393" cy="886071"/>
            <a:chOff x="3390587" y="626004"/>
            <a:chExt cx="2156393" cy="886071"/>
          </a:xfrm>
        </xdr:grpSpPr>
        <xdr:sp macro="" textlink="">
          <xdr:nvSpPr>
            <xdr:cNvPr id="43" name="Rectangle: Rounded Corners 42">
              <a:extLst>
                <a:ext uri="{FF2B5EF4-FFF2-40B4-BE49-F238E27FC236}">
                  <a16:creationId xmlns:a16="http://schemas.microsoft.com/office/drawing/2014/main" id="{36E23DDA-BDA6-4099-A77D-1A161FC439C5}"/>
                </a:ext>
              </a:extLst>
            </xdr:cNvPr>
            <xdr:cNvSpPr/>
          </xdr:nvSpPr>
          <xdr:spPr>
            <a:xfrm>
              <a:off x="3390587" y="626004"/>
              <a:ext cx="2056056" cy="886071"/>
            </a:xfrm>
            <a:prstGeom prst="roundRect">
              <a:avLst>
                <a:gd name="adj" fmla="val 5260"/>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nvGrpSpPr>
            <xdr:cNvPr id="47" name="Group 46">
              <a:extLst>
                <a:ext uri="{FF2B5EF4-FFF2-40B4-BE49-F238E27FC236}">
                  <a16:creationId xmlns:a16="http://schemas.microsoft.com/office/drawing/2014/main" id="{3F68094A-FA4B-4B62-A6D6-04F6D8334A1C}"/>
                </a:ext>
              </a:extLst>
            </xdr:cNvPr>
            <xdr:cNvGrpSpPr/>
          </xdr:nvGrpSpPr>
          <xdr:grpSpPr>
            <a:xfrm>
              <a:off x="3403400" y="648034"/>
              <a:ext cx="2143580" cy="845694"/>
              <a:chOff x="3403400" y="648034"/>
              <a:chExt cx="2143580" cy="845694"/>
            </a:xfrm>
          </xdr:grpSpPr>
          <xdr:sp macro="" textlink="">
            <xdr:nvSpPr>
              <xdr:cNvPr id="44" name="TextBox 43">
                <a:extLst>
                  <a:ext uri="{FF2B5EF4-FFF2-40B4-BE49-F238E27FC236}">
                    <a16:creationId xmlns:a16="http://schemas.microsoft.com/office/drawing/2014/main" id="{9CE74446-1E09-4275-9BD1-FCBE361CE725}"/>
                  </a:ext>
                </a:extLst>
              </xdr:cNvPr>
              <xdr:cNvSpPr txBox="1"/>
            </xdr:nvSpPr>
            <xdr:spPr>
              <a:xfrm>
                <a:off x="3494612" y="648034"/>
                <a:ext cx="2052368" cy="267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latin typeface="Amasis MT Std" panose="02040802050304020203" pitchFamily="18" charset="0"/>
                    <a:cs typeface="Angsana New" panose="020B0502040204020203" pitchFamily="18" charset="-34"/>
                  </a:rPr>
                  <a:t>Customer of the Year</a:t>
                </a:r>
                <a:endParaRPr lang="en-NG" sz="1100" b="1">
                  <a:solidFill>
                    <a:schemeClr val="bg1"/>
                  </a:solidFill>
                  <a:latin typeface="Amasis MT Std" panose="02040802050304020203" pitchFamily="18" charset="0"/>
                  <a:cs typeface="Angsana New" panose="020B0502040204020203" pitchFamily="18" charset="-34"/>
                </a:endParaRPr>
              </a:p>
            </xdr:txBody>
          </xdr:sp>
          <xdr:sp macro="" textlink="">
            <xdr:nvSpPr>
              <xdr:cNvPr id="45" name="TextBox 44">
                <a:extLst>
                  <a:ext uri="{FF2B5EF4-FFF2-40B4-BE49-F238E27FC236}">
                    <a16:creationId xmlns:a16="http://schemas.microsoft.com/office/drawing/2014/main" id="{6C5C5CDE-56D4-498E-815B-B700AD2D5120}"/>
                  </a:ext>
                </a:extLst>
              </xdr:cNvPr>
              <xdr:cNvSpPr txBox="1"/>
            </xdr:nvSpPr>
            <xdr:spPr>
              <a:xfrm>
                <a:off x="3403400" y="816336"/>
                <a:ext cx="2052368" cy="409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1"/>
                    </a:solidFill>
                    <a:latin typeface="Amasis MT Std" panose="02040802050304020203" pitchFamily="18" charset="0"/>
                    <a:cs typeface="Angsana New" panose="020B0502040204020203" pitchFamily="18" charset="-34"/>
                  </a:rPr>
                  <a:t>Company D</a:t>
                </a:r>
                <a:endParaRPr lang="en-NG" sz="2000" b="1">
                  <a:solidFill>
                    <a:schemeClr val="bg1"/>
                  </a:solidFill>
                  <a:latin typeface="Amasis MT Std" panose="02040802050304020203" pitchFamily="18" charset="0"/>
                  <a:cs typeface="Angsana New" panose="020B0502040204020203" pitchFamily="18" charset="-34"/>
                </a:endParaRPr>
              </a:p>
            </xdr:txBody>
          </xdr:sp>
          <xdr:sp macro="" textlink="">
            <xdr:nvSpPr>
              <xdr:cNvPr id="46" name="TextBox 45">
                <a:extLst>
                  <a:ext uri="{FF2B5EF4-FFF2-40B4-BE49-F238E27FC236}">
                    <a16:creationId xmlns:a16="http://schemas.microsoft.com/office/drawing/2014/main" id="{53C8B42C-F01A-4A62-9DD2-3BC2CD9D1534}"/>
                  </a:ext>
                </a:extLst>
              </xdr:cNvPr>
              <xdr:cNvSpPr txBox="1"/>
            </xdr:nvSpPr>
            <xdr:spPr>
              <a:xfrm>
                <a:off x="4018366" y="1226035"/>
                <a:ext cx="759351" cy="267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latin typeface="Amasis MT Std" panose="02040802050304020203" pitchFamily="18" charset="0"/>
                    <a:cs typeface="Angsana New" panose="020B0502040204020203" pitchFamily="18" charset="-34"/>
                  </a:rPr>
                  <a:t>67</a:t>
                </a:r>
                <a:r>
                  <a:rPr lang="en-US" sz="1200" b="1" baseline="0">
                    <a:solidFill>
                      <a:schemeClr val="bg1"/>
                    </a:solidFill>
                    <a:latin typeface="Amasis MT Std" panose="02040802050304020203" pitchFamily="18" charset="0"/>
                    <a:cs typeface="Angsana New" panose="020B0502040204020203" pitchFamily="18" charset="-34"/>
                  </a:rPr>
                  <a:t>.1</a:t>
                </a:r>
                <a:r>
                  <a:rPr lang="en-US" sz="1200" b="1">
                    <a:solidFill>
                      <a:schemeClr val="bg1"/>
                    </a:solidFill>
                    <a:latin typeface="Amasis MT Std" panose="02040802050304020203" pitchFamily="18" charset="0"/>
                    <a:cs typeface="Angsana New" panose="020B0502040204020203" pitchFamily="18" charset="-34"/>
                  </a:rPr>
                  <a:t>k</a:t>
                </a:r>
                <a:endParaRPr lang="en-NG" sz="1200" b="1">
                  <a:solidFill>
                    <a:schemeClr val="bg1"/>
                  </a:solidFill>
                  <a:latin typeface="Amasis MT Std" panose="02040802050304020203" pitchFamily="18" charset="0"/>
                  <a:cs typeface="Angsana New" panose="020B0502040204020203" pitchFamily="18" charset="-34"/>
                </a:endParaRPr>
              </a:p>
            </xdr:txBody>
          </xdr:sp>
        </xdr:grpSp>
      </xdr:grpSp>
    </xdr:grpSp>
    <xdr:clientData/>
  </xdr:twoCellAnchor>
  <xdr:twoCellAnchor>
    <xdr:from>
      <xdr:col>8</xdr:col>
      <xdr:colOff>349861</xdr:colOff>
      <xdr:row>4</xdr:row>
      <xdr:rowOff>151099</xdr:rowOff>
    </xdr:from>
    <xdr:to>
      <xdr:col>11</xdr:col>
      <xdr:colOff>487683</xdr:colOff>
      <xdr:row>9</xdr:row>
      <xdr:rowOff>166978</xdr:rowOff>
    </xdr:to>
    <xdr:grpSp>
      <xdr:nvGrpSpPr>
        <xdr:cNvPr id="12" name="Group 11">
          <a:extLst>
            <a:ext uri="{FF2B5EF4-FFF2-40B4-BE49-F238E27FC236}">
              <a16:creationId xmlns:a16="http://schemas.microsoft.com/office/drawing/2014/main" id="{4A503356-BE82-4420-A186-EE1E88C7B5DD}"/>
            </a:ext>
          </a:extLst>
        </xdr:cNvPr>
        <xdr:cNvGrpSpPr/>
      </xdr:nvGrpSpPr>
      <xdr:grpSpPr>
        <a:xfrm>
          <a:off x="5438696" y="914424"/>
          <a:ext cx="2046135" cy="970036"/>
          <a:chOff x="5597717" y="619378"/>
          <a:chExt cx="2046135" cy="892698"/>
        </a:xfrm>
      </xdr:grpSpPr>
      <xdr:sp macro="" textlink="">
        <xdr:nvSpPr>
          <xdr:cNvPr id="67" name="Rectangle: Rounded Corners 66">
            <a:extLst>
              <a:ext uri="{FF2B5EF4-FFF2-40B4-BE49-F238E27FC236}">
                <a16:creationId xmlns:a16="http://schemas.microsoft.com/office/drawing/2014/main" id="{36A019A2-8C31-4865-AC23-8574495AC269}"/>
              </a:ext>
            </a:extLst>
          </xdr:cNvPr>
          <xdr:cNvSpPr/>
        </xdr:nvSpPr>
        <xdr:spPr>
          <a:xfrm>
            <a:off x="5597717" y="626005"/>
            <a:ext cx="2036859" cy="886071"/>
          </a:xfrm>
          <a:prstGeom prst="roundRect">
            <a:avLst>
              <a:gd name="adj" fmla="val 5260"/>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nvGrpSpPr>
          <xdr:cNvPr id="49" name="Group 48">
            <a:extLst>
              <a:ext uri="{FF2B5EF4-FFF2-40B4-BE49-F238E27FC236}">
                <a16:creationId xmlns:a16="http://schemas.microsoft.com/office/drawing/2014/main" id="{9B777A06-5F4A-4F4B-9A75-A35E9E9A9237}"/>
              </a:ext>
            </a:extLst>
          </xdr:cNvPr>
          <xdr:cNvGrpSpPr/>
        </xdr:nvGrpSpPr>
        <xdr:grpSpPr>
          <a:xfrm>
            <a:off x="5634179" y="619378"/>
            <a:ext cx="2009673" cy="886071"/>
            <a:chOff x="3390587" y="673710"/>
            <a:chExt cx="2009673" cy="886071"/>
          </a:xfrm>
        </xdr:grpSpPr>
        <xdr:sp macro="" textlink="">
          <xdr:nvSpPr>
            <xdr:cNvPr id="50" name="Rectangle: Rounded Corners 49">
              <a:extLst>
                <a:ext uri="{FF2B5EF4-FFF2-40B4-BE49-F238E27FC236}">
                  <a16:creationId xmlns:a16="http://schemas.microsoft.com/office/drawing/2014/main" id="{34E464BC-29F6-4449-96EB-C59DED652659}"/>
                </a:ext>
              </a:extLst>
            </xdr:cNvPr>
            <xdr:cNvSpPr/>
          </xdr:nvSpPr>
          <xdr:spPr>
            <a:xfrm>
              <a:off x="3390587" y="673710"/>
              <a:ext cx="1999072" cy="886071"/>
            </a:xfrm>
            <a:prstGeom prst="roundRect">
              <a:avLst>
                <a:gd name="adj" fmla="val 5260"/>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nvGrpSpPr>
            <xdr:cNvPr id="51" name="Group 50">
              <a:extLst>
                <a:ext uri="{FF2B5EF4-FFF2-40B4-BE49-F238E27FC236}">
                  <a16:creationId xmlns:a16="http://schemas.microsoft.com/office/drawing/2014/main" id="{76D9F7B1-36E5-4944-9B4C-3AC9EBA95E06}"/>
                </a:ext>
              </a:extLst>
            </xdr:cNvPr>
            <xdr:cNvGrpSpPr/>
          </xdr:nvGrpSpPr>
          <xdr:grpSpPr>
            <a:xfrm>
              <a:off x="3489298" y="678570"/>
              <a:ext cx="1910962" cy="834832"/>
              <a:chOff x="3489298" y="678570"/>
              <a:chExt cx="1910962" cy="834832"/>
            </a:xfrm>
          </xdr:grpSpPr>
          <xdr:sp macro="" textlink="">
            <xdr:nvSpPr>
              <xdr:cNvPr id="52" name="TextBox 51">
                <a:extLst>
                  <a:ext uri="{FF2B5EF4-FFF2-40B4-BE49-F238E27FC236}">
                    <a16:creationId xmlns:a16="http://schemas.microsoft.com/office/drawing/2014/main" id="{B270BD9A-D7E1-4225-AF68-D68F5C1D9118}"/>
                  </a:ext>
                </a:extLst>
              </xdr:cNvPr>
              <xdr:cNvSpPr txBox="1"/>
            </xdr:nvSpPr>
            <xdr:spPr>
              <a:xfrm>
                <a:off x="3489298" y="678570"/>
                <a:ext cx="1910962" cy="267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latin typeface="Amasis MT Std" panose="02040802050304020203" pitchFamily="18" charset="0"/>
                    <a:cs typeface="Angsana New" panose="020B0502040204020203" pitchFamily="18" charset="-34"/>
                  </a:rPr>
                  <a:t>Best</a:t>
                </a:r>
                <a:r>
                  <a:rPr lang="en-US" sz="1100" b="1" baseline="0">
                    <a:solidFill>
                      <a:schemeClr val="bg1"/>
                    </a:solidFill>
                    <a:latin typeface="Amasis MT Std" panose="02040802050304020203" pitchFamily="18" charset="0"/>
                    <a:cs typeface="Angsana New" panose="020B0502040204020203" pitchFamily="18" charset="-34"/>
                  </a:rPr>
                  <a:t> Region By Revenue</a:t>
                </a:r>
                <a:endParaRPr lang="en-NG" sz="1100" b="1">
                  <a:solidFill>
                    <a:schemeClr val="bg1"/>
                  </a:solidFill>
                  <a:latin typeface="Amasis MT Std" panose="02040802050304020203" pitchFamily="18" charset="0"/>
                  <a:cs typeface="Angsana New" panose="020B0502040204020203" pitchFamily="18" charset="-34"/>
                </a:endParaRPr>
              </a:p>
            </xdr:txBody>
          </xdr:sp>
          <xdr:sp macro="" textlink="">
            <xdr:nvSpPr>
              <xdr:cNvPr id="53" name="TextBox 52">
                <a:extLst>
                  <a:ext uri="{FF2B5EF4-FFF2-40B4-BE49-F238E27FC236}">
                    <a16:creationId xmlns:a16="http://schemas.microsoft.com/office/drawing/2014/main" id="{077E3278-5774-4D76-96ED-EDDA11D6D765}"/>
                  </a:ext>
                </a:extLst>
              </xdr:cNvPr>
              <xdr:cNvSpPr txBox="1"/>
            </xdr:nvSpPr>
            <xdr:spPr>
              <a:xfrm>
                <a:off x="3823253" y="862774"/>
                <a:ext cx="1099931" cy="409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500" b="1">
                    <a:solidFill>
                      <a:schemeClr val="bg1"/>
                    </a:solidFill>
                    <a:latin typeface="Amasis MT Std" panose="02040802050304020203" pitchFamily="18" charset="0"/>
                    <a:cs typeface="Angsana New" panose="020B0502040204020203" pitchFamily="18" charset="-34"/>
                  </a:rPr>
                  <a:t>North</a:t>
                </a:r>
                <a:endParaRPr lang="en-NG" sz="2500" b="1">
                  <a:solidFill>
                    <a:schemeClr val="bg1"/>
                  </a:solidFill>
                  <a:latin typeface="Amasis MT Std" panose="02040802050304020203" pitchFamily="18" charset="0"/>
                  <a:cs typeface="Angsana New" panose="020B0502040204020203" pitchFamily="18" charset="-34"/>
                </a:endParaRPr>
              </a:p>
            </xdr:txBody>
          </xdr:sp>
          <xdr:sp macro="" textlink="">
            <xdr:nvSpPr>
              <xdr:cNvPr id="54" name="TextBox 53">
                <a:extLst>
                  <a:ext uri="{FF2B5EF4-FFF2-40B4-BE49-F238E27FC236}">
                    <a16:creationId xmlns:a16="http://schemas.microsoft.com/office/drawing/2014/main" id="{AA818B11-E50A-40FB-8977-465C3669F6AC}"/>
                  </a:ext>
                </a:extLst>
              </xdr:cNvPr>
              <xdr:cNvSpPr txBox="1"/>
            </xdr:nvSpPr>
            <xdr:spPr>
              <a:xfrm>
                <a:off x="3901442" y="1245709"/>
                <a:ext cx="759351" cy="267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latin typeface="Amasis MT Std" panose="02040802050304020203" pitchFamily="18" charset="0"/>
                    <a:cs typeface="Angsana New" panose="020B0502040204020203" pitchFamily="18" charset="-34"/>
                  </a:rPr>
                  <a:t>91.2k</a:t>
                </a:r>
                <a:endParaRPr lang="en-NG" sz="1200" b="1">
                  <a:solidFill>
                    <a:schemeClr val="bg1"/>
                  </a:solidFill>
                  <a:latin typeface="Amasis MT Std" panose="02040802050304020203" pitchFamily="18" charset="0"/>
                  <a:cs typeface="Angsana New" panose="020B0502040204020203" pitchFamily="18" charset="-34"/>
                </a:endParaRPr>
              </a:p>
            </xdr:txBody>
          </xdr:sp>
        </xdr:grpSp>
      </xdr:grpSp>
    </xdr:grpSp>
    <xdr:clientData/>
  </xdr:twoCellAnchor>
  <xdr:twoCellAnchor>
    <xdr:from>
      <xdr:col>11</xdr:col>
      <xdr:colOff>612256</xdr:colOff>
      <xdr:row>4</xdr:row>
      <xdr:rowOff>133854</xdr:rowOff>
    </xdr:from>
    <xdr:to>
      <xdr:col>15</xdr:col>
      <xdr:colOff>123250</xdr:colOff>
      <xdr:row>9</xdr:row>
      <xdr:rowOff>151077</xdr:rowOff>
    </xdr:to>
    <xdr:grpSp>
      <xdr:nvGrpSpPr>
        <xdr:cNvPr id="16" name="Group 15">
          <a:extLst>
            <a:ext uri="{FF2B5EF4-FFF2-40B4-BE49-F238E27FC236}">
              <a16:creationId xmlns:a16="http://schemas.microsoft.com/office/drawing/2014/main" id="{E7AE2D7C-96C9-4961-8DAF-6E06BB52E78F}"/>
            </a:ext>
          </a:extLst>
        </xdr:cNvPr>
        <xdr:cNvGrpSpPr/>
      </xdr:nvGrpSpPr>
      <xdr:grpSpPr>
        <a:xfrm>
          <a:off x="7609404" y="897179"/>
          <a:ext cx="2055411" cy="971380"/>
          <a:chOff x="7800229" y="610929"/>
          <a:chExt cx="2055411" cy="902472"/>
        </a:xfrm>
      </xdr:grpSpPr>
      <xdr:sp macro="" textlink="">
        <xdr:nvSpPr>
          <xdr:cNvPr id="68" name="Rectangle: Rounded Corners 67">
            <a:extLst>
              <a:ext uri="{FF2B5EF4-FFF2-40B4-BE49-F238E27FC236}">
                <a16:creationId xmlns:a16="http://schemas.microsoft.com/office/drawing/2014/main" id="{E15A1B3E-AC91-4151-85B9-28475027DE77}"/>
              </a:ext>
            </a:extLst>
          </xdr:cNvPr>
          <xdr:cNvSpPr/>
        </xdr:nvSpPr>
        <xdr:spPr>
          <a:xfrm>
            <a:off x="7800229" y="627330"/>
            <a:ext cx="2022279" cy="886071"/>
          </a:xfrm>
          <a:prstGeom prst="roundRect">
            <a:avLst>
              <a:gd name="adj" fmla="val 5260"/>
            </a:avLst>
          </a:prstGeom>
          <a:solidFill>
            <a:schemeClr val="accent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nvGrpSpPr>
          <xdr:cNvPr id="55" name="Group 54">
            <a:extLst>
              <a:ext uri="{FF2B5EF4-FFF2-40B4-BE49-F238E27FC236}">
                <a16:creationId xmlns:a16="http://schemas.microsoft.com/office/drawing/2014/main" id="{45D10344-1F0B-40C1-BAC0-27871C52239E}"/>
              </a:ext>
            </a:extLst>
          </xdr:cNvPr>
          <xdr:cNvGrpSpPr/>
        </xdr:nvGrpSpPr>
        <xdr:grpSpPr>
          <a:xfrm>
            <a:off x="7838017" y="610929"/>
            <a:ext cx="2017623" cy="895845"/>
            <a:chOff x="3390587" y="663936"/>
            <a:chExt cx="2017623" cy="895845"/>
          </a:xfrm>
        </xdr:grpSpPr>
        <xdr:sp macro="" textlink="">
          <xdr:nvSpPr>
            <xdr:cNvPr id="56" name="Rectangle: Rounded Corners 55">
              <a:extLst>
                <a:ext uri="{FF2B5EF4-FFF2-40B4-BE49-F238E27FC236}">
                  <a16:creationId xmlns:a16="http://schemas.microsoft.com/office/drawing/2014/main" id="{A7E671D5-CF9D-4EE8-91C8-95B516FEF32F}"/>
                </a:ext>
              </a:extLst>
            </xdr:cNvPr>
            <xdr:cNvSpPr/>
          </xdr:nvSpPr>
          <xdr:spPr>
            <a:xfrm>
              <a:off x="3390587" y="673710"/>
              <a:ext cx="1997746" cy="886071"/>
            </a:xfrm>
            <a:prstGeom prst="roundRect">
              <a:avLst>
                <a:gd name="adj" fmla="val 5260"/>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nvGrpSpPr>
            <xdr:cNvPr id="57" name="Group 56">
              <a:extLst>
                <a:ext uri="{FF2B5EF4-FFF2-40B4-BE49-F238E27FC236}">
                  <a16:creationId xmlns:a16="http://schemas.microsoft.com/office/drawing/2014/main" id="{C231ECB5-AC7F-457D-9BB0-986892B3A828}"/>
                </a:ext>
              </a:extLst>
            </xdr:cNvPr>
            <xdr:cNvGrpSpPr/>
          </xdr:nvGrpSpPr>
          <xdr:grpSpPr>
            <a:xfrm>
              <a:off x="3480020" y="663936"/>
              <a:ext cx="1928190" cy="849466"/>
              <a:chOff x="3480020" y="663936"/>
              <a:chExt cx="1928190" cy="849466"/>
            </a:xfrm>
          </xdr:grpSpPr>
          <xdr:sp macro="" textlink="">
            <xdr:nvSpPr>
              <xdr:cNvPr id="58" name="TextBox 57">
                <a:extLst>
                  <a:ext uri="{FF2B5EF4-FFF2-40B4-BE49-F238E27FC236}">
                    <a16:creationId xmlns:a16="http://schemas.microsoft.com/office/drawing/2014/main" id="{C853A867-5C68-419E-BC00-EF2B2CF80A91}"/>
                  </a:ext>
                </a:extLst>
              </xdr:cNvPr>
              <xdr:cNvSpPr txBox="1"/>
            </xdr:nvSpPr>
            <xdr:spPr>
              <a:xfrm>
                <a:off x="3685427" y="663936"/>
                <a:ext cx="1722783" cy="267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latin typeface="Amasis MT Std" panose="02040802050304020203" pitchFamily="18" charset="0"/>
                    <a:cs typeface="Angsana New" panose="020B0502040204020203" pitchFamily="18" charset="-34"/>
                  </a:rPr>
                  <a:t>Top Grossing State</a:t>
                </a:r>
                <a:endParaRPr lang="en-NG" sz="1100" b="1">
                  <a:solidFill>
                    <a:schemeClr val="bg1"/>
                  </a:solidFill>
                  <a:latin typeface="Amasis MT Std" panose="02040802050304020203" pitchFamily="18" charset="0"/>
                  <a:cs typeface="Angsana New" panose="020B0502040204020203" pitchFamily="18" charset="-34"/>
                </a:endParaRPr>
              </a:p>
            </xdr:txBody>
          </xdr:sp>
          <xdr:sp macro="" textlink="">
            <xdr:nvSpPr>
              <xdr:cNvPr id="59" name="TextBox 58">
                <a:extLst>
                  <a:ext uri="{FF2B5EF4-FFF2-40B4-BE49-F238E27FC236}">
                    <a16:creationId xmlns:a16="http://schemas.microsoft.com/office/drawing/2014/main" id="{36A6461B-1CCA-45EC-B3E0-D06947CDC8EB}"/>
                  </a:ext>
                </a:extLst>
              </xdr:cNvPr>
              <xdr:cNvSpPr txBox="1"/>
            </xdr:nvSpPr>
            <xdr:spPr>
              <a:xfrm>
                <a:off x="3480020" y="864043"/>
                <a:ext cx="1796995" cy="409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500" b="1">
                    <a:solidFill>
                      <a:schemeClr val="bg1"/>
                    </a:solidFill>
                    <a:latin typeface="Amasis MT Std" panose="02040802050304020203" pitchFamily="18" charset="0"/>
                    <a:cs typeface="Angsana New" panose="020B0502040204020203" pitchFamily="18" charset="-34"/>
                  </a:rPr>
                  <a:t>New York</a:t>
                </a:r>
                <a:endParaRPr lang="en-NG" sz="2500" b="1">
                  <a:solidFill>
                    <a:schemeClr val="bg1"/>
                  </a:solidFill>
                  <a:latin typeface="Amasis MT Std" panose="02040802050304020203" pitchFamily="18" charset="0"/>
                  <a:cs typeface="Angsana New" panose="020B0502040204020203" pitchFamily="18" charset="-34"/>
                </a:endParaRPr>
              </a:p>
            </xdr:txBody>
          </xdr:sp>
          <xdr:sp macro="" textlink="">
            <xdr:nvSpPr>
              <xdr:cNvPr id="60" name="TextBox 59">
                <a:extLst>
                  <a:ext uri="{FF2B5EF4-FFF2-40B4-BE49-F238E27FC236}">
                    <a16:creationId xmlns:a16="http://schemas.microsoft.com/office/drawing/2014/main" id="{90071982-1583-4789-A58D-152A93544601}"/>
                  </a:ext>
                </a:extLst>
              </xdr:cNvPr>
              <xdr:cNvSpPr txBox="1"/>
            </xdr:nvSpPr>
            <xdr:spPr>
              <a:xfrm>
                <a:off x="4036609" y="1245709"/>
                <a:ext cx="759351" cy="267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latin typeface="Amasis MT Std" panose="02040802050304020203" pitchFamily="18" charset="0"/>
                    <a:cs typeface="Angsana New" panose="020B0502040204020203" pitchFamily="18" charset="-34"/>
                  </a:rPr>
                  <a:t>67.1k</a:t>
                </a:r>
                <a:endParaRPr lang="en-NG" sz="1200" b="1">
                  <a:solidFill>
                    <a:schemeClr val="bg1"/>
                  </a:solidFill>
                  <a:latin typeface="Amasis MT Std" panose="02040802050304020203" pitchFamily="18" charset="0"/>
                  <a:cs typeface="Angsana New" panose="020B0502040204020203" pitchFamily="18" charset="-34"/>
                </a:endParaRPr>
              </a:p>
            </xdr:txBody>
          </xdr:sp>
        </xdr:grpSp>
      </xdr:grpSp>
    </xdr:grpSp>
    <xdr:clientData/>
  </xdr:twoCellAnchor>
  <xdr:twoCellAnchor>
    <xdr:from>
      <xdr:col>15</xdr:col>
      <xdr:colOff>198787</xdr:colOff>
      <xdr:row>4</xdr:row>
      <xdr:rowOff>143656</xdr:rowOff>
    </xdr:from>
    <xdr:to>
      <xdr:col>18</xdr:col>
      <xdr:colOff>326008</xdr:colOff>
      <xdr:row>9</xdr:row>
      <xdr:rowOff>143125</xdr:rowOff>
    </xdr:to>
    <xdr:grpSp>
      <xdr:nvGrpSpPr>
        <xdr:cNvPr id="17" name="Group 16">
          <a:extLst>
            <a:ext uri="{FF2B5EF4-FFF2-40B4-BE49-F238E27FC236}">
              <a16:creationId xmlns:a16="http://schemas.microsoft.com/office/drawing/2014/main" id="{069F69F2-4ECE-4D89-93F7-F63E099A7AC0}"/>
            </a:ext>
          </a:extLst>
        </xdr:cNvPr>
        <xdr:cNvGrpSpPr/>
      </xdr:nvGrpSpPr>
      <xdr:grpSpPr>
        <a:xfrm>
          <a:off x="9740352" y="906981"/>
          <a:ext cx="2035534" cy="953626"/>
          <a:chOff x="9994789" y="644557"/>
          <a:chExt cx="2035534" cy="895347"/>
        </a:xfrm>
      </xdr:grpSpPr>
      <xdr:sp macro="" textlink="">
        <xdr:nvSpPr>
          <xdr:cNvPr id="69" name="Rectangle: Rounded Corners 68">
            <a:extLst>
              <a:ext uri="{FF2B5EF4-FFF2-40B4-BE49-F238E27FC236}">
                <a16:creationId xmlns:a16="http://schemas.microsoft.com/office/drawing/2014/main" id="{54AB1EB8-5B53-49AD-BBAE-C13F2EC968AC}"/>
              </a:ext>
            </a:extLst>
          </xdr:cNvPr>
          <xdr:cNvSpPr/>
        </xdr:nvSpPr>
        <xdr:spPr>
          <a:xfrm>
            <a:off x="9994789" y="644557"/>
            <a:ext cx="1967945" cy="886071"/>
          </a:xfrm>
          <a:prstGeom prst="roundRect">
            <a:avLst>
              <a:gd name="adj" fmla="val 5260"/>
            </a:avLst>
          </a:prstGeom>
          <a:solidFill>
            <a:srgbClr val="7030A0">
              <a:alpha val="23922"/>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endParaRPr lang="en-NG" sz="1100"/>
          </a:p>
        </xdr:txBody>
      </xdr:sp>
      <xdr:grpSp>
        <xdr:nvGrpSpPr>
          <xdr:cNvPr id="61" name="Group 60">
            <a:extLst>
              <a:ext uri="{FF2B5EF4-FFF2-40B4-BE49-F238E27FC236}">
                <a16:creationId xmlns:a16="http://schemas.microsoft.com/office/drawing/2014/main" id="{ED52C9E1-EB10-4CB5-B23E-CCAD591A98EE}"/>
              </a:ext>
            </a:extLst>
          </xdr:cNvPr>
          <xdr:cNvGrpSpPr/>
        </xdr:nvGrpSpPr>
        <xdr:grpSpPr>
          <a:xfrm>
            <a:off x="10025951" y="651524"/>
            <a:ext cx="2004372" cy="888380"/>
            <a:chOff x="3390587" y="671401"/>
            <a:chExt cx="2004372" cy="888380"/>
          </a:xfrm>
        </xdr:grpSpPr>
        <xdr:sp macro="" textlink="">
          <xdr:nvSpPr>
            <xdr:cNvPr id="62" name="Rectangle: Rounded Corners 61">
              <a:extLst>
                <a:ext uri="{FF2B5EF4-FFF2-40B4-BE49-F238E27FC236}">
                  <a16:creationId xmlns:a16="http://schemas.microsoft.com/office/drawing/2014/main" id="{7EBC10F7-D77E-45CF-B5D6-C5F91D37B587}"/>
                </a:ext>
              </a:extLst>
            </xdr:cNvPr>
            <xdr:cNvSpPr/>
          </xdr:nvSpPr>
          <xdr:spPr>
            <a:xfrm>
              <a:off x="3390587" y="673710"/>
              <a:ext cx="2004372" cy="886071"/>
            </a:xfrm>
            <a:prstGeom prst="roundRect">
              <a:avLst>
                <a:gd name="adj" fmla="val 5260"/>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nvGrpSpPr>
            <xdr:cNvPr id="63" name="Group 62">
              <a:extLst>
                <a:ext uri="{FF2B5EF4-FFF2-40B4-BE49-F238E27FC236}">
                  <a16:creationId xmlns:a16="http://schemas.microsoft.com/office/drawing/2014/main" id="{CB7D2274-32B6-491D-A1EC-83FB412FA28B}"/>
                </a:ext>
              </a:extLst>
            </xdr:cNvPr>
            <xdr:cNvGrpSpPr/>
          </xdr:nvGrpSpPr>
          <xdr:grpSpPr>
            <a:xfrm>
              <a:off x="3462792" y="671401"/>
              <a:ext cx="1905663" cy="842001"/>
              <a:chOff x="3462792" y="671401"/>
              <a:chExt cx="1905663" cy="842001"/>
            </a:xfrm>
          </xdr:grpSpPr>
          <xdr:sp macro="" textlink="">
            <xdr:nvSpPr>
              <xdr:cNvPr id="64" name="TextBox 63">
                <a:extLst>
                  <a:ext uri="{FF2B5EF4-FFF2-40B4-BE49-F238E27FC236}">
                    <a16:creationId xmlns:a16="http://schemas.microsoft.com/office/drawing/2014/main" id="{2629C4F9-3485-4D68-905F-78D24E330EDA}"/>
                  </a:ext>
                </a:extLst>
              </xdr:cNvPr>
              <xdr:cNvSpPr txBox="1"/>
            </xdr:nvSpPr>
            <xdr:spPr>
              <a:xfrm>
                <a:off x="3645672" y="671401"/>
                <a:ext cx="1722783" cy="267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latin typeface="Amasis MT Std" panose="02040802050304020203" pitchFamily="18" charset="0"/>
                    <a:cs typeface="Angsana New" panose="020B0502040204020203" pitchFamily="18" charset="-34"/>
                  </a:rPr>
                  <a:t>Product of the Year</a:t>
                </a:r>
                <a:endParaRPr lang="en-NG" sz="1100" b="1">
                  <a:solidFill>
                    <a:schemeClr val="bg1"/>
                  </a:solidFill>
                  <a:latin typeface="Amasis MT Std" panose="02040802050304020203" pitchFamily="18" charset="0"/>
                  <a:cs typeface="Angsana New" panose="020B0502040204020203" pitchFamily="18" charset="-34"/>
                </a:endParaRPr>
              </a:p>
            </xdr:txBody>
          </xdr:sp>
          <xdr:sp macro="" textlink="">
            <xdr:nvSpPr>
              <xdr:cNvPr id="65" name="TextBox 64">
                <a:extLst>
                  <a:ext uri="{FF2B5EF4-FFF2-40B4-BE49-F238E27FC236}">
                    <a16:creationId xmlns:a16="http://schemas.microsoft.com/office/drawing/2014/main" id="{A59BF62E-EF3F-422D-82E8-A4DDD9EE7EE2}"/>
                  </a:ext>
                </a:extLst>
              </xdr:cNvPr>
              <xdr:cNvSpPr txBox="1"/>
            </xdr:nvSpPr>
            <xdr:spPr>
              <a:xfrm>
                <a:off x="3462792" y="856091"/>
                <a:ext cx="1852653" cy="409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500" b="1">
                    <a:solidFill>
                      <a:schemeClr val="bg1"/>
                    </a:solidFill>
                    <a:latin typeface="Amasis MT Std" panose="02040802050304020203" pitchFamily="18" charset="0"/>
                    <a:cs typeface="Angsana New" panose="020B0502040204020203" pitchFamily="18" charset="-34"/>
                  </a:rPr>
                  <a:t>Beverages</a:t>
                </a:r>
                <a:endParaRPr lang="en-NG" sz="2500" b="1">
                  <a:solidFill>
                    <a:schemeClr val="bg1"/>
                  </a:solidFill>
                  <a:latin typeface="Amasis MT Std" panose="02040802050304020203" pitchFamily="18" charset="0"/>
                  <a:cs typeface="Angsana New" panose="020B0502040204020203" pitchFamily="18" charset="-34"/>
                </a:endParaRPr>
              </a:p>
            </xdr:txBody>
          </xdr:sp>
          <xdr:sp macro="" textlink="">
            <xdr:nvSpPr>
              <xdr:cNvPr id="66" name="TextBox 65">
                <a:extLst>
                  <a:ext uri="{FF2B5EF4-FFF2-40B4-BE49-F238E27FC236}">
                    <a16:creationId xmlns:a16="http://schemas.microsoft.com/office/drawing/2014/main" id="{82FFE42A-ECEC-4B45-A597-6DA596EF532A}"/>
                  </a:ext>
                </a:extLst>
              </xdr:cNvPr>
              <xdr:cNvSpPr txBox="1"/>
            </xdr:nvSpPr>
            <xdr:spPr>
              <a:xfrm>
                <a:off x="4036609" y="1245709"/>
                <a:ext cx="759351" cy="267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latin typeface="Amasis MT Std" panose="02040802050304020203" pitchFamily="18" charset="0"/>
                    <a:cs typeface="Angsana New" panose="020B0502040204020203" pitchFamily="18" charset="-34"/>
                  </a:rPr>
                  <a:t>110.5k</a:t>
                </a:r>
                <a:endParaRPr lang="en-NG" sz="1200" b="1">
                  <a:solidFill>
                    <a:schemeClr val="bg1"/>
                  </a:solidFill>
                  <a:latin typeface="Amasis MT Std" panose="02040802050304020203" pitchFamily="18" charset="0"/>
                  <a:cs typeface="Angsana New" panose="020B0502040204020203" pitchFamily="18" charset="-34"/>
                </a:endParaRPr>
              </a:p>
            </xdr:txBody>
          </xdr:sp>
        </xdr:grpSp>
      </xdr:grpSp>
    </xdr:grpSp>
    <xdr:clientData/>
  </xdr:twoCellAnchor>
  <xdr:twoCellAnchor editAs="oneCell">
    <xdr:from>
      <xdr:col>18</xdr:col>
      <xdr:colOff>485029</xdr:colOff>
      <xdr:row>4</xdr:row>
      <xdr:rowOff>182872</xdr:rowOff>
    </xdr:from>
    <xdr:to>
      <xdr:col>22</xdr:col>
      <xdr:colOff>564542</xdr:colOff>
      <xdr:row>7</xdr:row>
      <xdr:rowOff>45761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FA7AC457-6F83-44D7-80BF-38ABA0C289A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934907" y="946197"/>
              <a:ext cx="2623931" cy="43538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508880</xdr:colOff>
      <xdr:row>12</xdr:row>
      <xdr:rowOff>182871</xdr:rowOff>
    </xdr:from>
    <xdr:to>
      <xdr:col>1</xdr:col>
      <xdr:colOff>405518</xdr:colOff>
      <xdr:row>15</xdr:row>
      <xdr:rowOff>143119</xdr:rowOff>
    </xdr:to>
    <xdr:pic>
      <xdr:nvPicPr>
        <xdr:cNvPr id="10" name="Graphic 9" descr="Person with idea">
          <a:extLst>
            <a:ext uri="{FF2B5EF4-FFF2-40B4-BE49-F238E27FC236}">
              <a16:creationId xmlns:a16="http://schemas.microsoft.com/office/drawing/2014/main" id="{0C1CD480-682E-43E3-BD31-2760E7F525D6}"/>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508880" y="2472847"/>
          <a:ext cx="532742" cy="532742"/>
        </a:xfrm>
        <a:prstGeom prst="rect">
          <a:avLst/>
        </a:prstGeom>
      </xdr:spPr>
    </xdr:pic>
    <xdr:clientData/>
  </xdr:twoCellAnchor>
  <xdr:twoCellAnchor>
    <xdr:from>
      <xdr:col>0</xdr:col>
      <xdr:colOff>429370</xdr:colOff>
      <xdr:row>9</xdr:row>
      <xdr:rowOff>186857</xdr:rowOff>
    </xdr:from>
    <xdr:to>
      <xdr:col>1</xdr:col>
      <xdr:colOff>421419</xdr:colOff>
      <xdr:row>11</xdr:row>
      <xdr:rowOff>72888</xdr:rowOff>
    </xdr:to>
    <xdr:sp macro="" textlink="">
      <xdr:nvSpPr>
        <xdr:cNvPr id="72" name="TextBox 71">
          <a:hlinkClick xmlns:r="http://schemas.openxmlformats.org/officeDocument/2006/relationships" r:id="rId10"/>
          <a:extLst>
            <a:ext uri="{FF2B5EF4-FFF2-40B4-BE49-F238E27FC236}">
              <a16:creationId xmlns:a16="http://schemas.microsoft.com/office/drawing/2014/main" id="{B1A7AECF-0CFD-44C6-8380-978B5C9A6DFC}"/>
            </a:ext>
          </a:extLst>
        </xdr:cNvPr>
        <xdr:cNvSpPr txBox="1"/>
      </xdr:nvSpPr>
      <xdr:spPr>
        <a:xfrm>
          <a:off x="429370" y="1904339"/>
          <a:ext cx="628153" cy="267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rgbClr val="385723"/>
              </a:solidFill>
              <a:latin typeface="Amasis MT Std" panose="02040802050304020203" pitchFamily="18" charset="0"/>
              <a:cs typeface="Angsana New" panose="020B0502040204020203" pitchFamily="18" charset="-34"/>
            </a:rPr>
            <a:t>Insight</a:t>
          </a:r>
          <a:endParaRPr lang="en-NG" sz="1000" b="1">
            <a:solidFill>
              <a:srgbClr val="385723"/>
            </a:solidFill>
            <a:latin typeface="Amasis MT Std" panose="02040802050304020203" pitchFamily="18" charset="0"/>
            <a:cs typeface="Angsana New" panose="020B0502040204020203" pitchFamily="18" charset="-34"/>
          </a:endParaRPr>
        </a:p>
      </xdr:txBody>
    </xdr:sp>
    <xdr:clientData/>
  </xdr:twoCellAnchor>
  <xdr:twoCellAnchor editAs="oneCell">
    <xdr:from>
      <xdr:col>18</xdr:col>
      <xdr:colOff>461178</xdr:colOff>
      <xdr:row>7</xdr:row>
      <xdr:rowOff>47705</xdr:rowOff>
    </xdr:from>
    <xdr:to>
      <xdr:col>22</xdr:col>
      <xdr:colOff>580446</xdr:colOff>
      <xdr:row>9</xdr:row>
      <xdr:rowOff>92354</xdr:rowOff>
    </xdr:to>
    <mc:AlternateContent xmlns:mc="http://schemas.openxmlformats.org/markup-compatibility/2006" xmlns:a14="http://schemas.microsoft.com/office/drawing/2010/main">
      <mc:Choice Requires="a14">
        <xdr:graphicFrame macro="">
          <xdr:nvGraphicFramePr>
            <xdr:cNvPr id="4" name="Salesperson 1">
              <a:extLst>
                <a:ext uri="{FF2B5EF4-FFF2-40B4-BE49-F238E27FC236}">
                  <a16:creationId xmlns:a16="http://schemas.microsoft.com/office/drawing/2014/main" id="{B8E18589-48DF-462C-9F1E-A85E9D4148C7}"/>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11911056" y="1383524"/>
              <a:ext cx="2663686" cy="42631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524782</xdr:colOff>
      <xdr:row>18</xdr:row>
      <xdr:rowOff>79514</xdr:rowOff>
    </xdr:from>
    <xdr:to>
      <xdr:col>1</xdr:col>
      <xdr:colOff>413471</xdr:colOff>
      <xdr:row>21</xdr:row>
      <xdr:rowOff>31813</xdr:rowOff>
    </xdr:to>
    <xdr:pic>
      <xdr:nvPicPr>
        <xdr:cNvPr id="8" name="Graphic 7" descr="Research">
          <a:extLst>
            <a:ext uri="{FF2B5EF4-FFF2-40B4-BE49-F238E27FC236}">
              <a16:creationId xmlns:a16="http://schemas.microsoft.com/office/drawing/2014/main" id="{083E5B92-92B1-4282-8A61-59F5D11A3C2E}"/>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524782" y="3514477"/>
          <a:ext cx="524793" cy="524793"/>
        </a:xfrm>
        <a:prstGeom prst="rect">
          <a:avLst/>
        </a:prstGeom>
      </xdr:spPr>
    </xdr:pic>
    <xdr:clientData/>
  </xdr:twoCellAnchor>
  <xdr:twoCellAnchor>
    <xdr:from>
      <xdr:col>0</xdr:col>
      <xdr:colOff>310100</xdr:colOff>
      <xdr:row>21</xdr:row>
      <xdr:rowOff>11938</xdr:rowOff>
    </xdr:from>
    <xdr:to>
      <xdr:col>1</xdr:col>
      <xdr:colOff>628151</xdr:colOff>
      <xdr:row>22</xdr:row>
      <xdr:rowOff>88799</xdr:rowOff>
    </xdr:to>
    <xdr:sp macro="" textlink="">
      <xdr:nvSpPr>
        <xdr:cNvPr id="73" name="TextBox 72">
          <a:hlinkClick xmlns:r="http://schemas.openxmlformats.org/officeDocument/2006/relationships" r:id="rId13"/>
          <a:extLst>
            <a:ext uri="{FF2B5EF4-FFF2-40B4-BE49-F238E27FC236}">
              <a16:creationId xmlns:a16="http://schemas.microsoft.com/office/drawing/2014/main" id="{73E939A0-632F-4A50-9EE7-AFE0536FA8F8}"/>
            </a:ext>
          </a:extLst>
        </xdr:cNvPr>
        <xdr:cNvSpPr txBox="1"/>
      </xdr:nvSpPr>
      <xdr:spPr>
        <a:xfrm>
          <a:off x="310100" y="4019395"/>
          <a:ext cx="954155" cy="267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rgbClr val="003217"/>
              </a:solidFill>
              <a:latin typeface="Amasis MT Std" panose="02040802050304020203" pitchFamily="18" charset="0"/>
              <a:cs typeface="Angsana New" panose="020B0502040204020203" pitchFamily="18" charset="-34"/>
            </a:rPr>
            <a:t>Pre-</a:t>
          </a:r>
          <a:r>
            <a:rPr lang="en-US" sz="900" b="1" baseline="0">
              <a:solidFill>
                <a:srgbClr val="003217"/>
              </a:solidFill>
              <a:latin typeface="Amasis MT Std" panose="02040802050304020203" pitchFamily="18" charset="0"/>
              <a:cs typeface="Angsana New" panose="020B0502040204020203" pitchFamily="18" charset="-34"/>
            </a:rPr>
            <a:t> Analysis</a:t>
          </a:r>
          <a:endParaRPr lang="en-NG" sz="900" b="1">
            <a:solidFill>
              <a:srgbClr val="003217"/>
            </a:solidFill>
            <a:latin typeface="Amasis MT Std" panose="02040802050304020203" pitchFamily="18" charset="0"/>
            <a:cs typeface="Angsana New" panose="020B0502040204020203" pitchFamily="18" charset="-34"/>
          </a:endParaRPr>
        </a:p>
      </xdr:txBody>
    </xdr:sp>
    <xdr:clientData/>
  </xdr:twoCellAnchor>
  <xdr:twoCellAnchor>
    <xdr:from>
      <xdr:col>0</xdr:col>
      <xdr:colOff>287572</xdr:colOff>
      <xdr:row>27</xdr:row>
      <xdr:rowOff>5311</xdr:rowOff>
    </xdr:from>
    <xdr:to>
      <xdr:col>2</xdr:col>
      <xdr:colOff>64935</xdr:colOff>
      <xdr:row>28</xdr:row>
      <xdr:rowOff>82172</xdr:rowOff>
    </xdr:to>
    <xdr:sp macro="" textlink="">
      <xdr:nvSpPr>
        <xdr:cNvPr id="74" name="TextBox 73">
          <a:hlinkClick xmlns:r="http://schemas.openxmlformats.org/officeDocument/2006/relationships" r:id="rId14"/>
          <a:extLst>
            <a:ext uri="{FF2B5EF4-FFF2-40B4-BE49-F238E27FC236}">
              <a16:creationId xmlns:a16="http://schemas.microsoft.com/office/drawing/2014/main" id="{E10A26CF-2D66-4C48-9580-65DCF7E15929}"/>
            </a:ext>
          </a:extLst>
        </xdr:cNvPr>
        <xdr:cNvSpPr txBox="1"/>
      </xdr:nvSpPr>
      <xdr:spPr>
        <a:xfrm>
          <a:off x="287572" y="5157756"/>
          <a:ext cx="1049572" cy="267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rgbClr val="003217"/>
              </a:solidFill>
              <a:latin typeface="Amasis MT Std" panose="02040802050304020203" pitchFamily="18" charset="0"/>
              <a:cs typeface="Angsana New" panose="020B0502040204020203" pitchFamily="18" charset="-34"/>
            </a:rPr>
            <a:t>Post</a:t>
          </a:r>
          <a:r>
            <a:rPr lang="en-US" sz="900" b="1" baseline="0">
              <a:solidFill>
                <a:srgbClr val="003217"/>
              </a:solidFill>
              <a:latin typeface="Amasis MT Std" panose="02040802050304020203" pitchFamily="18" charset="0"/>
              <a:cs typeface="Angsana New" panose="020B0502040204020203" pitchFamily="18" charset="-34"/>
            </a:rPr>
            <a:t> - Analysis</a:t>
          </a:r>
          <a:endParaRPr lang="en-NG" sz="900" b="1">
            <a:solidFill>
              <a:srgbClr val="003217"/>
            </a:solidFill>
            <a:latin typeface="Amasis MT Std" panose="02040802050304020203" pitchFamily="18" charset="0"/>
            <a:cs typeface="Angsana New" panose="020B0502040204020203" pitchFamily="18" charset="-34"/>
          </a:endParaRPr>
        </a:p>
      </xdr:txBody>
    </xdr:sp>
    <xdr:clientData/>
  </xdr:twoCellAnchor>
  <xdr:twoCellAnchor>
    <xdr:from>
      <xdr:col>0</xdr:col>
      <xdr:colOff>193488</xdr:colOff>
      <xdr:row>32</xdr:row>
      <xdr:rowOff>94089</xdr:rowOff>
    </xdr:from>
    <xdr:to>
      <xdr:col>2</xdr:col>
      <xdr:colOff>119269</xdr:colOff>
      <xdr:row>33</xdr:row>
      <xdr:rowOff>170951</xdr:rowOff>
    </xdr:to>
    <xdr:sp macro="" textlink="">
      <xdr:nvSpPr>
        <xdr:cNvPr id="75" name="TextBox 74">
          <a:hlinkClick xmlns:r="http://schemas.openxmlformats.org/officeDocument/2006/relationships" r:id="rId15"/>
          <a:extLst>
            <a:ext uri="{FF2B5EF4-FFF2-40B4-BE49-F238E27FC236}">
              <a16:creationId xmlns:a16="http://schemas.microsoft.com/office/drawing/2014/main" id="{9C9B942B-1639-4A0B-BBFC-8E2ADBB1CA49}"/>
            </a:ext>
          </a:extLst>
        </xdr:cNvPr>
        <xdr:cNvSpPr txBox="1"/>
      </xdr:nvSpPr>
      <xdr:spPr>
        <a:xfrm>
          <a:off x="193488" y="6200691"/>
          <a:ext cx="1197990" cy="267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rgbClr val="003217"/>
              </a:solidFill>
              <a:latin typeface="Amasis MT Std" panose="02040802050304020203" pitchFamily="18" charset="0"/>
              <a:cs typeface="Angsana New" panose="020B0502040204020203" pitchFamily="18" charset="-34"/>
            </a:rPr>
            <a:t>Recommendations</a:t>
          </a:r>
          <a:endParaRPr lang="en-NG" sz="900" b="1">
            <a:solidFill>
              <a:srgbClr val="003217"/>
            </a:solidFill>
            <a:latin typeface="Amasis MT Std" panose="02040802050304020203" pitchFamily="18" charset="0"/>
            <a:cs typeface="Angsana New" panose="020B0502040204020203" pitchFamily="18" charset="-34"/>
          </a:endParaRPr>
        </a:p>
      </xdr:txBody>
    </xdr:sp>
    <xdr:clientData/>
  </xdr:twoCellAnchor>
  <xdr:twoCellAnchor editAs="oneCell">
    <xdr:from>
      <xdr:col>0</xdr:col>
      <xdr:colOff>508883</xdr:colOff>
      <xdr:row>24</xdr:row>
      <xdr:rowOff>71569</xdr:rowOff>
    </xdr:from>
    <xdr:to>
      <xdr:col>1</xdr:col>
      <xdr:colOff>389614</xdr:colOff>
      <xdr:row>27</xdr:row>
      <xdr:rowOff>15910</xdr:rowOff>
    </xdr:to>
    <xdr:pic>
      <xdr:nvPicPr>
        <xdr:cNvPr id="11" name="Graphic 10" descr="Bar graph with upward trend">
          <a:extLst>
            <a:ext uri="{FF2B5EF4-FFF2-40B4-BE49-F238E27FC236}">
              <a16:creationId xmlns:a16="http://schemas.microsoft.com/office/drawing/2014/main" id="{73F33F4B-1030-4A17-B0E7-2B8139F93CE7}"/>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508883" y="4651520"/>
          <a:ext cx="516835" cy="516835"/>
        </a:xfrm>
        <a:prstGeom prst="rect">
          <a:avLst/>
        </a:prstGeom>
      </xdr:spPr>
    </xdr:pic>
    <xdr:clientData/>
  </xdr:twoCellAnchor>
  <xdr:twoCellAnchor editAs="oneCell">
    <xdr:from>
      <xdr:col>0</xdr:col>
      <xdr:colOff>548763</xdr:colOff>
      <xdr:row>30</xdr:row>
      <xdr:rowOff>47707</xdr:rowOff>
    </xdr:from>
    <xdr:to>
      <xdr:col>1</xdr:col>
      <xdr:colOff>373833</xdr:colOff>
      <xdr:row>32</xdr:row>
      <xdr:rowOff>127218</xdr:rowOff>
    </xdr:to>
    <xdr:pic>
      <xdr:nvPicPr>
        <xdr:cNvPr id="13" name="Graphic 12" descr="Rocket">
          <a:extLst>
            <a:ext uri="{FF2B5EF4-FFF2-40B4-BE49-F238E27FC236}">
              <a16:creationId xmlns:a16="http://schemas.microsoft.com/office/drawing/2014/main" id="{610C4167-A4A0-4D10-949E-F02DE39BA32D}"/>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548763" y="5772646"/>
          <a:ext cx="461174" cy="461174"/>
        </a:xfrm>
        <a:prstGeom prst="rect">
          <a:avLst/>
        </a:prstGeom>
      </xdr:spPr>
    </xdr:pic>
    <xdr:clientData/>
  </xdr:twoCellAnchor>
  <xdr:twoCellAnchor>
    <xdr:from>
      <xdr:col>0</xdr:col>
      <xdr:colOff>327330</xdr:colOff>
      <xdr:row>15</xdr:row>
      <xdr:rowOff>100727</xdr:rowOff>
    </xdr:from>
    <xdr:to>
      <xdr:col>1</xdr:col>
      <xdr:colOff>636104</xdr:colOff>
      <xdr:row>16</xdr:row>
      <xdr:rowOff>177589</xdr:rowOff>
    </xdr:to>
    <xdr:sp macro="" textlink="">
      <xdr:nvSpPr>
        <xdr:cNvPr id="76" name="TextBox 75">
          <a:hlinkClick xmlns:r="http://schemas.openxmlformats.org/officeDocument/2006/relationships" r:id="rId10"/>
          <a:extLst>
            <a:ext uri="{FF2B5EF4-FFF2-40B4-BE49-F238E27FC236}">
              <a16:creationId xmlns:a16="http://schemas.microsoft.com/office/drawing/2014/main" id="{926793C3-73BB-476F-A1BD-878F857028BE}"/>
            </a:ext>
          </a:extLst>
        </xdr:cNvPr>
        <xdr:cNvSpPr txBox="1"/>
      </xdr:nvSpPr>
      <xdr:spPr>
        <a:xfrm>
          <a:off x="327330" y="2963197"/>
          <a:ext cx="944878" cy="267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rgbClr val="003217"/>
              </a:solidFill>
              <a:latin typeface="Amasis MT Std" panose="02040802050304020203" pitchFamily="18" charset="0"/>
              <a:cs typeface="Angsana New" panose="020B0502040204020203" pitchFamily="18" charset="-34"/>
            </a:rPr>
            <a:t>Observations</a:t>
          </a:r>
          <a:endParaRPr lang="en-NG" sz="900" b="1">
            <a:solidFill>
              <a:srgbClr val="003217"/>
            </a:solidFill>
            <a:latin typeface="Amasis MT Std" panose="02040802050304020203" pitchFamily="18" charset="0"/>
            <a:cs typeface="Angsana New" panose="020B0502040204020203" pitchFamily="18" charset="-34"/>
          </a:endParaRPr>
        </a:p>
      </xdr:txBody>
    </xdr:sp>
    <xdr:clientData/>
  </xdr:twoCellAnchor>
  <xdr:twoCellAnchor editAs="oneCell">
    <xdr:from>
      <xdr:col>0</xdr:col>
      <xdr:colOff>507364</xdr:colOff>
      <xdr:row>7</xdr:row>
      <xdr:rowOff>157020</xdr:rowOff>
    </xdr:from>
    <xdr:to>
      <xdr:col>1</xdr:col>
      <xdr:colOff>381663</xdr:colOff>
      <xdr:row>10</xdr:row>
      <xdr:rowOff>23860</xdr:rowOff>
    </xdr:to>
    <xdr:pic>
      <xdr:nvPicPr>
        <xdr:cNvPr id="18" name="Graphic 17" descr="Speech">
          <a:extLst>
            <a:ext uri="{FF2B5EF4-FFF2-40B4-BE49-F238E27FC236}">
              <a16:creationId xmlns:a16="http://schemas.microsoft.com/office/drawing/2014/main" id="{A8749C54-E17D-41FF-8A08-A7DD9CA796D2}"/>
            </a:ext>
          </a:extLst>
        </xdr:cNvPr>
        <xdr:cNvPicPr>
          <a:picLocks noChangeAspect="1"/>
        </xdr:cNvPicPr>
      </xdr:nvPicPr>
      <xdr:blipFill rotWithShape="1">
        <a:blip xmlns:r="http://schemas.openxmlformats.org/officeDocument/2006/relationships" r:embed="rId20">
          <a:extLst>
            <a:ext uri="{28A0092B-C50C-407E-A947-70E740481C1C}">
              <a14:useLocalDpi xmlns:a14="http://schemas.microsoft.com/office/drawing/2010/main" val="0"/>
            </a:ext>
            <a:ext uri="{96DAC541-7B7A-43D3-8B79-37D633B846F1}">
              <asvg:svgBlip xmlns:asvg="http://schemas.microsoft.com/office/drawing/2016/SVG/main" r:embed="rId21"/>
            </a:ext>
          </a:extLst>
        </a:blip>
        <a:srcRect l="11339" t="16495" r="7217" b="13402"/>
        <a:stretch/>
      </xdr:blipFill>
      <xdr:spPr>
        <a:xfrm>
          <a:off x="507364" y="1492839"/>
          <a:ext cx="510403" cy="439334"/>
        </a:xfrm>
        <a:prstGeom prst="rect">
          <a:avLst/>
        </a:prstGeom>
      </xdr:spPr>
    </xdr:pic>
    <xdr:clientData/>
  </xdr:twoCellAnchor>
  <xdr:twoCellAnchor>
    <xdr:from>
      <xdr:col>0</xdr:col>
      <xdr:colOff>198782</xdr:colOff>
      <xdr:row>4</xdr:row>
      <xdr:rowOff>100432</xdr:rowOff>
    </xdr:from>
    <xdr:to>
      <xdr:col>2</xdr:col>
      <xdr:colOff>132521</xdr:colOff>
      <xdr:row>5</xdr:row>
      <xdr:rowOff>104406</xdr:rowOff>
    </xdr:to>
    <xdr:sp macro="" textlink="">
      <xdr:nvSpPr>
        <xdr:cNvPr id="79" name="TextBox 78">
          <a:extLst>
            <a:ext uri="{FF2B5EF4-FFF2-40B4-BE49-F238E27FC236}">
              <a16:creationId xmlns:a16="http://schemas.microsoft.com/office/drawing/2014/main" id="{E65E4CC8-20A7-42D7-99A6-859C6DDC50A4}"/>
            </a:ext>
          </a:extLst>
        </xdr:cNvPr>
        <xdr:cNvSpPr txBox="1"/>
      </xdr:nvSpPr>
      <xdr:spPr>
        <a:xfrm>
          <a:off x="198782" y="863757"/>
          <a:ext cx="1205948" cy="194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accent6">
                  <a:lumMod val="50000"/>
                </a:schemeClr>
              </a:solidFill>
              <a:latin typeface="Amasis MT Std" panose="02040802050304020203" pitchFamily="18" charset="0"/>
              <a:cs typeface="Angsana New" panose="020B0502040204020203" pitchFamily="18" charset="-34"/>
            </a:rPr>
            <a:t>Data Analytics</a:t>
          </a:r>
          <a:r>
            <a:rPr lang="en-US" sz="800" b="1" baseline="0">
              <a:solidFill>
                <a:schemeClr val="accent6">
                  <a:lumMod val="50000"/>
                </a:schemeClr>
              </a:solidFill>
              <a:latin typeface="Amasis MT Std" panose="02040802050304020203" pitchFamily="18" charset="0"/>
              <a:cs typeface="Angsana New" panose="020B0502040204020203" pitchFamily="18" charset="-34"/>
            </a:rPr>
            <a:t> </a:t>
          </a:r>
          <a:r>
            <a:rPr lang="en-US" sz="800" b="1">
              <a:solidFill>
                <a:schemeClr val="accent6">
                  <a:lumMod val="50000"/>
                </a:schemeClr>
              </a:solidFill>
              <a:latin typeface="Amasis MT Std" panose="02040802050304020203" pitchFamily="18" charset="0"/>
              <a:cs typeface="Angsana New" panose="020B0502040204020203" pitchFamily="18" charset="-34"/>
            </a:rPr>
            <a:t>Team</a:t>
          </a:r>
          <a:endParaRPr lang="en-NG" sz="800" b="1">
            <a:solidFill>
              <a:schemeClr val="accent6">
                <a:lumMod val="50000"/>
              </a:schemeClr>
            </a:solidFill>
            <a:latin typeface="Amasis MT Std" panose="02040802050304020203" pitchFamily="18" charset="0"/>
            <a:cs typeface="Angsana New" panose="020B0502040204020203" pitchFamily="18" charset="-34"/>
          </a:endParaRPr>
        </a:p>
      </xdr:txBody>
    </xdr:sp>
    <xdr:clientData/>
  </xdr:twoCellAnchor>
  <xdr:twoCellAnchor editAs="oneCell">
    <xdr:from>
      <xdr:col>0</xdr:col>
      <xdr:colOff>455875</xdr:colOff>
      <xdr:row>2</xdr:row>
      <xdr:rowOff>6812</xdr:rowOff>
    </xdr:from>
    <xdr:to>
      <xdr:col>1</xdr:col>
      <xdr:colOff>511533</xdr:colOff>
      <xdr:row>4</xdr:row>
      <xdr:rowOff>104409</xdr:rowOff>
    </xdr:to>
    <xdr:pic>
      <xdr:nvPicPr>
        <xdr:cNvPr id="80" name="Picture 79">
          <a:extLst>
            <a:ext uri="{FF2B5EF4-FFF2-40B4-BE49-F238E27FC236}">
              <a16:creationId xmlns:a16="http://schemas.microsoft.com/office/drawing/2014/main" id="{5E107C0A-C611-4EEB-B5DF-84D20393C45D}"/>
            </a:ext>
          </a:extLst>
        </xdr:cNvPr>
        <xdr:cNvPicPr>
          <a:picLocks noChangeAspect="1"/>
        </xdr:cNvPicPr>
      </xdr:nvPicPr>
      <xdr:blipFill rotWithShape="1">
        <a:blip xmlns:r="http://schemas.openxmlformats.org/officeDocument/2006/relationships" r:embed="rId22" cstate="print">
          <a:extLst>
            <a:ext uri="{28A0092B-C50C-407E-A947-70E740481C1C}">
              <a14:useLocalDpi xmlns:a14="http://schemas.microsoft.com/office/drawing/2010/main" val="0"/>
            </a:ext>
          </a:extLst>
        </a:blip>
        <a:srcRect l="25894" t="19682" r="26016" b="19688"/>
        <a:stretch/>
      </xdr:blipFill>
      <xdr:spPr>
        <a:xfrm>
          <a:off x="455875" y="388475"/>
          <a:ext cx="691762" cy="479259"/>
        </a:xfrm>
        <a:prstGeom prst="rect">
          <a:avLst/>
        </a:prstGeom>
      </xdr:spPr>
    </xdr:pic>
    <xdr:clientData/>
  </xdr:twoCellAnchor>
  <xdr:twoCellAnchor>
    <xdr:from>
      <xdr:col>2</xdr:col>
      <xdr:colOff>300040</xdr:colOff>
      <xdr:row>1</xdr:row>
      <xdr:rowOff>127222</xdr:rowOff>
    </xdr:from>
    <xdr:to>
      <xdr:col>18</xdr:col>
      <xdr:colOff>326003</xdr:colOff>
      <xdr:row>3</xdr:row>
      <xdr:rowOff>175414</xdr:rowOff>
    </xdr:to>
    <xdr:sp macro="" textlink="">
      <xdr:nvSpPr>
        <xdr:cNvPr id="81" name="TextBox 80">
          <a:extLst>
            <a:ext uri="{FF2B5EF4-FFF2-40B4-BE49-F238E27FC236}">
              <a16:creationId xmlns:a16="http://schemas.microsoft.com/office/drawing/2014/main" id="{AD078EA6-B7D2-4744-81D0-7D918C5C1E97}"/>
            </a:ext>
          </a:extLst>
        </xdr:cNvPr>
        <xdr:cNvSpPr txBox="1"/>
      </xdr:nvSpPr>
      <xdr:spPr>
        <a:xfrm>
          <a:off x="1572249" y="318053"/>
          <a:ext cx="10203632" cy="4298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accent6">
                  <a:lumMod val="50000"/>
                </a:schemeClr>
              </a:solidFill>
              <a:latin typeface="Amasis MT Std" panose="02040802050304020203" pitchFamily="18" charset="0"/>
              <a:cs typeface="Angsana New" panose="020B0502040204020203" pitchFamily="18" charset="-34"/>
            </a:rPr>
            <a:t>Nova Mart Revenue</a:t>
          </a:r>
          <a:r>
            <a:rPr lang="en-US" sz="2000" b="1" baseline="0">
              <a:solidFill>
                <a:schemeClr val="accent6">
                  <a:lumMod val="50000"/>
                </a:schemeClr>
              </a:solidFill>
              <a:latin typeface="Amasis MT Std" panose="02040802050304020203" pitchFamily="18" charset="0"/>
              <a:cs typeface="Angsana New" panose="020B0502040204020203" pitchFamily="18" charset="-34"/>
            </a:rPr>
            <a:t> &amp; </a:t>
          </a:r>
          <a:r>
            <a:rPr lang="en-US" sz="2000" b="1">
              <a:solidFill>
                <a:schemeClr val="accent6">
                  <a:lumMod val="50000"/>
                </a:schemeClr>
              </a:solidFill>
              <a:latin typeface="Amasis MT Std" panose="02040802050304020203" pitchFamily="18" charset="0"/>
              <a:cs typeface="Angsana New" panose="020B0502040204020203" pitchFamily="18" charset="-34"/>
            </a:rPr>
            <a:t>Profitability Analysis for 2014</a:t>
          </a:r>
          <a:endParaRPr lang="en-NG" sz="2000" b="1">
            <a:solidFill>
              <a:schemeClr val="accent6">
                <a:lumMod val="50000"/>
              </a:schemeClr>
            </a:solidFill>
            <a:latin typeface="Amasis MT Std" panose="02040802050304020203" pitchFamily="18" charset="0"/>
            <a:cs typeface="Angsana New" panose="020B0502040204020203" pitchFamily="18" charset="-34"/>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143123</xdr:colOff>
      <xdr:row>0</xdr:row>
      <xdr:rowOff>103366</xdr:rowOff>
    </xdr:from>
    <xdr:to>
      <xdr:col>22</xdr:col>
      <xdr:colOff>636103</xdr:colOff>
      <xdr:row>36</xdr:row>
      <xdr:rowOff>143122</xdr:rowOff>
    </xdr:to>
    <xdr:sp macro="" textlink="">
      <xdr:nvSpPr>
        <xdr:cNvPr id="2" name="Rectangle 1">
          <a:extLst>
            <a:ext uri="{FF2B5EF4-FFF2-40B4-BE49-F238E27FC236}">
              <a16:creationId xmlns:a16="http://schemas.microsoft.com/office/drawing/2014/main" id="{36793D1E-8C4F-4B0E-80DE-80B5FB0A00AA}"/>
            </a:ext>
          </a:extLst>
        </xdr:cNvPr>
        <xdr:cNvSpPr/>
      </xdr:nvSpPr>
      <xdr:spPr>
        <a:xfrm flipH="1" flipV="1">
          <a:off x="143123" y="103366"/>
          <a:ext cx="14487276" cy="6909683"/>
        </a:xfrm>
        <a:prstGeom prst="rect">
          <a:avLst/>
        </a:prstGeom>
        <a:solidFill>
          <a:srgbClr val="E4F1D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222637</xdr:colOff>
      <xdr:row>0</xdr:row>
      <xdr:rowOff>166977</xdr:rowOff>
    </xdr:from>
    <xdr:to>
      <xdr:col>3</xdr:col>
      <xdr:colOff>222638</xdr:colOff>
      <xdr:row>36</xdr:row>
      <xdr:rowOff>87464</xdr:rowOff>
    </xdr:to>
    <xdr:sp macro="" textlink="">
      <xdr:nvSpPr>
        <xdr:cNvPr id="3" name="Rectangle 2">
          <a:extLst>
            <a:ext uri="{FF2B5EF4-FFF2-40B4-BE49-F238E27FC236}">
              <a16:creationId xmlns:a16="http://schemas.microsoft.com/office/drawing/2014/main" id="{BC1466C4-89A9-4953-93EE-7718917037BA}"/>
            </a:ext>
          </a:extLst>
        </xdr:cNvPr>
        <xdr:cNvSpPr/>
      </xdr:nvSpPr>
      <xdr:spPr>
        <a:xfrm>
          <a:off x="222637" y="166977"/>
          <a:ext cx="1908314" cy="6790414"/>
        </a:xfrm>
        <a:prstGeom prst="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279623</xdr:colOff>
      <xdr:row>3</xdr:row>
      <xdr:rowOff>64940</xdr:rowOff>
    </xdr:from>
    <xdr:to>
      <xdr:col>12</xdr:col>
      <xdr:colOff>318052</xdr:colOff>
      <xdr:row>13</xdr:row>
      <xdr:rowOff>166976</xdr:rowOff>
    </xdr:to>
    <xdr:sp macro="" textlink="">
      <xdr:nvSpPr>
        <xdr:cNvPr id="4" name="Rectangle 3">
          <a:extLst>
            <a:ext uri="{FF2B5EF4-FFF2-40B4-BE49-F238E27FC236}">
              <a16:creationId xmlns:a16="http://schemas.microsoft.com/office/drawing/2014/main" id="{8C69209E-D1BF-4CA6-8622-79D195B14255}"/>
            </a:ext>
          </a:extLst>
        </xdr:cNvPr>
        <xdr:cNvSpPr/>
      </xdr:nvSpPr>
      <xdr:spPr>
        <a:xfrm>
          <a:off x="2187936" y="637434"/>
          <a:ext cx="5763368" cy="201034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463828</xdr:colOff>
      <xdr:row>3</xdr:row>
      <xdr:rowOff>74217</xdr:rowOff>
    </xdr:from>
    <xdr:to>
      <xdr:col>22</xdr:col>
      <xdr:colOff>548640</xdr:colOff>
      <xdr:row>13</xdr:row>
      <xdr:rowOff>174856</xdr:rowOff>
    </xdr:to>
    <xdr:sp macro="" textlink="">
      <xdr:nvSpPr>
        <xdr:cNvPr id="6" name="Rectangle 5">
          <a:extLst>
            <a:ext uri="{FF2B5EF4-FFF2-40B4-BE49-F238E27FC236}">
              <a16:creationId xmlns:a16="http://schemas.microsoft.com/office/drawing/2014/main" id="{56E45789-C9B8-454A-BBC1-8591EEC6E155}"/>
            </a:ext>
          </a:extLst>
        </xdr:cNvPr>
        <xdr:cNvSpPr/>
      </xdr:nvSpPr>
      <xdr:spPr>
        <a:xfrm>
          <a:off x="8097080" y="646711"/>
          <a:ext cx="6445856" cy="2008952"/>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289655</xdr:colOff>
      <xdr:row>14</xdr:row>
      <xdr:rowOff>66258</xdr:rowOff>
    </xdr:from>
    <xdr:to>
      <xdr:col>10</xdr:col>
      <xdr:colOff>71563</xdr:colOff>
      <xdr:row>25</xdr:row>
      <xdr:rowOff>128543</xdr:rowOff>
    </xdr:to>
    <xdr:sp macro="" textlink="">
      <xdr:nvSpPr>
        <xdr:cNvPr id="7" name="Rectangle 6">
          <a:extLst>
            <a:ext uri="{FF2B5EF4-FFF2-40B4-BE49-F238E27FC236}">
              <a16:creationId xmlns:a16="http://schemas.microsoft.com/office/drawing/2014/main" id="{A2647DE1-AD1E-4820-A668-C265B672C852}"/>
            </a:ext>
          </a:extLst>
        </xdr:cNvPr>
        <xdr:cNvSpPr/>
      </xdr:nvSpPr>
      <xdr:spPr>
        <a:xfrm>
          <a:off x="2197968" y="2769702"/>
          <a:ext cx="4234639" cy="218641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10</xdr:col>
      <xdr:colOff>159027</xdr:colOff>
      <xdr:row>14</xdr:row>
      <xdr:rowOff>59632</xdr:rowOff>
    </xdr:from>
    <xdr:to>
      <xdr:col>15</xdr:col>
      <xdr:colOff>500932</xdr:colOff>
      <xdr:row>25</xdr:row>
      <xdr:rowOff>121917</xdr:rowOff>
    </xdr:to>
    <xdr:sp macro="" textlink="">
      <xdr:nvSpPr>
        <xdr:cNvPr id="8" name="Rectangle 7">
          <a:extLst>
            <a:ext uri="{FF2B5EF4-FFF2-40B4-BE49-F238E27FC236}">
              <a16:creationId xmlns:a16="http://schemas.microsoft.com/office/drawing/2014/main" id="{C2FFDE97-CF2A-465D-94B6-3FCBC3968238}"/>
            </a:ext>
          </a:extLst>
        </xdr:cNvPr>
        <xdr:cNvSpPr/>
      </xdr:nvSpPr>
      <xdr:spPr>
        <a:xfrm>
          <a:off x="6520070" y="2731270"/>
          <a:ext cx="3522427" cy="216143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15</xdr:col>
      <xdr:colOff>572494</xdr:colOff>
      <xdr:row>14</xdr:row>
      <xdr:rowOff>43729</xdr:rowOff>
    </xdr:from>
    <xdr:to>
      <xdr:col>22</xdr:col>
      <xdr:colOff>548635</xdr:colOff>
      <xdr:row>25</xdr:row>
      <xdr:rowOff>106014</xdr:rowOff>
    </xdr:to>
    <xdr:sp macro="" textlink="">
      <xdr:nvSpPr>
        <xdr:cNvPr id="9" name="Rectangle 8">
          <a:extLst>
            <a:ext uri="{FF2B5EF4-FFF2-40B4-BE49-F238E27FC236}">
              <a16:creationId xmlns:a16="http://schemas.microsoft.com/office/drawing/2014/main" id="{C6560D15-E417-4A20-B586-4598E94AB3C2}"/>
            </a:ext>
          </a:extLst>
        </xdr:cNvPr>
        <xdr:cNvSpPr/>
      </xdr:nvSpPr>
      <xdr:spPr>
        <a:xfrm>
          <a:off x="10114059" y="2715367"/>
          <a:ext cx="4428872" cy="216143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326004</xdr:colOff>
      <xdr:row>25</xdr:row>
      <xdr:rowOff>185531</xdr:rowOff>
    </xdr:from>
    <xdr:to>
      <xdr:col>12</xdr:col>
      <xdr:colOff>262393</xdr:colOff>
      <xdr:row>36</xdr:row>
      <xdr:rowOff>79512</xdr:rowOff>
    </xdr:to>
    <xdr:sp macro="" textlink="">
      <xdr:nvSpPr>
        <xdr:cNvPr id="10" name="Rectangle 9">
          <a:extLst>
            <a:ext uri="{FF2B5EF4-FFF2-40B4-BE49-F238E27FC236}">
              <a16:creationId xmlns:a16="http://schemas.microsoft.com/office/drawing/2014/main" id="{4774AEAB-02AE-461B-A85D-70E242785C85}"/>
            </a:ext>
          </a:extLst>
        </xdr:cNvPr>
        <xdr:cNvSpPr/>
      </xdr:nvSpPr>
      <xdr:spPr>
        <a:xfrm>
          <a:off x="2234317" y="4956314"/>
          <a:ext cx="5661328" cy="19931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333955</xdr:colOff>
      <xdr:row>25</xdr:row>
      <xdr:rowOff>178909</xdr:rowOff>
    </xdr:from>
    <xdr:to>
      <xdr:col>22</xdr:col>
      <xdr:colOff>540684</xdr:colOff>
      <xdr:row>36</xdr:row>
      <xdr:rowOff>88717</xdr:rowOff>
    </xdr:to>
    <xdr:sp macro="" textlink="">
      <xdr:nvSpPr>
        <xdr:cNvPr id="11" name="Rectangle 10">
          <a:extLst>
            <a:ext uri="{FF2B5EF4-FFF2-40B4-BE49-F238E27FC236}">
              <a16:creationId xmlns:a16="http://schemas.microsoft.com/office/drawing/2014/main" id="{E2C6D123-1FBA-4C43-A956-BB5B9EC4614F}"/>
            </a:ext>
          </a:extLst>
        </xdr:cNvPr>
        <xdr:cNvSpPr/>
      </xdr:nvSpPr>
      <xdr:spPr>
        <a:xfrm>
          <a:off x="7967207" y="4949692"/>
          <a:ext cx="6567773" cy="2008952"/>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326005</xdr:colOff>
      <xdr:row>15</xdr:row>
      <xdr:rowOff>55658</xdr:rowOff>
    </xdr:from>
    <xdr:to>
      <xdr:col>10</xdr:col>
      <xdr:colOff>47709</xdr:colOff>
      <xdr:row>25</xdr:row>
      <xdr:rowOff>87464</xdr:rowOff>
    </xdr:to>
    <xdr:graphicFrame macro="">
      <xdr:nvGraphicFramePr>
        <xdr:cNvPr id="12" name="Chart 11">
          <a:extLst>
            <a:ext uri="{FF2B5EF4-FFF2-40B4-BE49-F238E27FC236}">
              <a16:creationId xmlns:a16="http://schemas.microsoft.com/office/drawing/2014/main" id="{2F3BB4C7-86B7-4D80-83D2-F09986C70E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485030</xdr:colOff>
      <xdr:row>3</xdr:row>
      <xdr:rowOff>103367</xdr:rowOff>
    </xdr:from>
    <xdr:to>
      <xdr:col>17</xdr:col>
      <xdr:colOff>278295</xdr:colOff>
      <xdr:row>13</xdr:row>
      <xdr:rowOff>143123</xdr:rowOff>
    </xdr:to>
    <xdr:graphicFrame macro="">
      <xdr:nvGraphicFramePr>
        <xdr:cNvPr id="13" name="Chart 12">
          <a:extLst>
            <a:ext uri="{FF2B5EF4-FFF2-40B4-BE49-F238E27FC236}">
              <a16:creationId xmlns:a16="http://schemas.microsoft.com/office/drawing/2014/main" id="{16E89EBB-EF12-4E98-9BC7-F6EE41163A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469123</xdr:colOff>
      <xdr:row>6</xdr:row>
      <xdr:rowOff>71562</xdr:rowOff>
    </xdr:from>
    <xdr:to>
      <xdr:col>17</xdr:col>
      <xdr:colOff>469123</xdr:colOff>
      <xdr:row>11</xdr:row>
      <xdr:rowOff>174929</xdr:rowOff>
    </xdr:to>
    <xdr:cxnSp macro="">
      <xdr:nvCxnSpPr>
        <xdr:cNvPr id="15" name="Straight Connector 14">
          <a:extLst>
            <a:ext uri="{FF2B5EF4-FFF2-40B4-BE49-F238E27FC236}">
              <a16:creationId xmlns:a16="http://schemas.microsoft.com/office/drawing/2014/main" id="{893BD73B-274E-4508-A21C-C78735CA5C91}"/>
            </a:ext>
          </a:extLst>
        </xdr:cNvPr>
        <xdr:cNvCxnSpPr/>
      </xdr:nvCxnSpPr>
      <xdr:spPr>
        <a:xfrm>
          <a:off x="11282897" y="1216550"/>
          <a:ext cx="0" cy="1057523"/>
        </a:xfrm>
        <a:prstGeom prst="line">
          <a:avLst/>
        </a:prstGeom>
        <a:ln w="19050">
          <a:solidFill>
            <a:srgbClr val="385723">
              <a:alpha val="30000"/>
            </a:srgb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198783</xdr:colOff>
      <xdr:row>15</xdr:row>
      <xdr:rowOff>119269</xdr:rowOff>
    </xdr:from>
    <xdr:to>
      <xdr:col>15</xdr:col>
      <xdr:colOff>532738</xdr:colOff>
      <xdr:row>25</xdr:row>
      <xdr:rowOff>79513</xdr:rowOff>
    </xdr:to>
    <mc:AlternateContent xmlns:mc="http://schemas.openxmlformats.org/markup-compatibility/2006">
      <mc:Choice xmlns:cx1="http://schemas.microsoft.com/office/drawing/2015/9/8/chartex" Requires="cx1">
        <xdr:graphicFrame macro="">
          <xdr:nvGraphicFramePr>
            <xdr:cNvPr id="20" name="Chart 19">
              <a:extLst>
                <a:ext uri="{FF2B5EF4-FFF2-40B4-BE49-F238E27FC236}">
                  <a16:creationId xmlns:a16="http://schemas.microsoft.com/office/drawing/2014/main" id="{7F885309-9FF5-4EEA-A946-C67002544E6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559826" y="2981739"/>
              <a:ext cx="3514477" cy="1868557"/>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572494</xdr:colOff>
      <xdr:row>4</xdr:row>
      <xdr:rowOff>103366</xdr:rowOff>
    </xdr:from>
    <xdr:to>
      <xdr:col>22</xdr:col>
      <xdr:colOff>516834</xdr:colOff>
      <xdr:row>13</xdr:row>
      <xdr:rowOff>119269</xdr:rowOff>
    </xdr:to>
    <xdr:graphicFrame macro="">
      <xdr:nvGraphicFramePr>
        <xdr:cNvPr id="22" name="Chart 21">
          <a:extLst>
            <a:ext uri="{FF2B5EF4-FFF2-40B4-BE49-F238E27FC236}">
              <a16:creationId xmlns:a16="http://schemas.microsoft.com/office/drawing/2014/main" id="{3ACF1771-6BB7-4D4E-B239-EF2AC74A5D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73833</xdr:colOff>
      <xdr:row>3</xdr:row>
      <xdr:rowOff>87964</xdr:rowOff>
    </xdr:from>
    <xdr:to>
      <xdr:col>12</xdr:col>
      <xdr:colOff>254443</xdr:colOff>
      <xdr:row>8</xdr:row>
      <xdr:rowOff>79514</xdr:rowOff>
    </xdr:to>
    <xdr:sp macro="" textlink="">
      <xdr:nvSpPr>
        <xdr:cNvPr id="23" name="Rectangle: Rounded Corners 22">
          <a:extLst>
            <a:ext uri="{FF2B5EF4-FFF2-40B4-BE49-F238E27FC236}">
              <a16:creationId xmlns:a16="http://schemas.microsoft.com/office/drawing/2014/main" id="{25E77359-9D3B-4B02-B1B9-A39A8D32A688}"/>
            </a:ext>
          </a:extLst>
        </xdr:cNvPr>
        <xdr:cNvSpPr/>
      </xdr:nvSpPr>
      <xdr:spPr>
        <a:xfrm>
          <a:off x="5162668" y="667273"/>
          <a:ext cx="2725027" cy="957066"/>
        </a:xfrm>
        <a:prstGeom prst="roundRect">
          <a:avLst>
            <a:gd name="adj" fmla="val 0"/>
          </a:avLst>
        </a:prstGeom>
        <a:solidFill>
          <a:srgbClr val="7030A0">
            <a:alpha val="23922"/>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endParaRPr lang="en-NG" sz="1100"/>
        </a:p>
      </xdr:txBody>
    </xdr:sp>
    <xdr:clientData/>
  </xdr:twoCellAnchor>
  <xdr:twoCellAnchor>
    <xdr:from>
      <xdr:col>9</xdr:col>
      <xdr:colOff>178913</xdr:colOff>
      <xdr:row>4</xdr:row>
      <xdr:rowOff>39756</xdr:rowOff>
    </xdr:from>
    <xdr:to>
      <xdr:col>11</xdr:col>
      <xdr:colOff>532737</xdr:colOff>
      <xdr:row>5</xdr:row>
      <xdr:rowOff>116617</xdr:rowOff>
    </xdr:to>
    <xdr:sp macro="" textlink="">
      <xdr:nvSpPr>
        <xdr:cNvPr id="27" name="TextBox 26">
          <a:extLst>
            <a:ext uri="{FF2B5EF4-FFF2-40B4-BE49-F238E27FC236}">
              <a16:creationId xmlns:a16="http://schemas.microsoft.com/office/drawing/2014/main" id="{1C5DFD69-8496-4B50-873E-C43A03B87284}"/>
            </a:ext>
          </a:extLst>
        </xdr:cNvPr>
        <xdr:cNvSpPr txBox="1"/>
      </xdr:nvSpPr>
      <xdr:spPr>
        <a:xfrm>
          <a:off x="5903852" y="803081"/>
          <a:ext cx="1626033" cy="267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accent6">
                  <a:lumMod val="50000"/>
                </a:schemeClr>
              </a:solidFill>
              <a:latin typeface="Amasis MT Std" panose="02040802050304020203" pitchFamily="18" charset="0"/>
              <a:cs typeface="Angsana New" panose="020B0502040204020203" pitchFamily="18" charset="-34"/>
            </a:rPr>
            <a:t>Product of the Year</a:t>
          </a:r>
          <a:endParaRPr lang="en-NG" sz="1200" b="0">
            <a:solidFill>
              <a:schemeClr val="accent6">
                <a:lumMod val="50000"/>
              </a:schemeClr>
            </a:solidFill>
            <a:latin typeface="Amasis MT Std" panose="02040802050304020203" pitchFamily="18" charset="0"/>
            <a:cs typeface="Angsana New" panose="020B0502040204020203" pitchFamily="18" charset="-34"/>
          </a:endParaRPr>
        </a:p>
      </xdr:txBody>
    </xdr:sp>
    <xdr:clientData/>
  </xdr:twoCellAnchor>
  <xdr:twoCellAnchor>
    <xdr:from>
      <xdr:col>9</xdr:col>
      <xdr:colOff>26514</xdr:colOff>
      <xdr:row>5</xdr:row>
      <xdr:rowOff>64933</xdr:rowOff>
    </xdr:from>
    <xdr:to>
      <xdr:col>11</xdr:col>
      <xdr:colOff>606958</xdr:colOff>
      <xdr:row>7</xdr:row>
      <xdr:rowOff>92762</xdr:rowOff>
    </xdr:to>
    <xdr:sp macro="" textlink="">
      <xdr:nvSpPr>
        <xdr:cNvPr id="28" name="TextBox 27">
          <a:extLst>
            <a:ext uri="{FF2B5EF4-FFF2-40B4-BE49-F238E27FC236}">
              <a16:creationId xmlns:a16="http://schemas.microsoft.com/office/drawing/2014/main" id="{300EEB26-6AC0-4975-8BDC-009AD92BA4DE}"/>
            </a:ext>
          </a:extLst>
        </xdr:cNvPr>
        <xdr:cNvSpPr txBox="1"/>
      </xdr:nvSpPr>
      <xdr:spPr>
        <a:xfrm>
          <a:off x="5751453" y="1019090"/>
          <a:ext cx="1852653" cy="409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700" b="1">
              <a:solidFill>
                <a:schemeClr val="accent6">
                  <a:lumMod val="50000"/>
                </a:schemeClr>
              </a:solidFill>
              <a:latin typeface="Amasis MT Std" panose="02040802050304020203" pitchFamily="18" charset="0"/>
              <a:cs typeface="Angsana New" panose="020B0502040204020203" pitchFamily="18" charset="-34"/>
            </a:rPr>
            <a:t>Beverages</a:t>
          </a:r>
          <a:endParaRPr lang="en-NG" sz="2700" b="1">
            <a:solidFill>
              <a:schemeClr val="accent6">
                <a:lumMod val="50000"/>
              </a:schemeClr>
            </a:solidFill>
            <a:latin typeface="Amasis MT Std" panose="02040802050304020203" pitchFamily="18" charset="0"/>
            <a:cs typeface="Angsana New" panose="020B0502040204020203" pitchFamily="18" charset="-34"/>
          </a:endParaRPr>
        </a:p>
      </xdr:txBody>
    </xdr:sp>
    <xdr:clientData/>
  </xdr:twoCellAnchor>
  <xdr:twoCellAnchor>
    <xdr:from>
      <xdr:col>3</xdr:col>
      <xdr:colOff>340769</xdr:colOff>
      <xdr:row>3</xdr:row>
      <xdr:rowOff>104698</xdr:rowOff>
    </xdr:from>
    <xdr:to>
      <xdr:col>8</xdr:col>
      <xdr:colOff>6815</xdr:colOff>
      <xdr:row>8</xdr:row>
      <xdr:rowOff>87465</xdr:rowOff>
    </xdr:to>
    <xdr:sp macro="" textlink="">
      <xdr:nvSpPr>
        <xdr:cNvPr id="30" name="Rectangle: Rounded Corners 29">
          <a:extLst>
            <a:ext uri="{FF2B5EF4-FFF2-40B4-BE49-F238E27FC236}">
              <a16:creationId xmlns:a16="http://schemas.microsoft.com/office/drawing/2014/main" id="{4FA69FA8-AD59-4EDE-81A4-4650EA03609A}"/>
            </a:ext>
          </a:extLst>
        </xdr:cNvPr>
        <xdr:cNvSpPr/>
      </xdr:nvSpPr>
      <xdr:spPr>
        <a:xfrm>
          <a:off x="2249082" y="684007"/>
          <a:ext cx="2846568" cy="948283"/>
        </a:xfrm>
        <a:prstGeom prst="roundRect">
          <a:avLst>
            <a:gd name="adj" fmla="val 0"/>
          </a:avLst>
        </a:prstGeom>
        <a:solidFill>
          <a:srgbClr val="FFFF00">
            <a:alpha val="23922"/>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endParaRPr lang="en-NG" sz="1100"/>
        </a:p>
      </xdr:txBody>
    </xdr:sp>
    <xdr:clientData/>
  </xdr:twoCellAnchor>
  <xdr:twoCellAnchor>
    <xdr:from>
      <xdr:col>4</xdr:col>
      <xdr:colOff>514186</xdr:colOff>
      <xdr:row>4</xdr:row>
      <xdr:rowOff>49031</xdr:rowOff>
    </xdr:from>
    <xdr:to>
      <xdr:col>7</xdr:col>
      <xdr:colOff>326004</xdr:colOff>
      <xdr:row>5</xdr:row>
      <xdr:rowOff>125892</xdr:rowOff>
    </xdr:to>
    <xdr:sp macro="" textlink="">
      <xdr:nvSpPr>
        <xdr:cNvPr id="32" name="TextBox 31">
          <a:extLst>
            <a:ext uri="{FF2B5EF4-FFF2-40B4-BE49-F238E27FC236}">
              <a16:creationId xmlns:a16="http://schemas.microsoft.com/office/drawing/2014/main" id="{976D3AB6-72BB-4030-A95E-D522067877F4}"/>
            </a:ext>
          </a:extLst>
        </xdr:cNvPr>
        <xdr:cNvSpPr txBox="1"/>
      </xdr:nvSpPr>
      <xdr:spPr>
        <a:xfrm>
          <a:off x="3058603" y="812356"/>
          <a:ext cx="1720131" cy="267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accent6">
                  <a:lumMod val="50000"/>
                </a:schemeClr>
              </a:solidFill>
              <a:latin typeface="Amasis MT Std" panose="02040802050304020203" pitchFamily="18" charset="0"/>
              <a:cs typeface="Angsana New" panose="020B0502040204020203" pitchFamily="18" charset="-34"/>
            </a:rPr>
            <a:t>Company of the Year</a:t>
          </a:r>
          <a:endParaRPr lang="en-NG" sz="1200" b="0">
            <a:solidFill>
              <a:schemeClr val="accent6">
                <a:lumMod val="50000"/>
              </a:schemeClr>
            </a:solidFill>
            <a:latin typeface="Amasis MT Std" panose="02040802050304020203" pitchFamily="18" charset="0"/>
            <a:cs typeface="Angsana New" panose="020B0502040204020203" pitchFamily="18" charset="-34"/>
          </a:endParaRPr>
        </a:p>
      </xdr:txBody>
    </xdr:sp>
    <xdr:clientData/>
  </xdr:twoCellAnchor>
  <xdr:twoCellAnchor>
    <xdr:from>
      <xdr:col>4</xdr:col>
      <xdr:colOff>216011</xdr:colOff>
      <xdr:row>5</xdr:row>
      <xdr:rowOff>82160</xdr:rowOff>
    </xdr:from>
    <xdr:to>
      <xdr:col>7</xdr:col>
      <xdr:colOff>612251</xdr:colOff>
      <xdr:row>7</xdr:row>
      <xdr:rowOff>109989</xdr:rowOff>
    </xdr:to>
    <xdr:sp macro="" textlink="">
      <xdr:nvSpPr>
        <xdr:cNvPr id="33" name="TextBox 32">
          <a:extLst>
            <a:ext uri="{FF2B5EF4-FFF2-40B4-BE49-F238E27FC236}">
              <a16:creationId xmlns:a16="http://schemas.microsoft.com/office/drawing/2014/main" id="{A24A66F7-815E-41D7-B76C-DEB94DF66834}"/>
            </a:ext>
          </a:extLst>
        </xdr:cNvPr>
        <xdr:cNvSpPr txBox="1"/>
      </xdr:nvSpPr>
      <xdr:spPr>
        <a:xfrm>
          <a:off x="2760428" y="1036317"/>
          <a:ext cx="2304553" cy="409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700" b="1">
              <a:solidFill>
                <a:schemeClr val="accent6">
                  <a:lumMod val="50000"/>
                </a:schemeClr>
              </a:solidFill>
              <a:latin typeface="Amasis MT Std" panose="02040802050304020203" pitchFamily="18" charset="0"/>
              <a:cs typeface="Angsana New" panose="020B0502040204020203" pitchFamily="18" charset="-34"/>
            </a:rPr>
            <a:t>Company D</a:t>
          </a:r>
          <a:endParaRPr lang="en-NG" sz="2700" b="1">
            <a:solidFill>
              <a:schemeClr val="accent6">
                <a:lumMod val="50000"/>
              </a:schemeClr>
            </a:solidFill>
            <a:latin typeface="Amasis MT Std" panose="02040802050304020203" pitchFamily="18" charset="0"/>
            <a:cs typeface="Angsana New" panose="020B0502040204020203" pitchFamily="18" charset="-34"/>
          </a:endParaRPr>
        </a:p>
      </xdr:txBody>
    </xdr:sp>
    <xdr:clientData/>
  </xdr:twoCellAnchor>
  <xdr:twoCellAnchor>
    <xdr:from>
      <xdr:col>3</xdr:col>
      <xdr:colOff>332818</xdr:colOff>
      <xdr:row>8</xdr:row>
      <xdr:rowOff>127221</xdr:rowOff>
    </xdr:from>
    <xdr:to>
      <xdr:col>8</xdr:col>
      <xdr:colOff>14765</xdr:colOff>
      <xdr:row>13</xdr:row>
      <xdr:rowOff>135172</xdr:rowOff>
    </xdr:to>
    <xdr:sp macro="" textlink="">
      <xdr:nvSpPr>
        <xdr:cNvPr id="35" name="Rectangle: Rounded Corners 34">
          <a:extLst>
            <a:ext uri="{FF2B5EF4-FFF2-40B4-BE49-F238E27FC236}">
              <a16:creationId xmlns:a16="http://schemas.microsoft.com/office/drawing/2014/main" id="{7E5ED397-7BBE-4C35-9FD6-CBB3DD53C2B0}"/>
            </a:ext>
          </a:extLst>
        </xdr:cNvPr>
        <xdr:cNvSpPr/>
      </xdr:nvSpPr>
      <xdr:spPr>
        <a:xfrm>
          <a:off x="2241131" y="1672046"/>
          <a:ext cx="2862469" cy="973467"/>
        </a:xfrm>
        <a:prstGeom prst="roundRect">
          <a:avLst>
            <a:gd name="adj" fmla="val 0"/>
          </a:avLst>
        </a:prstGeom>
        <a:solidFill>
          <a:schemeClr val="accent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546983</xdr:colOff>
      <xdr:row>9</xdr:row>
      <xdr:rowOff>82161</xdr:rowOff>
    </xdr:from>
    <xdr:to>
      <xdr:col>7</xdr:col>
      <xdr:colOff>214685</xdr:colOff>
      <xdr:row>10</xdr:row>
      <xdr:rowOff>159023</xdr:rowOff>
    </xdr:to>
    <xdr:sp macro="" textlink="">
      <xdr:nvSpPr>
        <xdr:cNvPr id="38" name="TextBox 37">
          <a:extLst>
            <a:ext uri="{FF2B5EF4-FFF2-40B4-BE49-F238E27FC236}">
              <a16:creationId xmlns:a16="http://schemas.microsoft.com/office/drawing/2014/main" id="{1AE2EEA6-46B4-4B3B-852C-8D6E5FF2C716}"/>
            </a:ext>
          </a:extLst>
        </xdr:cNvPr>
        <xdr:cNvSpPr txBox="1"/>
      </xdr:nvSpPr>
      <xdr:spPr>
        <a:xfrm>
          <a:off x="3091400" y="1799643"/>
          <a:ext cx="1576015" cy="267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accent6">
                  <a:lumMod val="50000"/>
                </a:schemeClr>
              </a:solidFill>
              <a:latin typeface="Amasis MT Std" panose="02040802050304020203" pitchFamily="18" charset="0"/>
              <a:cs typeface="Angsana New" panose="020B0502040204020203" pitchFamily="18" charset="-34"/>
            </a:rPr>
            <a:t>Top Grossing State</a:t>
          </a:r>
          <a:endParaRPr lang="en-NG" sz="1200" b="0">
            <a:solidFill>
              <a:schemeClr val="accent6">
                <a:lumMod val="50000"/>
              </a:schemeClr>
            </a:solidFill>
            <a:latin typeface="Amasis MT Std" panose="02040802050304020203" pitchFamily="18" charset="0"/>
            <a:cs typeface="Angsana New" panose="020B0502040204020203" pitchFamily="18" charset="-34"/>
          </a:endParaRPr>
        </a:p>
      </xdr:txBody>
    </xdr:sp>
    <xdr:clientData/>
  </xdr:twoCellAnchor>
  <xdr:twoCellAnchor>
    <xdr:from>
      <xdr:col>4</xdr:col>
      <xdr:colOff>262392</xdr:colOff>
      <xdr:row>10</xdr:row>
      <xdr:rowOff>131194</xdr:rowOff>
    </xdr:from>
    <xdr:to>
      <xdr:col>7</xdr:col>
      <xdr:colOff>453224</xdr:colOff>
      <xdr:row>12</xdr:row>
      <xdr:rowOff>159022</xdr:rowOff>
    </xdr:to>
    <xdr:sp macro="" textlink="">
      <xdr:nvSpPr>
        <xdr:cNvPr id="39" name="TextBox 38">
          <a:extLst>
            <a:ext uri="{FF2B5EF4-FFF2-40B4-BE49-F238E27FC236}">
              <a16:creationId xmlns:a16="http://schemas.microsoft.com/office/drawing/2014/main" id="{B236A406-808C-4F80-9235-9AEF11B8FCAF}"/>
            </a:ext>
          </a:extLst>
        </xdr:cNvPr>
        <xdr:cNvSpPr txBox="1"/>
      </xdr:nvSpPr>
      <xdr:spPr>
        <a:xfrm>
          <a:off x="2806809" y="2039507"/>
          <a:ext cx="2099145" cy="409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700" b="1">
              <a:solidFill>
                <a:schemeClr val="accent6">
                  <a:lumMod val="50000"/>
                </a:schemeClr>
              </a:solidFill>
              <a:latin typeface="Amasis MT Std" panose="02040802050304020203" pitchFamily="18" charset="0"/>
              <a:cs typeface="Angsana New" panose="020B0502040204020203" pitchFamily="18" charset="-34"/>
            </a:rPr>
            <a:t>New</a:t>
          </a:r>
          <a:r>
            <a:rPr lang="en-US" sz="2700" b="1" baseline="0">
              <a:solidFill>
                <a:schemeClr val="accent6">
                  <a:lumMod val="50000"/>
                </a:schemeClr>
              </a:solidFill>
              <a:latin typeface="Amasis MT Std" panose="02040802050304020203" pitchFamily="18" charset="0"/>
              <a:cs typeface="Angsana New" panose="020B0502040204020203" pitchFamily="18" charset="-34"/>
            </a:rPr>
            <a:t> York</a:t>
          </a:r>
          <a:endParaRPr lang="en-NG" sz="2700" b="1">
            <a:solidFill>
              <a:schemeClr val="accent6">
                <a:lumMod val="50000"/>
              </a:schemeClr>
            </a:solidFill>
            <a:latin typeface="Amasis MT Std" panose="02040802050304020203" pitchFamily="18" charset="0"/>
            <a:cs typeface="Angsana New" panose="020B0502040204020203" pitchFamily="18" charset="-34"/>
          </a:endParaRPr>
        </a:p>
      </xdr:txBody>
    </xdr:sp>
    <xdr:clientData/>
  </xdr:twoCellAnchor>
  <xdr:twoCellAnchor>
    <xdr:from>
      <xdr:col>8</xdr:col>
      <xdr:colOff>81785</xdr:colOff>
      <xdr:row>8</xdr:row>
      <xdr:rowOff>121918</xdr:rowOff>
    </xdr:from>
    <xdr:to>
      <xdr:col>12</xdr:col>
      <xdr:colOff>262395</xdr:colOff>
      <xdr:row>13</xdr:row>
      <xdr:rowOff>135172</xdr:rowOff>
    </xdr:to>
    <xdr:sp macro="" textlink="">
      <xdr:nvSpPr>
        <xdr:cNvPr id="40" name="Rectangle: Rounded Corners 39">
          <a:extLst>
            <a:ext uri="{FF2B5EF4-FFF2-40B4-BE49-F238E27FC236}">
              <a16:creationId xmlns:a16="http://schemas.microsoft.com/office/drawing/2014/main" id="{050F08FA-616A-4CB8-922A-1FC6BF1DD812}"/>
            </a:ext>
          </a:extLst>
        </xdr:cNvPr>
        <xdr:cNvSpPr/>
      </xdr:nvSpPr>
      <xdr:spPr>
        <a:xfrm>
          <a:off x="5170620" y="1666743"/>
          <a:ext cx="2725027" cy="978770"/>
        </a:xfrm>
        <a:prstGeom prst="roundRect">
          <a:avLst>
            <a:gd name="adj" fmla="val 0"/>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39758</xdr:colOff>
      <xdr:row>9</xdr:row>
      <xdr:rowOff>83487</xdr:rowOff>
    </xdr:from>
    <xdr:to>
      <xdr:col>11</xdr:col>
      <xdr:colOff>365761</xdr:colOff>
      <xdr:row>10</xdr:row>
      <xdr:rowOff>160349</xdr:rowOff>
    </xdr:to>
    <xdr:sp macro="" textlink="">
      <xdr:nvSpPr>
        <xdr:cNvPr id="41" name="TextBox 40">
          <a:extLst>
            <a:ext uri="{FF2B5EF4-FFF2-40B4-BE49-F238E27FC236}">
              <a16:creationId xmlns:a16="http://schemas.microsoft.com/office/drawing/2014/main" id="{098B22AE-ACA8-4237-82A4-40B2F8707A19}"/>
            </a:ext>
          </a:extLst>
        </xdr:cNvPr>
        <xdr:cNvSpPr txBox="1"/>
      </xdr:nvSpPr>
      <xdr:spPr>
        <a:xfrm>
          <a:off x="5764697" y="1800969"/>
          <a:ext cx="1598212" cy="267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accent6">
                  <a:lumMod val="50000"/>
                </a:schemeClr>
              </a:solidFill>
              <a:latin typeface="Amasis MT Std" panose="02040802050304020203" pitchFamily="18" charset="0"/>
              <a:cs typeface="Angsana New" panose="020B0502040204020203" pitchFamily="18" charset="-34"/>
            </a:rPr>
            <a:t>Best Region by Rev</a:t>
          </a:r>
          <a:endParaRPr lang="en-NG" sz="1200" b="0">
            <a:solidFill>
              <a:schemeClr val="accent6">
                <a:lumMod val="50000"/>
              </a:schemeClr>
            </a:solidFill>
            <a:latin typeface="Amasis MT Std" panose="02040802050304020203" pitchFamily="18" charset="0"/>
            <a:cs typeface="Angsana New" panose="020B0502040204020203" pitchFamily="18" charset="-34"/>
          </a:endParaRPr>
        </a:p>
      </xdr:txBody>
    </xdr:sp>
    <xdr:clientData/>
  </xdr:twoCellAnchor>
  <xdr:twoCellAnchor>
    <xdr:from>
      <xdr:col>8</xdr:col>
      <xdr:colOff>406842</xdr:colOff>
      <xdr:row>10</xdr:row>
      <xdr:rowOff>132519</xdr:rowOff>
    </xdr:from>
    <xdr:to>
      <xdr:col>11</xdr:col>
      <xdr:colOff>597674</xdr:colOff>
      <xdr:row>12</xdr:row>
      <xdr:rowOff>160347</xdr:rowOff>
    </xdr:to>
    <xdr:sp macro="" textlink="">
      <xdr:nvSpPr>
        <xdr:cNvPr id="42" name="TextBox 41">
          <a:extLst>
            <a:ext uri="{FF2B5EF4-FFF2-40B4-BE49-F238E27FC236}">
              <a16:creationId xmlns:a16="http://schemas.microsoft.com/office/drawing/2014/main" id="{95488418-D62D-4DE1-9D29-583EDD019911}"/>
            </a:ext>
          </a:extLst>
        </xdr:cNvPr>
        <xdr:cNvSpPr txBox="1"/>
      </xdr:nvSpPr>
      <xdr:spPr>
        <a:xfrm>
          <a:off x="5495677" y="2040832"/>
          <a:ext cx="2099145" cy="409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700" b="1">
              <a:solidFill>
                <a:schemeClr val="accent6">
                  <a:lumMod val="50000"/>
                </a:schemeClr>
              </a:solidFill>
              <a:latin typeface="Amasis MT Std" panose="02040802050304020203" pitchFamily="18" charset="0"/>
              <a:cs typeface="Angsana New" panose="020B0502040204020203" pitchFamily="18" charset="-34"/>
            </a:rPr>
            <a:t>North</a:t>
          </a:r>
          <a:endParaRPr lang="en-NG" sz="2700" b="1">
            <a:solidFill>
              <a:schemeClr val="accent6">
                <a:lumMod val="50000"/>
              </a:schemeClr>
            </a:solidFill>
            <a:latin typeface="Amasis MT Std" panose="02040802050304020203" pitchFamily="18" charset="0"/>
            <a:cs typeface="Angsana New" panose="020B0502040204020203" pitchFamily="18" charset="-34"/>
          </a:endParaRPr>
        </a:p>
      </xdr:txBody>
    </xdr:sp>
    <xdr:clientData/>
  </xdr:twoCellAnchor>
  <xdr:twoCellAnchor>
    <xdr:from>
      <xdr:col>12</xdr:col>
      <xdr:colOff>333954</xdr:colOff>
      <xdr:row>26</xdr:row>
      <xdr:rowOff>166977</xdr:rowOff>
    </xdr:from>
    <xdr:to>
      <xdr:col>22</xdr:col>
      <xdr:colOff>540687</xdr:colOff>
      <xdr:row>36</xdr:row>
      <xdr:rowOff>55660</xdr:rowOff>
    </xdr:to>
    <xdr:graphicFrame macro="">
      <xdr:nvGraphicFramePr>
        <xdr:cNvPr id="43" name="Chart 42">
          <a:extLst>
            <a:ext uri="{FF2B5EF4-FFF2-40B4-BE49-F238E27FC236}">
              <a16:creationId xmlns:a16="http://schemas.microsoft.com/office/drawing/2014/main" id="{0213D83D-846F-462E-857E-BE0E8B5CAC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572493</xdr:colOff>
      <xdr:row>14</xdr:row>
      <xdr:rowOff>43729</xdr:rowOff>
    </xdr:from>
    <xdr:to>
      <xdr:col>22</xdr:col>
      <xdr:colOff>500931</xdr:colOff>
      <xdr:row>25</xdr:row>
      <xdr:rowOff>79513</xdr:rowOff>
    </xdr:to>
    <mc:AlternateContent xmlns:mc="http://schemas.openxmlformats.org/markup-compatibility/2006">
      <mc:Choice xmlns:cx4="http://schemas.microsoft.com/office/drawing/2016/5/10/chartex" Requires="cx4">
        <xdr:graphicFrame macro="">
          <xdr:nvGraphicFramePr>
            <xdr:cNvPr id="44" name="Chart 43">
              <a:extLst>
                <a:ext uri="{FF2B5EF4-FFF2-40B4-BE49-F238E27FC236}">
                  <a16:creationId xmlns:a16="http://schemas.microsoft.com/office/drawing/2014/main" id="{BA57C4BE-E6E1-4F2F-AAD4-DAC1A199BF3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0114058" y="2715367"/>
              <a:ext cx="4381169" cy="2134929"/>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568525</xdr:colOff>
      <xdr:row>14</xdr:row>
      <xdr:rowOff>66260</xdr:rowOff>
    </xdr:from>
    <xdr:to>
      <xdr:col>18</xdr:col>
      <xdr:colOff>63608</xdr:colOff>
      <xdr:row>15</xdr:row>
      <xdr:rowOff>63609</xdr:rowOff>
    </xdr:to>
    <xdr:sp macro="" textlink="">
      <xdr:nvSpPr>
        <xdr:cNvPr id="45" name="TextBox 44">
          <a:extLst>
            <a:ext uri="{FF2B5EF4-FFF2-40B4-BE49-F238E27FC236}">
              <a16:creationId xmlns:a16="http://schemas.microsoft.com/office/drawing/2014/main" id="{18652A6D-5806-4A3C-9497-599ED614F286}"/>
            </a:ext>
          </a:extLst>
        </xdr:cNvPr>
        <xdr:cNvSpPr txBox="1"/>
      </xdr:nvSpPr>
      <xdr:spPr>
        <a:xfrm>
          <a:off x="10110090" y="2737898"/>
          <a:ext cx="1403396" cy="188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chemeClr val="accent6">
                  <a:lumMod val="50000"/>
                </a:schemeClr>
              </a:solidFill>
              <a:latin typeface="Amasis MT Std" panose="02040802050304020203" pitchFamily="18" charset="0"/>
              <a:cs typeface="Angsana New" panose="020B0502040204020203" pitchFamily="18" charset="-34"/>
            </a:rPr>
            <a:t>City by Revenue</a:t>
          </a:r>
          <a:endParaRPr lang="en-NG" sz="1200" b="1">
            <a:solidFill>
              <a:schemeClr val="accent6">
                <a:lumMod val="50000"/>
              </a:schemeClr>
            </a:solidFill>
            <a:latin typeface="Amasis MT Std" panose="02040802050304020203" pitchFamily="18" charset="0"/>
            <a:cs typeface="Angsana New" panose="020B0502040204020203" pitchFamily="18" charset="-34"/>
          </a:endParaRPr>
        </a:p>
      </xdr:txBody>
    </xdr:sp>
    <xdr:clientData/>
  </xdr:twoCellAnchor>
  <xdr:twoCellAnchor>
    <xdr:from>
      <xdr:col>10</xdr:col>
      <xdr:colOff>164332</xdr:colOff>
      <xdr:row>14</xdr:row>
      <xdr:rowOff>75535</xdr:rowOff>
    </xdr:from>
    <xdr:to>
      <xdr:col>12</xdr:col>
      <xdr:colOff>445271</xdr:colOff>
      <xdr:row>15</xdr:row>
      <xdr:rowOff>87464</xdr:rowOff>
    </xdr:to>
    <xdr:sp macro="" textlink="">
      <xdr:nvSpPr>
        <xdr:cNvPr id="46" name="TextBox 45">
          <a:extLst>
            <a:ext uri="{FF2B5EF4-FFF2-40B4-BE49-F238E27FC236}">
              <a16:creationId xmlns:a16="http://schemas.microsoft.com/office/drawing/2014/main" id="{243E1EB4-E634-4CA7-B726-8983434AEEA0}"/>
            </a:ext>
          </a:extLst>
        </xdr:cNvPr>
        <xdr:cNvSpPr txBox="1"/>
      </xdr:nvSpPr>
      <xdr:spPr>
        <a:xfrm>
          <a:off x="6525375" y="2747173"/>
          <a:ext cx="1553148" cy="2027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chemeClr val="accent6">
                  <a:lumMod val="50000"/>
                </a:schemeClr>
              </a:solidFill>
              <a:latin typeface="Amasis MT Std" panose="02040802050304020203" pitchFamily="18" charset="0"/>
              <a:cs typeface="Angsana New" panose="020B0502040204020203" pitchFamily="18" charset="-34"/>
            </a:rPr>
            <a:t>Product Category </a:t>
          </a:r>
          <a:endParaRPr lang="en-NG" sz="1200" b="1">
            <a:solidFill>
              <a:schemeClr val="accent6">
                <a:lumMod val="50000"/>
              </a:schemeClr>
            </a:solidFill>
            <a:latin typeface="Amasis MT Std" panose="02040802050304020203" pitchFamily="18" charset="0"/>
            <a:cs typeface="Angsana New" panose="020B0502040204020203" pitchFamily="18" charset="-34"/>
          </a:endParaRPr>
        </a:p>
      </xdr:txBody>
    </xdr:sp>
    <xdr:clientData/>
  </xdr:twoCellAnchor>
  <xdr:twoCellAnchor>
    <xdr:from>
      <xdr:col>12</xdr:col>
      <xdr:colOff>459856</xdr:colOff>
      <xdr:row>3</xdr:row>
      <xdr:rowOff>76860</xdr:rowOff>
    </xdr:from>
    <xdr:to>
      <xdr:col>15</xdr:col>
      <xdr:colOff>365757</xdr:colOff>
      <xdr:row>4</xdr:row>
      <xdr:rowOff>47708</xdr:rowOff>
    </xdr:to>
    <xdr:sp macro="" textlink="">
      <xdr:nvSpPr>
        <xdr:cNvPr id="47" name="TextBox 46">
          <a:extLst>
            <a:ext uri="{FF2B5EF4-FFF2-40B4-BE49-F238E27FC236}">
              <a16:creationId xmlns:a16="http://schemas.microsoft.com/office/drawing/2014/main" id="{C48B5C36-F881-433D-9D9A-C9286A14B380}"/>
            </a:ext>
          </a:extLst>
        </xdr:cNvPr>
        <xdr:cNvSpPr txBox="1"/>
      </xdr:nvSpPr>
      <xdr:spPr>
        <a:xfrm>
          <a:off x="8093108" y="649354"/>
          <a:ext cx="1814214" cy="161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chemeClr val="accent6">
                  <a:lumMod val="50000"/>
                </a:schemeClr>
              </a:solidFill>
              <a:latin typeface="Amasis MT Std" panose="02040802050304020203" pitchFamily="18" charset="0"/>
              <a:cs typeface="Angsana New" panose="020B0502040204020203" pitchFamily="18" charset="-34"/>
            </a:rPr>
            <a:t>Regional Performance</a:t>
          </a:r>
          <a:endParaRPr lang="en-NG" sz="1200" b="1">
            <a:solidFill>
              <a:schemeClr val="accent6">
                <a:lumMod val="50000"/>
              </a:schemeClr>
            </a:solidFill>
            <a:latin typeface="Amasis MT Std" panose="02040802050304020203" pitchFamily="18" charset="0"/>
            <a:cs typeface="Angsana New" panose="020B0502040204020203" pitchFamily="18" charset="-34"/>
          </a:endParaRPr>
        </a:p>
      </xdr:txBody>
    </xdr:sp>
    <xdr:clientData/>
  </xdr:twoCellAnchor>
  <xdr:twoCellAnchor>
    <xdr:from>
      <xdr:col>17</xdr:col>
      <xdr:colOff>492988</xdr:colOff>
      <xdr:row>3</xdr:row>
      <xdr:rowOff>62282</xdr:rowOff>
    </xdr:from>
    <xdr:to>
      <xdr:col>21</xdr:col>
      <xdr:colOff>270345</xdr:colOff>
      <xdr:row>4</xdr:row>
      <xdr:rowOff>47708</xdr:rowOff>
    </xdr:to>
    <xdr:sp macro="" textlink="">
      <xdr:nvSpPr>
        <xdr:cNvPr id="48" name="TextBox 47">
          <a:extLst>
            <a:ext uri="{FF2B5EF4-FFF2-40B4-BE49-F238E27FC236}">
              <a16:creationId xmlns:a16="http://schemas.microsoft.com/office/drawing/2014/main" id="{6AD2D07D-8479-433C-9FC1-0E978A014077}"/>
            </a:ext>
          </a:extLst>
        </xdr:cNvPr>
        <xdr:cNvSpPr txBox="1"/>
      </xdr:nvSpPr>
      <xdr:spPr>
        <a:xfrm>
          <a:off x="11306762" y="634776"/>
          <a:ext cx="2321774" cy="176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chemeClr val="accent6">
                  <a:lumMod val="50000"/>
                </a:schemeClr>
              </a:solidFill>
              <a:latin typeface="Amasis MT Std" panose="02040802050304020203" pitchFamily="18" charset="0"/>
              <a:cs typeface="Angsana New" panose="020B0502040204020203" pitchFamily="18" charset="-34"/>
            </a:rPr>
            <a:t>Top 6 Ship Cities by Revenue</a:t>
          </a:r>
          <a:endParaRPr lang="en-NG" sz="1200" b="1">
            <a:solidFill>
              <a:schemeClr val="accent6">
                <a:lumMod val="50000"/>
              </a:schemeClr>
            </a:solidFill>
            <a:latin typeface="Amasis MT Std" panose="02040802050304020203" pitchFamily="18" charset="0"/>
            <a:cs typeface="Angsana New" panose="020B0502040204020203" pitchFamily="18" charset="-34"/>
          </a:endParaRPr>
        </a:p>
      </xdr:txBody>
    </xdr:sp>
    <xdr:clientData/>
  </xdr:twoCellAnchor>
  <xdr:twoCellAnchor>
    <xdr:from>
      <xdr:col>3</xdr:col>
      <xdr:colOff>308781</xdr:colOff>
      <xdr:row>14</xdr:row>
      <xdr:rowOff>76860</xdr:rowOff>
    </xdr:from>
    <xdr:to>
      <xdr:col>6</xdr:col>
      <xdr:colOff>206733</xdr:colOff>
      <xdr:row>15</xdr:row>
      <xdr:rowOff>111318</xdr:rowOff>
    </xdr:to>
    <xdr:sp macro="" textlink="">
      <xdr:nvSpPr>
        <xdr:cNvPr id="49" name="TextBox 48">
          <a:extLst>
            <a:ext uri="{FF2B5EF4-FFF2-40B4-BE49-F238E27FC236}">
              <a16:creationId xmlns:a16="http://schemas.microsoft.com/office/drawing/2014/main" id="{4F2057A9-33CE-4FC5-B86A-C8EA487064E1}"/>
            </a:ext>
          </a:extLst>
        </xdr:cNvPr>
        <xdr:cNvSpPr txBox="1"/>
      </xdr:nvSpPr>
      <xdr:spPr>
        <a:xfrm>
          <a:off x="2217094" y="2748498"/>
          <a:ext cx="1806265" cy="225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chemeClr val="accent6">
                  <a:lumMod val="50000"/>
                </a:schemeClr>
              </a:solidFill>
              <a:latin typeface="Amasis MT Std" panose="02040802050304020203" pitchFamily="18" charset="0"/>
              <a:cs typeface="Angsana New" panose="020B0502040204020203" pitchFamily="18" charset="-34"/>
            </a:rPr>
            <a:t>Sales By Salespersons</a:t>
          </a:r>
          <a:endParaRPr lang="en-NG" sz="1200" b="1">
            <a:solidFill>
              <a:schemeClr val="accent6">
                <a:lumMod val="50000"/>
              </a:schemeClr>
            </a:solidFill>
            <a:latin typeface="Amasis MT Std" panose="02040802050304020203" pitchFamily="18" charset="0"/>
            <a:cs typeface="Angsana New" panose="020B0502040204020203" pitchFamily="18" charset="-34"/>
          </a:endParaRPr>
        </a:p>
      </xdr:txBody>
    </xdr:sp>
    <xdr:clientData/>
  </xdr:twoCellAnchor>
  <xdr:twoCellAnchor>
    <xdr:from>
      <xdr:col>12</xdr:col>
      <xdr:colOff>299507</xdr:colOff>
      <xdr:row>26</xdr:row>
      <xdr:rowOff>3974</xdr:rowOff>
    </xdr:from>
    <xdr:to>
      <xdr:col>14</xdr:col>
      <xdr:colOff>430694</xdr:colOff>
      <xdr:row>27</xdr:row>
      <xdr:rowOff>1324</xdr:rowOff>
    </xdr:to>
    <xdr:sp macro="" textlink="">
      <xdr:nvSpPr>
        <xdr:cNvPr id="50" name="TextBox 49">
          <a:extLst>
            <a:ext uri="{FF2B5EF4-FFF2-40B4-BE49-F238E27FC236}">
              <a16:creationId xmlns:a16="http://schemas.microsoft.com/office/drawing/2014/main" id="{1C020F49-BFE6-4A69-A10F-F92E12A76044}"/>
            </a:ext>
          </a:extLst>
        </xdr:cNvPr>
        <xdr:cNvSpPr txBox="1"/>
      </xdr:nvSpPr>
      <xdr:spPr>
        <a:xfrm>
          <a:off x="7932759" y="4965588"/>
          <a:ext cx="1403396" cy="188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chemeClr val="accent6">
                  <a:lumMod val="50000"/>
                </a:schemeClr>
              </a:solidFill>
              <a:latin typeface="Amasis MT Std" panose="02040802050304020203" pitchFamily="18" charset="0"/>
              <a:cs typeface="Angsana New" panose="020B0502040204020203" pitchFamily="18" charset="-34"/>
            </a:rPr>
            <a:t>Sales Trend</a:t>
          </a:r>
          <a:endParaRPr lang="en-NG" sz="1200" b="1">
            <a:solidFill>
              <a:schemeClr val="accent6">
                <a:lumMod val="50000"/>
              </a:schemeClr>
            </a:solidFill>
            <a:latin typeface="Amasis MT Std" panose="02040802050304020203" pitchFamily="18" charset="0"/>
            <a:cs typeface="Angsana New" panose="020B0502040204020203" pitchFamily="18" charset="-34"/>
          </a:endParaRPr>
        </a:p>
      </xdr:txBody>
    </xdr:sp>
    <xdr:clientData/>
  </xdr:twoCellAnchor>
  <xdr:twoCellAnchor>
    <xdr:from>
      <xdr:col>3</xdr:col>
      <xdr:colOff>392266</xdr:colOff>
      <xdr:row>25</xdr:row>
      <xdr:rowOff>135172</xdr:rowOff>
    </xdr:from>
    <xdr:to>
      <xdr:col>12</xdr:col>
      <xdr:colOff>198783</xdr:colOff>
      <xdr:row>36</xdr:row>
      <xdr:rowOff>55659</xdr:rowOff>
    </xdr:to>
    <mc:AlternateContent xmlns:mc="http://schemas.openxmlformats.org/markup-compatibility/2006">
      <mc:Choice xmlns:cx2="http://schemas.microsoft.com/office/drawing/2015/10/21/chartex" Requires="cx2">
        <xdr:graphicFrame macro="">
          <xdr:nvGraphicFramePr>
            <xdr:cNvPr id="51" name="Chart 50">
              <a:extLst>
                <a:ext uri="{FF2B5EF4-FFF2-40B4-BE49-F238E27FC236}">
                  <a16:creationId xmlns:a16="http://schemas.microsoft.com/office/drawing/2014/main" id="{14139422-3EFA-4350-AE5E-D1F0DADB025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300579" y="4905955"/>
              <a:ext cx="5531456" cy="2019631"/>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323361</xdr:colOff>
      <xdr:row>26</xdr:row>
      <xdr:rowOff>35780</xdr:rowOff>
    </xdr:from>
    <xdr:to>
      <xdr:col>7</xdr:col>
      <xdr:colOff>429372</xdr:colOff>
      <xdr:row>27</xdr:row>
      <xdr:rowOff>0</xdr:rowOff>
    </xdr:to>
    <xdr:sp macro="" textlink="">
      <xdr:nvSpPr>
        <xdr:cNvPr id="52" name="TextBox 51">
          <a:extLst>
            <a:ext uri="{FF2B5EF4-FFF2-40B4-BE49-F238E27FC236}">
              <a16:creationId xmlns:a16="http://schemas.microsoft.com/office/drawing/2014/main" id="{91B105E0-AA33-4E23-811F-E676E901B913}"/>
            </a:ext>
          </a:extLst>
        </xdr:cNvPr>
        <xdr:cNvSpPr txBox="1"/>
      </xdr:nvSpPr>
      <xdr:spPr>
        <a:xfrm>
          <a:off x="2231674" y="4997394"/>
          <a:ext cx="2650428" cy="155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chemeClr val="accent6">
                  <a:lumMod val="50000"/>
                </a:schemeClr>
              </a:solidFill>
              <a:latin typeface="Amasis MT Std" panose="02040802050304020203" pitchFamily="18" charset="0"/>
              <a:cs typeface="Angsana New" panose="020B0502040204020203" pitchFamily="18" charset="-34"/>
            </a:rPr>
            <a:t>Ship</a:t>
          </a:r>
          <a:r>
            <a:rPr lang="en-US" sz="1200" b="1" baseline="0">
              <a:solidFill>
                <a:schemeClr val="accent6">
                  <a:lumMod val="50000"/>
                </a:schemeClr>
              </a:solidFill>
              <a:latin typeface="Amasis MT Std" panose="02040802050304020203" pitchFamily="18" charset="0"/>
              <a:cs typeface="Angsana New" panose="020B0502040204020203" pitchFamily="18" charset="-34"/>
            </a:rPr>
            <a:t> </a:t>
          </a:r>
          <a:r>
            <a:rPr lang="en-US" sz="1200" b="1">
              <a:solidFill>
                <a:schemeClr val="accent6">
                  <a:lumMod val="50000"/>
                </a:schemeClr>
              </a:solidFill>
              <a:latin typeface="Amasis MT Std" panose="02040802050304020203" pitchFamily="18" charset="0"/>
              <a:cs typeface="Angsana New" panose="020B0502040204020203" pitchFamily="18" charset="-34"/>
            </a:rPr>
            <a:t>Cities'</a:t>
          </a:r>
          <a:r>
            <a:rPr lang="en-US" sz="1200" b="1" baseline="0">
              <a:solidFill>
                <a:schemeClr val="accent6">
                  <a:lumMod val="50000"/>
                </a:schemeClr>
              </a:solidFill>
              <a:latin typeface="Amasis MT Std" panose="02040802050304020203" pitchFamily="18" charset="0"/>
              <a:cs typeface="Angsana New" panose="020B0502040204020203" pitchFamily="18" charset="-34"/>
            </a:rPr>
            <a:t> Performance Outlook</a:t>
          </a:r>
          <a:endParaRPr lang="en-NG" sz="1200" b="1">
            <a:solidFill>
              <a:schemeClr val="accent6">
                <a:lumMod val="50000"/>
              </a:schemeClr>
            </a:solidFill>
            <a:latin typeface="Amasis MT Std" panose="02040802050304020203" pitchFamily="18" charset="0"/>
            <a:cs typeface="Angsana New" panose="020B0502040204020203" pitchFamily="18" charset="-34"/>
          </a:endParaRPr>
        </a:p>
      </xdr:txBody>
    </xdr:sp>
    <xdr:clientData/>
  </xdr:twoCellAnchor>
  <xdr:twoCellAnchor>
    <xdr:from>
      <xdr:col>0</xdr:col>
      <xdr:colOff>575141</xdr:colOff>
      <xdr:row>3</xdr:row>
      <xdr:rowOff>107344</xdr:rowOff>
    </xdr:from>
    <xdr:to>
      <xdr:col>2</xdr:col>
      <xdr:colOff>508880</xdr:colOff>
      <xdr:row>4</xdr:row>
      <xdr:rowOff>111318</xdr:rowOff>
    </xdr:to>
    <xdr:sp macro="" textlink="">
      <xdr:nvSpPr>
        <xdr:cNvPr id="55" name="TextBox 54">
          <a:extLst>
            <a:ext uri="{FF2B5EF4-FFF2-40B4-BE49-F238E27FC236}">
              <a16:creationId xmlns:a16="http://schemas.microsoft.com/office/drawing/2014/main" id="{39550D3C-8533-4072-8431-23BBD85BD064}"/>
            </a:ext>
          </a:extLst>
        </xdr:cNvPr>
        <xdr:cNvSpPr txBox="1"/>
      </xdr:nvSpPr>
      <xdr:spPr>
        <a:xfrm>
          <a:off x="575141" y="679838"/>
          <a:ext cx="1205948" cy="194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bg1"/>
              </a:solidFill>
              <a:latin typeface="Amasis MT Std" panose="02040802050304020203" pitchFamily="18" charset="0"/>
              <a:cs typeface="Angsana New" panose="020B0502040204020203" pitchFamily="18" charset="-34"/>
            </a:rPr>
            <a:t>Data Analytics</a:t>
          </a:r>
          <a:r>
            <a:rPr lang="en-US" sz="800" b="1" baseline="0">
              <a:solidFill>
                <a:schemeClr val="bg1"/>
              </a:solidFill>
              <a:latin typeface="Amasis MT Std" panose="02040802050304020203" pitchFamily="18" charset="0"/>
              <a:cs typeface="Angsana New" panose="020B0502040204020203" pitchFamily="18" charset="-34"/>
            </a:rPr>
            <a:t> </a:t>
          </a:r>
          <a:r>
            <a:rPr lang="en-US" sz="800" b="1">
              <a:solidFill>
                <a:schemeClr val="bg1"/>
              </a:solidFill>
              <a:latin typeface="Amasis MT Std" panose="02040802050304020203" pitchFamily="18" charset="0"/>
              <a:cs typeface="Angsana New" panose="020B0502040204020203" pitchFamily="18" charset="-34"/>
            </a:rPr>
            <a:t>Team</a:t>
          </a:r>
          <a:endParaRPr lang="en-NG" sz="800" b="1">
            <a:solidFill>
              <a:schemeClr val="bg1"/>
            </a:solidFill>
            <a:latin typeface="Amasis MT Std" panose="02040802050304020203" pitchFamily="18" charset="0"/>
            <a:cs typeface="Angsana New" panose="020B0502040204020203" pitchFamily="18" charset="-34"/>
          </a:endParaRPr>
        </a:p>
      </xdr:txBody>
    </xdr:sp>
    <xdr:clientData/>
  </xdr:twoCellAnchor>
  <xdr:twoCellAnchor>
    <xdr:from>
      <xdr:col>0</xdr:col>
      <xdr:colOff>485029</xdr:colOff>
      <xdr:row>5</xdr:row>
      <xdr:rowOff>71579</xdr:rowOff>
    </xdr:from>
    <xdr:to>
      <xdr:col>2</xdr:col>
      <xdr:colOff>620201</xdr:colOff>
      <xdr:row>6</xdr:row>
      <xdr:rowOff>159044</xdr:rowOff>
    </xdr:to>
    <xdr:sp macro="" textlink="">
      <xdr:nvSpPr>
        <xdr:cNvPr id="57" name="TextBox 56">
          <a:extLst>
            <a:ext uri="{FF2B5EF4-FFF2-40B4-BE49-F238E27FC236}">
              <a16:creationId xmlns:a16="http://schemas.microsoft.com/office/drawing/2014/main" id="{7C5C4D51-7AA5-4367-A420-275D8E6BAA6F}"/>
            </a:ext>
          </a:extLst>
        </xdr:cNvPr>
        <xdr:cNvSpPr txBox="1"/>
      </xdr:nvSpPr>
      <xdr:spPr>
        <a:xfrm>
          <a:off x="485029" y="1025736"/>
          <a:ext cx="1407381" cy="27829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0">
              <a:solidFill>
                <a:schemeClr val="accent6">
                  <a:lumMod val="50000"/>
                </a:schemeClr>
              </a:solidFill>
              <a:latin typeface="Amasis MT Std" panose="02040802050304020203" pitchFamily="18" charset="0"/>
            </a:rPr>
            <a:t>  Dashboard</a:t>
          </a:r>
          <a:endParaRPr lang="en-NG" sz="1000" b="0">
            <a:solidFill>
              <a:schemeClr val="accent6">
                <a:lumMod val="50000"/>
              </a:schemeClr>
            </a:solidFill>
            <a:latin typeface="Amasis MT Std" panose="02040802050304020203" pitchFamily="18" charset="0"/>
          </a:endParaRPr>
        </a:p>
      </xdr:txBody>
    </xdr:sp>
    <xdr:clientData/>
  </xdr:twoCellAnchor>
  <xdr:twoCellAnchor editAs="oneCell">
    <xdr:from>
      <xdr:col>0</xdr:col>
      <xdr:colOff>580446</xdr:colOff>
      <xdr:row>5</xdr:row>
      <xdr:rowOff>141228</xdr:rowOff>
    </xdr:from>
    <xdr:to>
      <xdr:col>1</xdr:col>
      <xdr:colOff>142342</xdr:colOff>
      <xdr:row>6</xdr:row>
      <xdr:rowOff>120828</xdr:rowOff>
    </xdr:to>
    <xdr:pic>
      <xdr:nvPicPr>
        <xdr:cNvPr id="58" name="Graphic 57" descr="Speech">
          <a:extLst>
            <a:ext uri="{FF2B5EF4-FFF2-40B4-BE49-F238E27FC236}">
              <a16:creationId xmlns:a16="http://schemas.microsoft.com/office/drawing/2014/main" id="{7C1D3CE9-F984-4875-B6A2-107A1B38E961}"/>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rcRect l="11339" t="16495" r="7217" b="13402"/>
        <a:stretch/>
      </xdr:blipFill>
      <xdr:spPr>
        <a:xfrm>
          <a:off x="580446" y="1095385"/>
          <a:ext cx="198000" cy="170431"/>
        </a:xfrm>
        <a:prstGeom prst="rect">
          <a:avLst/>
        </a:prstGeom>
      </xdr:spPr>
    </xdr:pic>
    <xdr:clientData/>
  </xdr:twoCellAnchor>
  <xdr:twoCellAnchor editAs="oneCell">
    <xdr:from>
      <xdr:col>1</xdr:col>
      <xdr:colOff>23854</xdr:colOff>
      <xdr:row>7</xdr:row>
      <xdr:rowOff>111326</xdr:rowOff>
    </xdr:from>
    <xdr:to>
      <xdr:col>1</xdr:col>
      <xdr:colOff>221854</xdr:colOff>
      <xdr:row>8</xdr:row>
      <xdr:rowOff>118495</xdr:rowOff>
    </xdr:to>
    <xdr:pic>
      <xdr:nvPicPr>
        <xdr:cNvPr id="61" name="Graphic 60" descr="Research">
          <a:extLst>
            <a:ext uri="{FF2B5EF4-FFF2-40B4-BE49-F238E27FC236}">
              <a16:creationId xmlns:a16="http://schemas.microsoft.com/office/drawing/2014/main" id="{F024EE34-C9ED-4691-B1A0-EF50123B5356}"/>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659958" y="1447145"/>
          <a:ext cx="198000" cy="198000"/>
        </a:xfrm>
        <a:prstGeom prst="rect">
          <a:avLst/>
        </a:prstGeom>
      </xdr:spPr>
    </xdr:pic>
    <xdr:clientData/>
  </xdr:twoCellAnchor>
  <xdr:twoCellAnchor>
    <xdr:from>
      <xdr:col>0</xdr:col>
      <xdr:colOff>410812</xdr:colOff>
      <xdr:row>11</xdr:row>
      <xdr:rowOff>45057</xdr:rowOff>
    </xdr:from>
    <xdr:to>
      <xdr:col>3</xdr:col>
      <xdr:colOff>47707</xdr:colOff>
      <xdr:row>11</xdr:row>
      <xdr:rowOff>45057</xdr:rowOff>
    </xdr:to>
    <xdr:cxnSp macro="">
      <xdr:nvCxnSpPr>
        <xdr:cNvPr id="62" name="Straight Connector 61">
          <a:extLst>
            <a:ext uri="{FF2B5EF4-FFF2-40B4-BE49-F238E27FC236}">
              <a16:creationId xmlns:a16="http://schemas.microsoft.com/office/drawing/2014/main" id="{24D4F5F1-9077-4AC7-A40C-04588F91B145}"/>
            </a:ext>
          </a:extLst>
        </xdr:cNvPr>
        <xdr:cNvCxnSpPr/>
      </xdr:nvCxnSpPr>
      <xdr:spPr>
        <a:xfrm flipH="1">
          <a:off x="410812" y="2144201"/>
          <a:ext cx="1545208" cy="0"/>
        </a:xfrm>
        <a:prstGeom prst="line">
          <a:avLst/>
        </a:prstGeom>
        <a:ln w="19050">
          <a:solidFill>
            <a:schemeClr val="bg1">
              <a:alpha val="3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261069</xdr:colOff>
      <xdr:row>7</xdr:row>
      <xdr:rowOff>82161</xdr:rowOff>
    </xdr:from>
    <xdr:to>
      <xdr:col>2</xdr:col>
      <xdr:colOff>349858</xdr:colOff>
      <xdr:row>8</xdr:row>
      <xdr:rowOff>159023</xdr:rowOff>
    </xdr:to>
    <xdr:sp macro="" textlink="">
      <xdr:nvSpPr>
        <xdr:cNvPr id="66" name="TextBox 65">
          <a:hlinkClick xmlns:r="http://schemas.openxmlformats.org/officeDocument/2006/relationships" r:id="rId12"/>
          <a:extLst>
            <a:ext uri="{FF2B5EF4-FFF2-40B4-BE49-F238E27FC236}">
              <a16:creationId xmlns:a16="http://schemas.microsoft.com/office/drawing/2014/main" id="{E68FFF40-A5FD-4059-A857-D16F3ADF242B}"/>
            </a:ext>
          </a:extLst>
        </xdr:cNvPr>
        <xdr:cNvSpPr txBox="1"/>
      </xdr:nvSpPr>
      <xdr:spPr>
        <a:xfrm>
          <a:off x="897173" y="1417980"/>
          <a:ext cx="724894" cy="267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0">
              <a:solidFill>
                <a:schemeClr val="bg1"/>
              </a:solidFill>
              <a:latin typeface="Amasis MT Std" panose="02040802050304020203" pitchFamily="18" charset="0"/>
              <a:cs typeface="Angsana New" panose="020B0502040204020203" pitchFamily="18" charset="-34"/>
            </a:rPr>
            <a:t>Insights</a:t>
          </a:r>
          <a:endParaRPr lang="en-NG" sz="1000" b="0">
            <a:solidFill>
              <a:schemeClr val="bg1"/>
            </a:solidFill>
            <a:latin typeface="Amasis MT Std" panose="02040802050304020203" pitchFamily="18" charset="0"/>
            <a:cs typeface="Angsana New" panose="020B0502040204020203" pitchFamily="18" charset="-34"/>
          </a:endParaRPr>
        </a:p>
      </xdr:txBody>
    </xdr:sp>
    <xdr:clientData/>
  </xdr:twoCellAnchor>
  <xdr:twoCellAnchor>
    <xdr:from>
      <xdr:col>1</xdr:col>
      <xdr:colOff>15903</xdr:colOff>
      <xdr:row>11</xdr:row>
      <xdr:rowOff>123245</xdr:rowOff>
    </xdr:from>
    <xdr:to>
      <xdr:col>2</xdr:col>
      <xdr:colOff>437321</xdr:colOff>
      <xdr:row>13</xdr:row>
      <xdr:rowOff>9275</xdr:rowOff>
    </xdr:to>
    <xdr:sp macro="" textlink="">
      <xdr:nvSpPr>
        <xdr:cNvPr id="67" name="TextBox 66">
          <a:hlinkClick xmlns:r="http://schemas.openxmlformats.org/officeDocument/2006/relationships" r:id="rId13"/>
          <a:extLst>
            <a:ext uri="{FF2B5EF4-FFF2-40B4-BE49-F238E27FC236}">
              <a16:creationId xmlns:a16="http://schemas.microsoft.com/office/drawing/2014/main" id="{2091FB2D-5E80-4B7E-AC12-43066676A6E0}"/>
            </a:ext>
          </a:extLst>
        </xdr:cNvPr>
        <xdr:cNvSpPr txBox="1"/>
      </xdr:nvSpPr>
      <xdr:spPr>
        <a:xfrm>
          <a:off x="652007" y="2222389"/>
          <a:ext cx="1057523" cy="267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0">
              <a:solidFill>
                <a:schemeClr val="bg1"/>
              </a:solidFill>
              <a:latin typeface="Amasis MT Std" panose="02040802050304020203" pitchFamily="18" charset="0"/>
              <a:cs typeface="Angsana New" panose="020B0502040204020203" pitchFamily="18" charset="-34"/>
            </a:rPr>
            <a:t>Pre Analysis</a:t>
          </a:r>
          <a:endParaRPr lang="en-NG" sz="1000" b="0">
            <a:solidFill>
              <a:schemeClr val="bg1"/>
            </a:solidFill>
            <a:latin typeface="Amasis MT Std" panose="02040802050304020203" pitchFamily="18" charset="0"/>
            <a:cs typeface="Angsana New" panose="020B0502040204020203" pitchFamily="18" charset="-34"/>
          </a:endParaRPr>
        </a:p>
      </xdr:txBody>
    </xdr:sp>
    <xdr:clientData/>
  </xdr:twoCellAnchor>
  <xdr:twoCellAnchor>
    <xdr:from>
      <xdr:col>0</xdr:col>
      <xdr:colOff>604297</xdr:colOff>
      <xdr:row>12</xdr:row>
      <xdr:rowOff>180237</xdr:rowOff>
    </xdr:from>
    <xdr:to>
      <xdr:col>2</xdr:col>
      <xdr:colOff>508881</xdr:colOff>
      <xdr:row>14</xdr:row>
      <xdr:rowOff>66268</xdr:rowOff>
    </xdr:to>
    <xdr:sp macro="" textlink="">
      <xdr:nvSpPr>
        <xdr:cNvPr id="68" name="TextBox 67">
          <a:hlinkClick xmlns:r="http://schemas.openxmlformats.org/officeDocument/2006/relationships" r:id="rId14"/>
          <a:extLst>
            <a:ext uri="{FF2B5EF4-FFF2-40B4-BE49-F238E27FC236}">
              <a16:creationId xmlns:a16="http://schemas.microsoft.com/office/drawing/2014/main" id="{85E9184D-7676-4E48-A221-0881651F6303}"/>
            </a:ext>
          </a:extLst>
        </xdr:cNvPr>
        <xdr:cNvSpPr txBox="1"/>
      </xdr:nvSpPr>
      <xdr:spPr>
        <a:xfrm>
          <a:off x="604297" y="2470213"/>
          <a:ext cx="1176793" cy="267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0">
              <a:solidFill>
                <a:schemeClr val="bg1"/>
              </a:solidFill>
              <a:latin typeface="Amasis MT Std" panose="02040802050304020203" pitchFamily="18" charset="0"/>
              <a:cs typeface="Angsana New" panose="020B0502040204020203" pitchFamily="18" charset="-34"/>
            </a:rPr>
            <a:t>Post Analysis</a:t>
          </a:r>
          <a:endParaRPr lang="en-NG" sz="1000" b="0">
            <a:solidFill>
              <a:schemeClr val="bg1"/>
            </a:solidFill>
            <a:latin typeface="Amasis MT Std" panose="02040802050304020203" pitchFamily="18" charset="0"/>
            <a:cs typeface="Angsana New" panose="020B0502040204020203" pitchFamily="18" charset="-34"/>
          </a:endParaRPr>
        </a:p>
      </xdr:txBody>
    </xdr:sp>
    <xdr:clientData/>
  </xdr:twoCellAnchor>
  <xdr:twoCellAnchor editAs="oneCell">
    <xdr:from>
      <xdr:col>0</xdr:col>
      <xdr:colOff>389614</xdr:colOff>
      <xdr:row>15</xdr:row>
      <xdr:rowOff>95416</xdr:rowOff>
    </xdr:from>
    <xdr:to>
      <xdr:col>3</xdr:col>
      <xdr:colOff>143123</xdr:colOff>
      <xdr:row>24</xdr:row>
      <xdr:rowOff>63611</xdr:rowOff>
    </xdr:to>
    <mc:AlternateContent xmlns:mc="http://schemas.openxmlformats.org/markup-compatibility/2006" xmlns:a14="http://schemas.microsoft.com/office/drawing/2010/main">
      <mc:Choice Requires="a14">
        <xdr:graphicFrame macro="">
          <xdr:nvGraphicFramePr>
            <xdr:cNvPr id="59" name="Product Name 2">
              <a:extLst>
                <a:ext uri="{FF2B5EF4-FFF2-40B4-BE49-F238E27FC236}">
                  <a16:creationId xmlns:a16="http://schemas.microsoft.com/office/drawing/2014/main" id="{13C016DC-005B-44CB-90F0-4D9CF0294356}"/>
                </a:ext>
              </a:extLst>
            </xdr:cNvPr>
            <xdr:cNvGraphicFramePr/>
          </xdr:nvGraphicFramePr>
          <xdr:xfrm>
            <a:off x="0" y="0"/>
            <a:ext cx="0" cy="0"/>
          </xdr:xfrm>
          <a:graphic>
            <a:graphicData uri="http://schemas.microsoft.com/office/drawing/2010/slicer">
              <sle:slicer xmlns:sle="http://schemas.microsoft.com/office/drawing/2010/slicer" name="Product Name 2"/>
            </a:graphicData>
          </a:graphic>
        </xdr:graphicFrame>
      </mc:Choice>
      <mc:Fallback xmlns="">
        <xdr:sp macro="" textlink="">
          <xdr:nvSpPr>
            <xdr:cNvPr id="0" name=""/>
            <xdr:cNvSpPr>
              <a:spLocks noTextEdit="1"/>
            </xdr:cNvSpPr>
          </xdr:nvSpPr>
          <xdr:spPr>
            <a:xfrm>
              <a:off x="389614" y="2957886"/>
              <a:ext cx="1661822" cy="168567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420089</xdr:colOff>
      <xdr:row>14</xdr:row>
      <xdr:rowOff>133851</xdr:rowOff>
    </xdr:from>
    <xdr:to>
      <xdr:col>3</xdr:col>
      <xdr:colOff>56984</xdr:colOff>
      <xdr:row>14</xdr:row>
      <xdr:rowOff>133851</xdr:rowOff>
    </xdr:to>
    <xdr:cxnSp macro="">
      <xdr:nvCxnSpPr>
        <xdr:cNvPr id="60" name="Straight Connector 59">
          <a:extLst>
            <a:ext uri="{FF2B5EF4-FFF2-40B4-BE49-F238E27FC236}">
              <a16:creationId xmlns:a16="http://schemas.microsoft.com/office/drawing/2014/main" id="{13C5EC98-3B10-4208-B4AF-3D2E092C294F}"/>
            </a:ext>
          </a:extLst>
        </xdr:cNvPr>
        <xdr:cNvCxnSpPr/>
      </xdr:nvCxnSpPr>
      <xdr:spPr>
        <a:xfrm flipH="1">
          <a:off x="420089" y="2805489"/>
          <a:ext cx="1545208" cy="0"/>
        </a:xfrm>
        <a:prstGeom prst="line">
          <a:avLst/>
        </a:prstGeom>
        <a:ln w="19050">
          <a:solidFill>
            <a:schemeClr val="bg1">
              <a:alpha val="3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405517</xdr:colOff>
      <xdr:row>24</xdr:row>
      <xdr:rowOff>127220</xdr:rowOff>
    </xdr:from>
    <xdr:to>
      <xdr:col>3</xdr:col>
      <xdr:colOff>135173</xdr:colOff>
      <xdr:row>35</xdr:row>
      <xdr:rowOff>39756</xdr:rowOff>
    </xdr:to>
    <mc:AlternateContent xmlns:mc="http://schemas.openxmlformats.org/markup-compatibility/2006" xmlns:a14="http://schemas.microsoft.com/office/drawing/2010/main">
      <mc:Choice Requires="a14">
        <xdr:graphicFrame macro="">
          <xdr:nvGraphicFramePr>
            <xdr:cNvPr id="63" name="Salesperson 3">
              <a:extLst>
                <a:ext uri="{FF2B5EF4-FFF2-40B4-BE49-F238E27FC236}">
                  <a16:creationId xmlns:a16="http://schemas.microsoft.com/office/drawing/2014/main" id="{A46AEEBB-E791-486D-94FF-C015237DBD21}"/>
                </a:ext>
              </a:extLst>
            </xdr:cNvPr>
            <xdr:cNvGraphicFramePr/>
          </xdr:nvGraphicFramePr>
          <xdr:xfrm>
            <a:off x="0" y="0"/>
            <a:ext cx="0" cy="0"/>
          </xdr:xfrm>
          <a:graphic>
            <a:graphicData uri="http://schemas.microsoft.com/office/drawing/2010/slicer">
              <sle:slicer xmlns:sle="http://schemas.microsoft.com/office/drawing/2010/slicer" name="Salesperson 3"/>
            </a:graphicData>
          </a:graphic>
        </xdr:graphicFrame>
      </mc:Choice>
      <mc:Fallback xmlns="">
        <xdr:sp macro="" textlink="">
          <xdr:nvSpPr>
            <xdr:cNvPr id="0" name=""/>
            <xdr:cNvSpPr>
              <a:spLocks noTextEdit="1"/>
            </xdr:cNvSpPr>
          </xdr:nvSpPr>
          <xdr:spPr>
            <a:xfrm>
              <a:off x="405517" y="4707171"/>
              <a:ext cx="1637969" cy="201168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119269</xdr:colOff>
      <xdr:row>35</xdr:row>
      <xdr:rowOff>21203</xdr:rowOff>
    </xdr:from>
    <xdr:to>
      <xdr:col>2</xdr:col>
      <xdr:colOff>208058</xdr:colOff>
      <xdr:row>36</xdr:row>
      <xdr:rowOff>98065</xdr:rowOff>
    </xdr:to>
    <xdr:sp macro="" textlink="">
      <xdr:nvSpPr>
        <xdr:cNvPr id="64" name="TextBox 63">
          <a:extLst>
            <a:ext uri="{FF2B5EF4-FFF2-40B4-BE49-F238E27FC236}">
              <a16:creationId xmlns:a16="http://schemas.microsoft.com/office/drawing/2014/main" id="{FE399AED-C3D2-4864-9B79-717AC26E4DFE}"/>
            </a:ext>
          </a:extLst>
        </xdr:cNvPr>
        <xdr:cNvSpPr txBox="1"/>
      </xdr:nvSpPr>
      <xdr:spPr>
        <a:xfrm>
          <a:off x="755373" y="6700299"/>
          <a:ext cx="724894" cy="267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0">
              <a:solidFill>
                <a:schemeClr val="bg1"/>
              </a:solidFill>
              <a:latin typeface="Amasis MT Std" panose="02040802050304020203" pitchFamily="18" charset="0"/>
              <a:cs typeface="Angsana New" panose="020B0502040204020203" pitchFamily="18" charset="-34"/>
            </a:rPr>
            <a:t>c 2026</a:t>
          </a:r>
          <a:endParaRPr lang="en-NG" sz="900" b="0">
            <a:solidFill>
              <a:schemeClr val="bg1"/>
            </a:solidFill>
            <a:latin typeface="Amasis MT Std" panose="02040802050304020203" pitchFamily="18" charset="0"/>
            <a:cs typeface="Angsana New" panose="020B0502040204020203" pitchFamily="18" charset="-34"/>
          </a:endParaRPr>
        </a:p>
      </xdr:txBody>
    </xdr:sp>
    <xdr:clientData/>
  </xdr:twoCellAnchor>
  <xdr:twoCellAnchor>
    <xdr:from>
      <xdr:col>19</xdr:col>
      <xdr:colOff>333954</xdr:colOff>
      <xdr:row>14</xdr:row>
      <xdr:rowOff>68911</xdr:rowOff>
    </xdr:from>
    <xdr:to>
      <xdr:col>22</xdr:col>
      <xdr:colOff>516834</xdr:colOff>
      <xdr:row>15</xdr:row>
      <xdr:rowOff>63610</xdr:rowOff>
    </xdr:to>
    <xdr:sp macro="" textlink="">
      <xdr:nvSpPr>
        <xdr:cNvPr id="65" name="TextBox 64">
          <a:extLst>
            <a:ext uri="{FF2B5EF4-FFF2-40B4-BE49-F238E27FC236}">
              <a16:creationId xmlns:a16="http://schemas.microsoft.com/office/drawing/2014/main" id="{43CD7A99-7880-4823-81E2-ED4E7643C1F2}"/>
            </a:ext>
          </a:extLst>
        </xdr:cNvPr>
        <xdr:cNvSpPr txBox="1"/>
      </xdr:nvSpPr>
      <xdr:spPr>
        <a:xfrm>
          <a:off x="12419937" y="2740549"/>
          <a:ext cx="2091193" cy="185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a:solidFill>
                <a:schemeClr val="accent6">
                  <a:lumMod val="60000"/>
                  <a:lumOff val="40000"/>
                </a:schemeClr>
              </a:solidFill>
              <a:latin typeface="Amasis MT Std" panose="02040802050304020203" pitchFamily="18" charset="0"/>
              <a:cs typeface="Angsana New" panose="020B0502040204020203" pitchFamily="18" charset="-34"/>
            </a:rPr>
            <a:t>Total Revenue generated</a:t>
          </a:r>
          <a:r>
            <a:rPr lang="en-US" sz="500" b="0" baseline="0">
              <a:solidFill>
                <a:schemeClr val="accent6">
                  <a:lumMod val="60000"/>
                  <a:lumOff val="40000"/>
                </a:schemeClr>
              </a:solidFill>
              <a:latin typeface="Amasis MT Std" panose="02040802050304020203" pitchFamily="18" charset="0"/>
              <a:cs typeface="Angsana New" panose="020B0502040204020203" pitchFamily="18" charset="-34"/>
            </a:rPr>
            <a:t> by all the states for FY'24 was $67.2k</a:t>
          </a:r>
          <a:endParaRPr lang="en-NG" sz="500" b="0">
            <a:solidFill>
              <a:schemeClr val="accent6">
                <a:lumMod val="60000"/>
                <a:lumOff val="40000"/>
              </a:schemeClr>
            </a:solidFill>
            <a:latin typeface="Amasis MT Std" panose="02040802050304020203" pitchFamily="18" charset="0"/>
            <a:cs typeface="Angsana New" panose="020B0502040204020203" pitchFamily="18" charset="-34"/>
          </a:endParaRPr>
        </a:p>
      </xdr:txBody>
    </xdr:sp>
    <xdr:clientData/>
  </xdr:twoCellAnchor>
  <xdr:twoCellAnchor>
    <xdr:from>
      <xdr:col>7</xdr:col>
      <xdr:colOff>174929</xdr:colOff>
      <xdr:row>14</xdr:row>
      <xdr:rowOff>62285</xdr:rowOff>
    </xdr:from>
    <xdr:to>
      <xdr:col>10</xdr:col>
      <xdr:colOff>119271</xdr:colOff>
      <xdr:row>15</xdr:row>
      <xdr:rowOff>95415</xdr:rowOff>
    </xdr:to>
    <xdr:sp macro="" textlink="">
      <xdr:nvSpPr>
        <xdr:cNvPr id="70" name="TextBox 69">
          <a:extLst>
            <a:ext uri="{FF2B5EF4-FFF2-40B4-BE49-F238E27FC236}">
              <a16:creationId xmlns:a16="http://schemas.microsoft.com/office/drawing/2014/main" id="{82D56103-8E5D-4933-AA30-F4277D17D0AE}"/>
            </a:ext>
          </a:extLst>
        </xdr:cNvPr>
        <xdr:cNvSpPr txBox="1"/>
      </xdr:nvSpPr>
      <xdr:spPr>
        <a:xfrm>
          <a:off x="4627659" y="2733923"/>
          <a:ext cx="1852655" cy="223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a:solidFill>
                <a:schemeClr val="accent6">
                  <a:lumMod val="60000"/>
                  <a:lumOff val="40000"/>
                </a:schemeClr>
              </a:solidFill>
              <a:latin typeface="Amasis MT Std" panose="02040802050304020203" pitchFamily="18" charset="0"/>
              <a:cs typeface="Angsana New" panose="020B0502040204020203" pitchFamily="18" charset="-34"/>
            </a:rPr>
            <a:t>Nancy Freehafer made the highest revenue</a:t>
          </a:r>
          <a:r>
            <a:rPr lang="en-US" sz="500" b="0" baseline="0">
              <a:solidFill>
                <a:schemeClr val="accent6">
                  <a:lumMod val="60000"/>
                  <a:lumOff val="40000"/>
                </a:schemeClr>
              </a:solidFill>
              <a:latin typeface="Amasis MT Std" panose="02040802050304020203" pitchFamily="18" charset="0"/>
              <a:cs typeface="Angsana New" panose="020B0502040204020203" pitchFamily="18" charset="-34"/>
            </a:rPr>
            <a:t> of $104.30k</a:t>
          </a:r>
          <a:endParaRPr lang="en-NG" sz="500" b="0">
            <a:solidFill>
              <a:schemeClr val="accent6">
                <a:lumMod val="60000"/>
                <a:lumOff val="40000"/>
              </a:schemeClr>
            </a:solidFill>
            <a:latin typeface="Amasis MT Std" panose="02040802050304020203" pitchFamily="18" charset="0"/>
            <a:cs typeface="Angsana New" panose="020B0502040204020203" pitchFamily="18" charset="-34"/>
          </a:endParaRPr>
        </a:p>
      </xdr:txBody>
    </xdr:sp>
    <xdr:clientData/>
  </xdr:twoCellAnchor>
  <xdr:twoCellAnchor>
    <xdr:from>
      <xdr:col>0</xdr:col>
      <xdr:colOff>0</xdr:colOff>
      <xdr:row>14</xdr:row>
      <xdr:rowOff>71561</xdr:rowOff>
    </xdr:from>
    <xdr:to>
      <xdr:col>0</xdr:col>
      <xdr:colOff>0</xdr:colOff>
      <xdr:row>15</xdr:row>
      <xdr:rowOff>161677</xdr:rowOff>
    </xdr:to>
    <xdr:sp macro="" textlink="">
      <xdr:nvSpPr>
        <xdr:cNvPr id="71" name="TextBox 70">
          <a:extLst>
            <a:ext uri="{FF2B5EF4-FFF2-40B4-BE49-F238E27FC236}">
              <a16:creationId xmlns:a16="http://schemas.microsoft.com/office/drawing/2014/main" id="{314EECF9-CAD6-4118-9286-30B316238AE9}"/>
            </a:ext>
          </a:extLst>
        </xdr:cNvPr>
        <xdr:cNvSpPr txBox="1"/>
      </xdr:nvSpPr>
      <xdr:spPr>
        <a:xfrm>
          <a:off x="0" y="2743199"/>
          <a:ext cx="0" cy="280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50" b="0">
              <a:solidFill>
                <a:sysClr val="windowText" lastClr="000000"/>
              </a:solidFill>
              <a:latin typeface="Amasis MT Std" panose="02040802050304020203" pitchFamily="18" charset="0"/>
              <a:cs typeface="Angsana New" panose="020B0502040204020203" pitchFamily="18" charset="-34"/>
            </a:rPr>
            <a:t>Nancy Freehafer made the highest revenue</a:t>
          </a:r>
          <a:r>
            <a:rPr lang="en-US" sz="550" b="0" baseline="0">
              <a:solidFill>
                <a:sysClr val="windowText" lastClr="000000"/>
              </a:solidFill>
              <a:latin typeface="Amasis MT Std" panose="02040802050304020203" pitchFamily="18" charset="0"/>
              <a:cs typeface="Angsana New" panose="020B0502040204020203" pitchFamily="18" charset="-34"/>
            </a:rPr>
            <a:t> of $104.30k</a:t>
          </a:r>
          <a:endParaRPr lang="en-NG" sz="550" b="0">
            <a:solidFill>
              <a:sysClr val="windowText" lastClr="000000"/>
            </a:solidFill>
            <a:latin typeface="Amasis MT Std" panose="02040802050304020203" pitchFamily="18" charset="0"/>
            <a:cs typeface="Angsana New" panose="020B0502040204020203" pitchFamily="18" charset="-34"/>
          </a:endParaRPr>
        </a:p>
      </xdr:txBody>
    </xdr:sp>
    <xdr:clientData/>
  </xdr:twoCellAnchor>
  <xdr:twoCellAnchor>
    <xdr:from>
      <xdr:col>13</xdr:col>
      <xdr:colOff>99390</xdr:colOff>
      <xdr:row>14</xdr:row>
      <xdr:rowOff>63610</xdr:rowOff>
    </xdr:from>
    <xdr:to>
      <xdr:col>15</xdr:col>
      <xdr:colOff>492981</xdr:colOff>
      <xdr:row>15</xdr:row>
      <xdr:rowOff>87464</xdr:rowOff>
    </xdr:to>
    <xdr:sp macro="" textlink="">
      <xdr:nvSpPr>
        <xdr:cNvPr id="72" name="TextBox 71">
          <a:extLst>
            <a:ext uri="{FF2B5EF4-FFF2-40B4-BE49-F238E27FC236}">
              <a16:creationId xmlns:a16="http://schemas.microsoft.com/office/drawing/2014/main" id="{1FA6C71E-D526-4F95-AA1A-3643829C567E}"/>
            </a:ext>
          </a:extLst>
        </xdr:cNvPr>
        <xdr:cNvSpPr txBox="1"/>
      </xdr:nvSpPr>
      <xdr:spPr>
        <a:xfrm>
          <a:off x="8368747" y="2735248"/>
          <a:ext cx="1665799" cy="214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50" b="0">
              <a:solidFill>
                <a:schemeClr val="accent6">
                  <a:lumMod val="60000"/>
                  <a:lumOff val="40000"/>
                </a:schemeClr>
              </a:solidFill>
              <a:latin typeface="Amasis MT Std" panose="02040802050304020203" pitchFamily="18" charset="0"/>
              <a:cs typeface="Angsana New" panose="020B0502040204020203" pitchFamily="18" charset="-34"/>
            </a:rPr>
            <a:t>The Product</a:t>
          </a:r>
          <a:r>
            <a:rPr lang="en-US" sz="450" b="0" baseline="0">
              <a:solidFill>
                <a:schemeClr val="accent6">
                  <a:lumMod val="60000"/>
                  <a:lumOff val="40000"/>
                </a:schemeClr>
              </a:solidFill>
              <a:latin typeface="Amasis MT Std" panose="02040802050304020203" pitchFamily="18" charset="0"/>
              <a:cs typeface="Angsana New" panose="020B0502040204020203" pitchFamily="18" charset="-34"/>
            </a:rPr>
            <a:t> Category with the highest revenue was Beverages ($110.58k)</a:t>
          </a:r>
          <a:endParaRPr lang="en-NG" sz="450" b="0">
            <a:solidFill>
              <a:schemeClr val="accent6">
                <a:lumMod val="60000"/>
                <a:lumOff val="40000"/>
              </a:schemeClr>
            </a:solidFill>
            <a:latin typeface="Amasis MT Std" panose="02040802050304020203" pitchFamily="18" charset="0"/>
            <a:cs typeface="Angsana New" panose="020B0502040204020203" pitchFamily="18" charset="-34"/>
          </a:endParaRPr>
        </a:p>
      </xdr:txBody>
    </xdr:sp>
    <xdr:clientData/>
  </xdr:twoCellAnchor>
  <xdr:twoCellAnchor>
    <xdr:from>
      <xdr:col>16</xdr:col>
      <xdr:colOff>514182</xdr:colOff>
      <xdr:row>12</xdr:row>
      <xdr:rowOff>103367</xdr:rowOff>
    </xdr:from>
    <xdr:to>
      <xdr:col>20</xdr:col>
      <xdr:colOff>0</xdr:colOff>
      <xdr:row>13</xdr:row>
      <xdr:rowOff>143123</xdr:rowOff>
    </xdr:to>
    <xdr:sp macro="" textlink="">
      <xdr:nvSpPr>
        <xdr:cNvPr id="73" name="TextBox 72">
          <a:extLst>
            <a:ext uri="{FF2B5EF4-FFF2-40B4-BE49-F238E27FC236}">
              <a16:creationId xmlns:a16="http://schemas.microsoft.com/office/drawing/2014/main" id="{4B5119F1-3BE5-41E0-8F30-5C9FB0ED2E62}"/>
            </a:ext>
          </a:extLst>
        </xdr:cNvPr>
        <xdr:cNvSpPr txBox="1"/>
      </xdr:nvSpPr>
      <xdr:spPr>
        <a:xfrm>
          <a:off x="10691852" y="2393343"/>
          <a:ext cx="2030235" cy="230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a:solidFill>
                <a:schemeClr val="accent6">
                  <a:lumMod val="60000"/>
                  <a:lumOff val="40000"/>
                </a:schemeClr>
              </a:solidFill>
              <a:latin typeface="Amasis MT Std" panose="02040802050304020203" pitchFamily="18" charset="0"/>
              <a:cs typeface="Angsana New" panose="020B0502040204020203" pitchFamily="18" charset="-34"/>
            </a:rPr>
            <a:t>The</a:t>
          </a:r>
          <a:r>
            <a:rPr lang="en-US" sz="500" b="0" baseline="0">
              <a:solidFill>
                <a:schemeClr val="accent6">
                  <a:lumMod val="60000"/>
                  <a:lumOff val="40000"/>
                </a:schemeClr>
              </a:solidFill>
              <a:latin typeface="Amasis MT Std" panose="02040802050304020203" pitchFamily="18" charset="0"/>
              <a:cs typeface="Angsana New" panose="020B0502040204020203" pitchFamily="18" charset="-34"/>
            </a:rPr>
            <a:t> North region generated the highest revenue of $141.68k, and New York city generated the highest revenue of $67.18k</a:t>
          </a:r>
          <a:endParaRPr lang="en-NG" sz="500" b="0">
            <a:solidFill>
              <a:schemeClr val="accent6">
                <a:lumMod val="60000"/>
                <a:lumOff val="40000"/>
              </a:schemeClr>
            </a:solidFill>
            <a:latin typeface="Amasis MT Std" panose="02040802050304020203" pitchFamily="18" charset="0"/>
            <a:cs typeface="Angsana New" panose="020B0502040204020203" pitchFamily="18" charset="-34"/>
          </a:endParaRPr>
        </a:p>
      </xdr:txBody>
    </xdr:sp>
    <xdr:clientData/>
  </xdr:twoCellAnchor>
  <xdr:twoCellAnchor>
    <xdr:from>
      <xdr:col>9</xdr:col>
      <xdr:colOff>222636</xdr:colOff>
      <xdr:row>25</xdr:row>
      <xdr:rowOff>185530</xdr:rowOff>
    </xdr:from>
    <xdr:to>
      <xdr:col>12</xdr:col>
      <xdr:colOff>258417</xdr:colOff>
      <xdr:row>26</xdr:row>
      <xdr:rowOff>174929</xdr:rowOff>
    </xdr:to>
    <xdr:sp macro="" textlink="">
      <xdr:nvSpPr>
        <xdr:cNvPr id="74" name="TextBox 73">
          <a:extLst>
            <a:ext uri="{FF2B5EF4-FFF2-40B4-BE49-F238E27FC236}">
              <a16:creationId xmlns:a16="http://schemas.microsoft.com/office/drawing/2014/main" id="{F3F61354-31AE-4CC0-824C-41791C2E0AFA}"/>
            </a:ext>
          </a:extLst>
        </xdr:cNvPr>
        <xdr:cNvSpPr txBox="1"/>
      </xdr:nvSpPr>
      <xdr:spPr>
        <a:xfrm>
          <a:off x="5947575" y="4956313"/>
          <a:ext cx="1944094" cy="1802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baseline="0">
              <a:solidFill>
                <a:schemeClr val="accent6">
                  <a:lumMod val="60000"/>
                  <a:lumOff val="40000"/>
                </a:schemeClr>
              </a:solidFill>
              <a:latin typeface="Amasis MT Std" panose="02040802050304020203" pitchFamily="18" charset="0"/>
              <a:cs typeface="Angsana New" panose="020B0502040204020203" pitchFamily="18" charset="-34"/>
            </a:rPr>
            <a:t>New York city generated the highest revenue of $67.18k</a:t>
          </a:r>
          <a:endParaRPr lang="en-NG" sz="500" b="0">
            <a:solidFill>
              <a:schemeClr val="accent6">
                <a:lumMod val="60000"/>
                <a:lumOff val="40000"/>
              </a:schemeClr>
            </a:solidFill>
            <a:latin typeface="Amasis MT Std" panose="02040802050304020203" pitchFamily="18" charset="0"/>
            <a:cs typeface="Angsana New" panose="020B0502040204020203" pitchFamily="18" charset="-34"/>
          </a:endParaRPr>
        </a:p>
      </xdr:txBody>
    </xdr:sp>
    <xdr:clientData/>
  </xdr:twoCellAnchor>
  <xdr:twoCellAnchor>
    <xdr:from>
      <xdr:col>19</xdr:col>
      <xdr:colOff>182881</xdr:colOff>
      <xdr:row>25</xdr:row>
      <xdr:rowOff>178904</xdr:rowOff>
    </xdr:from>
    <xdr:to>
      <xdr:col>22</xdr:col>
      <xdr:colOff>561892</xdr:colOff>
      <xdr:row>26</xdr:row>
      <xdr:rowOff>174929</xdr:rowOff>
    </xdr:to>
    <xdr:sp macro="" textlink="">
      <xdr:nvSpPr>
        <xdr:cNvPr id="75" name="TextBox 74">
          <a:extLst>
            <a:ext uri="{FF2B5EF4-FFF2-40B4-BE49-F238E27FC236}">
              <a16:creationId xmlns:a16="http://schemas.microsoft.com/office/drawing/2014/main" id="{524EFA2A-47A7-4163-AB21-90A1569EE373}"/>
            </a:ext>
          </a:extLst>
        </xdr:cNvPr>
        <xdr:cNvSpPr txBox="1"/>
      </xdr:nvSpPr>
      <xdr:spPr>
        <a:xfrm>
          <a:off x="12268864" y="4949687"/>
          <a:ext cx="2287324" cy="186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baseline="0">
              <a:solidFill>
                <a:schemeClr val="accent6">
                  <a:lumMod val="60000"/>
                  <a:lumOff val="40000"/>
                </a:schemeClr>
              </a:solidFill>
              <a:latin typeface="Amasis MT Std" panose="02040802050304020203" pitchFamily="18" charset="0"/>
              <a:cs typeface="Angsana New" panose="020B0502040204020203" pitchFamily="18" charset="-34"/>
            </a:rPr>
            <a:t>The month with the highest revenue generated is December ($66.64k) </a:t>
          </a:r>
          <a:endParaRPr lang="en-NG" sz="500" b="0">
            <a:solidFill>
              <a:schemeClr val="accent6">
                <a:lumMod val="60000"/>
                <a:lumOff val="40000"/>
              </a:schemeClr>
            </a:solidFill>
            <a:latin typeface="Amasis MT Std" panose="02040802050304020203" pitchFamily="18" charset="0"/>
            <a:cs typeface="Angsana New" panose="020B0502040204020203" pitchFamily="18" charset="-34"/>
          </a:endParaRPr>
        </a:p>
      </xdr:txBody>
    </xdr:sp>
    <xdr:clientData/>
  </xdr:twoCellAnchor>
  <xdr:twoCellAnchor>
    <xdr:from>
      <xdr:col>3</xdr:col>
      <xdr:colOff>286254</xdr:colOff>
      <xdr:row>0</xdr:row>
      <xdr:rowOff>159027</xdr:rowOff>
    </xdr:from>
    <xdr:to>
      <xdr:col>22</xdr:col>
      <xdr:colOff>540688</xdr:colOff>
      <xdr:row>2</xdr:row>
      <xdr:rowOff>174929</xdr:rowOff>
    </xdr:to>
    <xdr:sp macro="" textlink="">
      <xdr:nvSpPr>
        <xdr:cNvPr id="69" name="TextBox 68">
          <a:extLst>
            <a:ext uri="{FF2B5EF4-FFF2-40B4-BE49-F238E27FC236}">
              <a16:creationId xmlns:a16="http://schemas.microsoft.com/office/drawing/2014/main" id="{069E4B7E-4836-4A9F-A10C-577BB7585CB9}"/>
            </a:ext>
          </a:extLst>
        </xdr:cNvPr>
        <xdr:cNvSpPr txBox="1"/>
      </xdr:nvSpPr>
      <xdr:spPr>
        <a:xfrm>
          <a:off x="2194567" y="159027"/>
          <a:ext cx="12340417" cy="3975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accent6">
                  <a:lumMod val="50000"/>
                </a:schemeClr>
              </a:solidFill>
              <a:latin typeface="Amasis MT Std" panose="02040802050304020203" pitchFamily="18" charset="0"/>
              <a:cs typeface="Angsana New" panose="020B0502040204020203" pitchFamily="18" charset="-34"/>
            </a:rPr>
            <a:t>Nova Mart Revenue</a:t>
          </a:r>
          <a:r>
            <a:rPr lang="en-US" sz="2000" b="1" baseline="0">
              <a:solidFill>
                <a:schemeClr val="accent6">
                  <a:lumMod val="50000"/>
                </a:schemeClr>
              </a:solidFill>
              <a:latin typeface="Amasis MT Std" panose="02040802050304020203" pitchFamily="18" charset="0"/>
              <a:cs typeface="Angsana New" panose="020B0502040204020203" pitchFamily="18" charset="-34"/>
            </a:rPr>
            <a:t> &amp; </a:t>
          </a:r>
          <a:r>
            <a:rPr lang="en-US" sz="2000" b="1">
              <a:solidFill>
                <a:schemeClr val="accent6">
                  <a:lumMod val="50000"/>
                </a:schemeClr>
              </a:solidFill>
              <a:latin typeface="Amasis MT Std" panose="02040802050304020203" pitchFamily="18" charset="0"/>
              <a:cs typeface="Angsana New" panose="020B0502040204020203" pitchFamily="18" charset="-34"/>
            </a:rPr>
            <a:t>Profitability Analysis for 2014</a:t>
          </a:r>
          <a:endParaRPr lang="en-NG" sz="2000" b="1">
            <a:solidFill>
              <a:schemeClr val="accent6">
                <a:lumMod val="50000"/>
              </a:schemeClr>
            </a:solidFill>
            <a:latin typeface="Amasis MT Std" panose="02040802050304020203" pitchFamily="18" charset="0"/>
            <a:cs typeface="Angsana New" panose="020B0502040204020203" pitchFamily="18" charset="-34"/>
          </a:endParaRPr>
        </a:p>
      </xdr:txBody>
    </xdr:sp>
    <xdr:clientData/>
  </xdr:twoCellAnchor>
  <xdr:twoCellAnchor editAs="oneCell">
    <xdr:from>
      <xdr:col>1</xdr:col>
      <xdr:colOff>196130</xdr:colOff>
      <xdr:row>1</xdr:row>
      <xdr:rowOff>41472</xdr:rowOff>
    </xdr:from>
    <xdr:to>
      <xdr:col>2</xdr:col>
      <xdr:colOff>251787</xdr:colOff>
      <xdr:row>3</xdr:row>
      <xdr:rowOff>135174</xdr:rowOff>
    </xdr:to>
    <xdr:pic>
      <xdr:nvPicPr>
        <xdr:cNvPr id="16" name="Picture 15">
          <a:extLst>
            <a:ext uri="{FF2B5EF4-FFF2-40B4-BE49-F238E27FC236}">
              <a16:creationId xmlns:a16="http://schemas.microsoft.com/office/drawing/2014/main" id="{9088E4E4-D4EE-47FB-898D-BDF60AC28A6D}"/>
            </a:ext>
          </a:extLst>
        </xdr:cNvPr>
        <xdr:cNvPicPr>
          <a:picLocks noChangeAspect="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l="25894" t="19682" r="26016" b="19688"/>
        <a:stretch/>
      </xdr:blipFill>
      <xdr:spPr>
        <a:xfrm>
          <a:off x="832234" y="232303"/>
          <a:ext cx="691762" cy="47536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95414</xdr:colOff>
      <xdr:row>0</xdr:row>
      <xdr:rowOff>119268</xdr:rowOff>
    </xdr:from>
    <xdr:to>
      <xdr:col>8</xdr:col>
      <xdr:colOff>516834</xdr:colOff>
      <xdr:row>80</xdr:row>
      <xdr:rowOff>127221</xdr:rowOff>
    </xdr:to>
    <xdr:sp macro="" textlink="">
      <xdr:nvSpPr>
        <xdr:cNvPr id="2" name="Rectangle: Rounded Corners 1">
          <a:extLst>
            <a:ext uri="{FF2B5EF4-FFF2-40B4-BE49-F238E27FC236}">
              <a16:creationId xmlns:a16="http://schemas.microsoft.com/office/drawing/2014/main" id="{CC9B4576-9FFD-4CCD-9781-E12043D72379}"/>
            </a:ext>
          </a:extLst>
        </xdr:cNvPr>
        <xdr:cNvSpPr/>
      </xdr:nvSpPr>
      <xdr:spPr>
        <a:xfrm>
          <a:off x="95414" y="119268"/>
          <a:ext cx="5510255" cy="15274457"/>
        </a:xfrm>
        <a:prstGeom prst="roundRect">
          <a:avLst>
            <a:gd name="adj" fmla="val 5638"/>
          </a:avLst>
        </a:prstGeom>
        <a:solidFill>
          <a:schemeClr val="accent6">
            <a:lumMod val="50000"/>
          </a:schemeClr>
        </a:solidFill>
        <a:ln>
          <a:no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b="1" baseline="0"/>
            <a:t>POST-ANALYSIS OBSERVATIONS</a:t>
          </a:r>
        </a:p>
        <a:p>
          <a:pPr algn="l"/>
          <a:r>
            <a:rPr lang="en-US" sz="850" b="1" baseline="0"/>
            <a:t>1. Key Performance Indicators (KPIs) Summary</a:t>
          </a:r>
        </a:p>
        <a:p>
          <a:pPr algn="l"/>
          <a:br>
            <a:rPr lang="en-US" sz="850" b="1" baseline="0"/>
          </a:br>
          <a:r>
            <a:rPr lang="en-US" sz="850" b="1" baseline="0"/>
            <a:t>a. Top Performing Month: </a:t>
          </a:r>
          <a:r>
            <a:rPr lang="en-US" sz="850" b="0" baseline="0"/>
            <a:t>December with a total revenue of $66,642.78 (or rounded to 66.7k).</a:t>
          </a:r>
        </a:p>
        <a:p>
          <a:pPr algn="l"/>
          <a:r>
            <a:rPr lang="en-US" sz="850" b="0" baseline="0"/>
            <a:t>Customer of the Year: Company D, bringing in $67,180.50 (67.1k).</a:t>
          </a:r>
        </a:p>
        <a:p>
          <a:pPr algn="l"/>
          <a:r>
            <a:rPr lang="en-US" sz="850" b="1" baseline="0"/>
            <a:t>b. Best Region By Revenue: </a:t>
          </a:r>
          <a:r>
            <a:rPr lang="en-US" sz="850" b="0" baseline="0"/>
            <a:t>North Region, generating $141,680.34 (represented as 91.2k on the card, though total slice is $141,680.34).</a:t>
          </a:r>
        </a:p>
        <a:p>
          <a:pPr algn="l"/>
          <a:r>
            <a:rPr lang="en-US" sz="850" b="1" baseline="0"/>
            <a:t>c. Top Grossing State: </a:t>
          </a:r>
          <a:r>
            <a:rPr lang="en-US" sz="850" b="0" baseline="0"/>
            <a:t>New York, with a total revenue of $67,180.50 (67.1k).</a:t>
          </a:r>
        </a:p>
        <a:p>
          <a:pPr algn="l"/>
          <a:r>
            <a:rPr lang="en-US" sz="850" b="0" baseline="0"/>
            <a:t>Product of the Year: Beverages, dominating sales at $110,577.11 (110.5k).</a:t>
          </a:r>
          <a:br>
            <a:rPr lang="en-US" sz="850" b="0" baseline="0"/>
          </a:br>
          <a:endParaRPr lang="en-US" sz="850" b="0" baseline="0"/>
        </a:p>
        <a:p>
          <a:pPr algn="l"/>
          <a:r>
            <a:rPr lang="en-US" sz="850" b="1" baseline="0"/>
            <a:t>2. Analytical Breakdown &amp; Deep Dives</a:t>
          </a:r>
        </a:p>
        <a:p>
          <a:pPr algn="l"/>
          <a:r>
            <a:rPr lang="en-US" sz="850" b="1" baseline="0"/>
            <a:t>Salesperson Performance</a:t>
          </a:r>
        </a:p>
        <a:p>
          <a:pPr algn="l"/>
          <a:r>
            <a:rPr lang="en-US" sz="850" b="0" baseline="0"/>
            <a:t>Top Earner: Nancy Freehafer significantly leads the team with $104,252.34 in sales, followed closely by Anne Larsen at $93,858.33.</a:t>
          </a:r>
        </a:p>
        <a:p>
          <a:pPr algn="l"/>
          <a:r>
            <a:rPr lang="en-US" sz="850" b="0" baseline="0"/>
            <a:t>Mid-Tier Contributors: Andrew Cencini ($67,180.50), Mariya Sergienko ($42,370.88), and Laura Giussani ($41,095.01) form a stable mid-tier core.</a:t>
          </a:r>
        </a:p>
        <a:p>
          <a:pPr algn="l"/>
          <a:r>
            <a:rPr lang="en-US" sz="850" b="0" baseline="0"/>
            <a:t>Lowest Earner: Jan Kotas ranks lowest among the visible reps, contributing $16,350.50.</a:t>
          </a:r>
          <a:br>
            <a:rPr lang="en-US" sz="850" b="0" baseline="0"/>
          </a:br>
          <a:endParaRPr lang="en-US" sz="850" b="0" baseline="0"/>
        </a:p>
        <a:p>
          <a:pPr algn="l"/>
          <a:r>
            <a:rPr lang="en-US" sz="850" b="1" baseline="0"/>
            <a:t>3. Regional &amp; Geographic Performance</a:t>
          </a:r>
        </a:p>
        <a:p>
          <a:pPr algn="l"/>
          <a:r>
            <a:rPr lang="en-US" sz="850" b="0" baseline="0"/>
            <a:t>Dominant Regions: The North ($141,680.34) and East ($108,275.51) regions drive the bulk of company sales.</a:t>
          </a:r>
        </a:p>
        <a:p>
          <a:pPr algn="l"/>
          <a:r>
            <a:rPr lang="en-US" sz="850" b="0" baseline="0"/>
            <a:t>Lagging Regions: The South ($93,858.33) and West ($91,251.98) represent clear growth opportunities as they trail behind.</a:t>
          </a:r>
          <a:br>
            <a:rPr lang="en-US" sz="850" b="0" baseline="0"/>
          </a:br>
          <a:endParaRPr lang="en-US" sz="850" b="0" baseline="0"/>
        </a:p>
        <a:p>
          <a:pPr algn="l"/>
          <a:r>
            <a:rPr lang="en-US" sz="850" b="1" baseline="0"/>
            <a:t>Top Performing Cities:</a:t>
          </a:r>
        </a:p>
        <a:p>
          <a:pPr algn="l"/>
          <a:r>
            <a:rPr lang="en-US" sz="850" b="0" baseline="0"/>
            <a:t>New York: $67,180.50</a:t>
          </a:r>
        </a:p>
        <a:p>
          <a:pPr algn="l"/>
          <a:r>
            <a:rPr lang="en-US" sz="850" b="0" baseline="0"/>
            <a:t>Portland: $50,208.35</a:t>
          </a:r>
        </a:p>
        <a:p>
          <a:pPr algn="l"/>
          <a:r>
            <a:rPr lang="en-US" sz="850" b="0" baseline="0"/>
            <a:t>Miami: $50,145.33</a:t>
          </a:r>
        </a:p>
        <a:p>
          <a:pPr algn="l"/>
          <a:r>
            <a:rPr lang="en-US" sz="850" b="0" baseline="0"/>
            <a:t>Memphis: $43,713.00</a:t>
          </a:r>
        </a:p>
        <a:p>
          <a:pPr algn="l"/>
          <a:r>
            <a:rPr lang="en-US" sz="850" b="0" baseline="0"/>
            <a:t>Chicago: $41,095.01</a:t>
          </a:r>
        </a:p>
        <a:p>
          <a:pPr algn="l"/>
          <a:r>
            <a:rPr lang="en-US" sz="850" b="0" baseline="0"/>
            <a:t>Milwaukee: $37,428.00</a:t>
          </a:r>
        </a:p>
        <a:p>
          <a:pPr algn="l"/>
          <a:br>
            <a:rPr lang="en-US" sz="850" b="0" baseline="0"/>
          </a:br>
          <a:r>
            <a:rPr lang="en-US" sz="850" b="1" baseline="0"/>
            <a:t>Sales Trend (Seasonality)</a:t>
          </a:r>
        </a:p>
        <a:p>
          <a:pPr algn="l"/>
          <a:r>
            <a:rPr lang="en-US" sz="850" b="0" baseline="0"/>
            <a:t>The business shows a volatile but generally upward trajectory as the year progresses (indicated by the dotted blue trendline).</a:t>
          </a:r>
        </a:p>
        <a:p>
          <a:pPr algn="l"/>
          <a:r>
            <a:rPr lang="en-US" sz="850" b="0" baseline="0"/>
            <a:t>Peaks: Mid-year spikes occur in June ($55,601.61), followed by a steady autumn climb hitting an absolute maximum in December ($66,642.78).</a:t>
          </a:r>
        </a:p>
        <a:p>
          <a:pPr algn="l"/>
          <a:r>
            <a:rPr lang="en-US" sz="850" b="0" baseline="0"/>
            <a:t>Troughs: February ($19,985.50) and April ($20,771.79) suffer from a massive post-holiday drop-off and spring slump.</a:t>
          </a:r>
        </a:p>
        <a:p>
          <a:pPr algn="l"/>
          <a:br>
            <a:rPr lang="en-US" sz="850" b="0" baseline="0"/>
          </a:br>
          <a:r>
            <a:rPr lang="en-US" sz="850" b="1" baseline="0"/>
            <a:t>Product Category Performance</a:t>
          </a:r>
        </a:p>
        <a:p>
          <a:pPr algn="l"/>
          <a:r>
            <a:rPr lang="en-US" sz="850" b="0" baseline="0"/>
            <a:t>Beverages ($110,577.11) is the definitive primary revenue driver, occupying the largest share of the product portfolio mix.</a:t>
          </a:r>
        </a:p>
        <a:p>
          <a:pPr algn="l"/>
          <a:r>
            <a:rPr lang="en-US" sz="850" b="0" baseline="0"/>
            <a:t>Sauces ($69,000.00) and Jams, Preserves ($51,541.00) form strong secondary categories.</a:t>
          </a:r>
        </a:p>
        <a:p>
          <a:pPr algn="l"/>
          <a:r>
            <a:rPr lang="en-US" sz="850" b="0" baseline="0"/>
            <a:t>Dairy Products ($33,129.60), Dried Fruit &amp; Nuts ($27,999.50), and Canned Meat ($25,465.60) round out the bottom of the portfolio.</a:t>
          </a:r>
        </a:p>
        <a:p>
          <a:pPr algn="l"/>
          <a:br>
            <a:rPr lang="en-US" sz="850" b="0" baseline="0"/>
          </a:br>
          <a:r>
            <a:rPr lang="en-US" sz="850" b="1" baseline="0"/>
            <a:t>Strategic Recommendations &amp; Actions</a:t>
          </a:r>
        </a:p>
        <a:p>
          <a:pPr algn="l"/>
          <a:r>
            <a:rPr lang="en-US" sz="850" b="1" baseline="0"/>
            <a:t>1. Replicate Success in Low-Performing Months: </a:t>
          </a:r>
          <a:r>
            <a:rPr lang="en-US" sz="850" b="0" baseline="0"/>
            <a:t>Investigate what drove the massive sales surge in June and see if those marketing campaigns or sales incentives can be applied to revive slow periods like February and April.</a:t>
          </a:r>
        </a:p>
        <a:p>
          <a:pPr algn="l"/>
          <a:r>
            <a:rPr lang="en-US" sz="850" b="0" baseline="0"/>
            <a:t>Resource Allocation: Allocate additional inventory and promotional support to Beverages, while testing bundles or price optimization for lower-performing tiers like Canned Meat to raise their baseline.</a:t>
          </a:r>
          <a:br>
            <a:rPr lang="en-US" sz="850" b="0" baseline="0"/>
          </a:br>
          <a:r>
            <a:rPr lang="en-US" sz="850" b="0" baseline="0"/>
            <a:t>2. </a:t>
          </a:r>
          <a:r>
            <a:rPr lang="en-US" sz="850" b="1" baseline="0"/>
            <a:t>Sales Coaching: </a:t>
          </a:r>
          <a:r>
            <a:rPr lang="en-US" sz="850" b="0" baseline="0"/>
            <a:t>Have top performers like Nancy and Anne share their methodologies with lower-grossing reps to balance out regional sales contributions.</a:t>
          </a:r>
        </a:p>
        <a:p>
          <a:pPr algn="l"/>
          <a:endParaRPr lang="en-US" sz="850" b="0" baseline="0"/>
        </a:p>
        <a:p>
          <a:pPr algn="l"/>
          <a:endParaRPr lang="en-US" sz="850" b="0" baseline="0"/>
        </a:p>
        <a:p>
          <a:pPr algn="l"/>
          <a:endParaRPr lang="en-US" sz="850" b="0" baseline="0"/>
        </a:p>
        <a:p>
          <a:pPr algn="l"/>
          <a:endParaRPr lang="en-US" sz="850" b="0" baseline="0"/>
        </a:p>
        <a:p>
          <a:pPr algn="l"/>
          <a:endParaRPr lang="en-US" sz="850" b="0" baseline="0"/>
        </a:p>
        <a:p>
          <a:pPr algn="l"/>
          <a:endParaRPr lang="en-US" sz="850" b="0" baseline="0"/>
        </a:p>
        <a:p>
          <a:pPr algn="l"/>
          <a:endParaRPr lang="en-US" sz="850" b="0" baseline="0"/>
        </a:p>
        <a:p>
          <a:pPr algn="l"/>
          <a:endParaRPr lang="en-US" sz="850" b="0" baseline="0"/>
        </a:p>
        <a:p>
          <a:pPr algn="l"/>
          <a:endParaRPr lang="en-US" sz="850" b="0" baseline="0"/>
        </a:p>
        <a:p>
          <a:pPr algn="l"/>
          <a:endParaRPr lang="en-US" sz="850" b="0" baseline="0"/>
        </a:p>
        <a:p>
          <a:pPr algn="l"/>
          <a:endParaRPr lang="en-US" sz="850" b="0" baseline="0"/>
        </a:p>
        <a:p>
          <a:pPr algn="l"/>
          <a:endParaRPr lang="en-US" sz="850" b="0" baseline="0"/>
        </a:p>
        <a:p>
          <a:pPr algn="l"/>
          <a:endParaRPr lang="en-US" sz="850" b="0" baseline="0"/>
        </a:p>
        <a:p>
          <a:pPr algn="l"/>
          <a:endParaRPr lang="en-US" sz="900" b="1" baseline="0"/>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95413</xdr:colOff>
      <xdr:row>0</xdr:row>
      <xdr:rowOff>119269</xdr:rowOff>
    </xdr:from>
    <xdr:to>
      <xdr:col>9</xdr:col>
      <xdr:colOff>159025</xdr:colOff>
      <xdr:row>36</xdr:row>
      <xdr:rowOff>166977</xdr:rowOff>
    </xdr:to>
    <xdr:sp macro="" textlink="">
      <xdr:nvSpPr>
        <xdr:cNvPr id="2" name="Rectangle: Rounded Corners 1">
          <a:extLst>
            <a:ext uri="{FF2B5EF4-FFF2-40B4-BE49-F238E27FC236}">
              <a16:creationId xmlns:a16="http://schemas.microsoft.com/office/drawing/2014/main" id="{F3223938-0AF8-4E1E-A8A9-82694CA3019E}"/>
            </a:ext>
          </a:extLst>
        </xdr:cNvPr>
        <xdr:cNvSpPr/>
      </xdr:nvSpPr>
      <xdr:spPr>
        <a:xfrm>
          <a:off x="95413" y="119269"/>
          <a:ext cx="5788551" cy="6917635"/>
        </a:xfrm>
        <a:prstGeom prst="roundRect">
          <a:avLst>
            <a:gd name="adj" fmla="val 5638"/>
          </a:avLst>
        </a:prstGeom>
        <a:solidFill>
          <a:schemeClr val="accent6">
            <a:lumMod val="50000"/>
          </a:schemeClr>
        </a:solidFill>
        <a:ln>
          <a:no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b="1" baseline="0"/>
            <a:t>RECOMMENDATIONS BOARD</a:t>
          </a:r>
        </a:p>
        <a:p>
          <a:pPr algn="l"/>
          <a:r>
            <a:rPr lang="en-US" sz="900" b="1" baseline="0"/>
            <a:t>1. Product Optimization &amp; Inventory Management</a:t>
          </a:r>
        </a:p>
        <a:p>
          <a:pPr algn="l"/>
          <a:r>
            <a:rPr lang="en-US" sz="900" b="1" baseline="0"/>
            <a:t>Recommendation: </a:t>
          </a:r>
        </a:p>
        <a:p>
          <a:pPr algn="l"/>
          <a:r>
            <a:rPr lang="en-US" sz="900" b="0" baseline="0"/>
            <a:t>Prioritize supply chain allocation and aggressive marketing for the Beverages and Sauces categories, while reviewing the viability or cross-merchandising strategies for lower-performing lines like Canned Meat and Dried Fruit &amp; Nuts.</a:t>
          </a:r>
        </a:p>
        <a:p>
          <a:pPr algn="l"/>
          <a:endParaRPr lang="en-US" sz="900" b="1" baseline="0"/>
        </a:p>
        <a:p>
          <a:pPr algn="l"/>
          <a:r>
            <a:rPr lang="en-US" sz="900" b="1" baseline="0"/>
            <a:t>Reason: </a:t>
          </a:r>
        </a:p>
        <a:p>
          <a:pPr algn="l"/>
          <a:r>
            <a:rPr lang="en-US" sz="900" b="0" baseline="0"/>
            <a:t>The product category treemap highlights Beverages as the clear "Product of the Year," generating $110,577.11 (nearly double the revenue of the third-highest category, Jams &amp; Preserves at $51.5k). Sauces is also a strong secondary pillar at $69,000.00. Conversely, Canned Meat ($25,465.60) and Dried Fruit &amp; Nuts ($27,999.50) lag significantly behind, dragging down inventory turnover rates.</a:t>
          </a:r>
        </a:p>
        <a:p>
          <a:pPr algn="l"/>
          <a:endParaRPr lang="en-US" sz="900" b="0" baseline="0"/>
        </a:p>
        <a:p>
          <a:pPr algn="l"/>
          <a:r>
            <a:rPr lang="en-US" sz="900" b="1" baseline="0"/>
            <a:t>2. Regional Expansion &amp; Localized Marketing</a:t>
          </a:r>
        </a:p>
        <a:p>
          <a:pPr algn="l"/>
          <a:r>
            <a:rPr lang="en-US" sz="900" b="1" baseline="0"/>
            <a:t>Recommendation: </a:t>
          </a:r>
        </a:p>
        <a:p>
          <a:pPr algn="l"/>
          <a:r>
            <a:rPr lang="en-US" sz="900" b="0" baseline="0"/>
            <a:t>Replicate the operational and promotional playbooks used in the North region and New York across the lower-performing West and South regions. Specifically, establish regional hubs or targeted distribution campaigns in high-performing coastal logistics hubs like Portland and Miami.</a:t>
          </a:r>
        </a:p>
        <a:p>
          <a:pPr algn="l"/>
          <a:endParaRPr lang="en-US" sz="900" b="0" baseline="0"/>
        </a:p>
        <a:p>
          <a:pPr algn="l"/>
          <a:r>
            <a:rPr lang="en-US" sz="900" b="1" baseline="0"/>
            <a:t>Reason: </a:t>
          </a:r>
        </a:p>
        <a:p>
          <a:pPr algn="l"/>
          <a:r>
            <a:rPr lang="en-US" sz="900" b="0" baseline="0"/>
            <a:t>The North is the dominant region, driving $141,680.34 in revenue, with New York alone contributing $67,180.50 (making it the top-grossing state and shipping city). However, a stark disparity exists between the North/East and the West ($91,251.98) and South ($93,858.33) regions. Capitalizing on secondary star cities like Portland ($50.2k) and Miami ($50.1k) can bridge this regional gap.</a:t>
          </a:r>
        </a:p>
        <a:p>
          <a:pPr algn="l"/>
          <a:endParaRPr lang="en-US" sz="900" b="0" baseline="0"/>
        </a:p>
        <a:p>
          <a:pPr algn="l"/>
          <a:r>
            <a:rPr lang="en-US" sz="900" b="1" baseline="0"/>
            <a:t>3. Sales Force Empowerment &amp; Knowledge Sharing</a:t>
          </a:r>
        </a:p>
        <a:p>
          <a:pPr algn="l"/>
          <a:r>
            <a:rPr lang="en-US" sz="900" b="1" baseline="0"/>
            <a:t>Recommendation: </a:t>
          </a:r>
        </a:p>
        <a:p>
          <a:pPr algn="l"/>
          <a:r>
            <a:rPr lang="en-US" sz="900" b="0" baseline="0"/>
            <a:t>Implement a peer-mentorship or sales coaching program where top-tier performers anchor training sessions for lower-performing reps. Review the resource allocation or account assignments for lagging territories.</a:t>
          </a:r>
        </a:p>
        <a:p>
          <a:pPr algn="l"/>
          <a:endParaRPr lang="en-US" sz="900" b="0" baseline="0"/>
        </a:p>
        <a:p>
          <a:pPr algn="l"/>
          <a:r>
            <a:rPr lang="en-US" sz="900" b="1" baseline="0"/>
            <a:t>Reasoning:</a:t>
          </a:r>
          <a:r>
            <a:rPr lang="en-US" sz="900" b="0" baseline="0"/>
            <a:t> </a:t>
          </a:r>
        </a:p>
        <a:p>
          <a:pPr algn="l"/>
          <a:r>
            <a:rPr lang="en-US" sz="900" b="0" baseline="0"/>
            <a:t>There is a heavy reliance on the top two individual contributors. Nancy Freehafer ($104,252.34) and Anne Larsen ($93,858.33) collectively generate a massive share of the company's total revenue. Meanwhile, the bottom three salespersons (including Jan Kotas at $16,350.50) combined do not match the output of a single top performer, indicating an uneven distribution of sales skills, leads, or territorial potential.</a:t>
          </a:r>
        </a:p>
        <a:p>
          <a:pPr algn="l"/>
          <a:endParaRPr lang="en-US" sz="900" b="0" baseline="0"/>
        </a:p>
        <a:p>
          <a:pPr algn="l"/>
          <a:r>
            <a:rPr lang="en-US" sz="900" b="1" baseline="0"/>
            <a:t>4. Demand Forecasting &amp; Seasonal Capital Shifts</a:t>
          </a:r>
        </a:p>
        <a:p>
          <a:pPr algn="l"/>
          <a:r>
            <a:rPr lang="en-US" sz="900" b="1" baseline="0"/>
            <a:t>Recommendation:</a:t>
          </a:r>
        </a:p>
        <a:p>
          <a:pPr algn="l"/>
          <a:r>
            <a:rPr lang="en-US" sz="900" b="0" baseline="0"/>
            <a:t> Align cash flow, marketing spend, and inventory stocking cycles to accommodate a dual-peak seasonal calendar. Implement aggressive mid-year promotions in May to boost the June spike, and prepare major logistics pipelines starting in October to handle the massive Q4 surge.</a:t>
          </a:r>
        </a:p>
        <a:p>
          <a:pPr algn="l"/>
          <a:endParaRPr lang="en-US" sz="900" b="0" baseline="0"/>
        </a:p>
        <a:p>
          <a:pPr algn="l"/>
          <a:r>
            <a:rPr lang="en-US" sz="900" b="1" baseline="0"/>
            <a:t>Reason: </a:t>
          </a:r>
        </a:p>
        <a:p>
          <a:pPr algn="l"/>
          <a:r>
            <a:rPr lang="en-US" sz="900" b="0" baseline="0"/>
            <a:t>The Sales Trend chart reveals distinct seasonal patterns. Revenue experiences a sharp dip in February ($19,985.50) before climbing to a mid-year peak in June ($55,601.61). A subsequent post-summer slump occurs in July ($27,318.54), followed by an aggressive, continuous climb to the annual peak in December ($66,642.78). Understanding these cyclical dips and peaks prevents stockouts during high-demand months and minimizes holding costs during dry spells.</a:t>
          </a:r>
        </a:p>
        <a:p>
          <a:pPr algn="l"/>
          <a:endParaRPr lang="en-US" sz="900" b="1" baseline="0"/>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514350</xdr:colOff>
      <xdr:row>1</xdr:row>
      <xdr:rowOff>142875</xdr:rowOff>
    </xdr:from>
    <xdr:to>
      <xdr:col>10</xdr:col>
      <xdr:colOff>504064</xdr:colOff>
      <xdr:row>17</xdr:row>
      <xdr:rowOff>113923</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514350" y="333375"/>
          <a:ext cx="6085714" cy="301904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83.894070254632" createdVersion="6" refreshedVersion="6" minRefreshableVersion="3" recordCount="369" xr:uid="{8ECEC6BC-887F-40DE-BA57-B6B1D44C8166}">
  <cacheSource type="worksheet">
    <worksheetSource ref="A1:Z370" sheet="Data (2)"/>
  </cacheSource>
  <cacheFields count="26">
    <cacheField name="Order ID" numFmtId="0">
      <sharedItems containsSemiMixedTypes="0" containsString="0" containsNumber="1" containsInteger="1" minValue="1001" maxValue="1432"/>
    </cacheField>
    <cacheField name="Order Date" numFmtId="165">
      <sharedItems containsSemiMixedTypes="0" containsNonDate="0" containsDate="1" containsString="0" minDate="2014-01-01T00:00:00" maxDate="2014-12-30T00:00:00" count="149">
        <d v="2014-01-27T00:00:00"/>
        <d v="2014-01-04T00:00:00"/>
        <d v="2014-01-12T00:00:00"/>
        <d v="2014-01-08T00:00:00"/>
        <d v="2014-01-29T00:00:00"/>
        <d v="2014-01-03T00:00:00"/>
        <d v="2014-01-06T00:00:00"/>
        <d v="2014-01-28T00:00:00"/>
        <d v="2014-01-10T00:00:00"/>
        <d v="2014-01-07T00:00:00"/>
        <d v="2014-01-11T00:00:00"/>
        <d v="2014-01-01T00:00:00"/>
        <d v="2014-01-09T00:00:00"/>
        <d v="2014-02-08T00:00:00"/>
        <d v="2014-02-03T00:00:00"/>
        <d v="2014-02-06T00:00:00"/>
        <d v="2014-02-28T00:00:00"/>
        <d v="2014-02-10T00:00:00"/>
        <d v="2014-02-11T00:00:00"/>
        <d v="2014-02-01T00:00:00"/>
        <d v="2014-02-09T00:00:00"/>
        <d v="2014-02-25T00:00:00"/>
        <d v="2014-02-26T00:00:00"/>
        <d v="2014-03-01T00:00:00"/>
        <d v="2014-02-04T00:00:00"/>
        <d v="2014-03-09T00:00:00"/>
        <d v="2014-03-06T00:00:00"/>
        <d v="2014-03-08T00:00:00"/>
        <d v="2014-03-25T00:00:00"/>
        <d v="2014-03-26T00:00:00"/>
        <d v="2014-03-29T00:00:00"/>
        <d v="2014-03-04T00:00:00"/>
        <d v="2014-03-03T00:00:00"/>
        <d v="2014-03-10T00:00:00"/>
        <d v="2014-03-11T00:00:00"/>
        <d v="2014-03-28T00:00:00"/>
        <d v="2014-04-04T00:00:00"/>
        <d v="2014-04-12T00:00:00"/>
        <d v="2014-04-08T00:00:00"/>
        <d v="2014-04-29T00:00:00"/>
        <d v="2014-04-03T00:00:00"/>
        <d v="2014-04-06T00:00:00"/>
        <d v="2014-04-28T00:00:00"/>
        <d v="2014-04-10T00:00:00"/>
        <d v="2014-04-07T00:00:00"/>
        <d v="2014-04-11T00:00:00"/>
        <d v="2014-04-01T00:00:00"/>
        <d v="2014-05-29T00:00:00"/>
        <d v="2014-05-03T00:00:00"/>
        <d v="2014-05-06T00:00:00"/>
        <d v="2014-05-28T00:00:00"/>
        <d v="2014-05-08T00:00:00"/>
        <d v="2014-05-10T00:00:00"/>
        <d v="2014-05-07T00:00:00"/>
        <d v="2014-05-11T00:00:00"/>
        <d v="2014-05-01T00:00:00"/>
        <d v="2014-05-09T00:00:00"/>
        <d v="2014-05-25T00:00:00"/>
        <d v="2014-05-26T00:00:00"/>
        <d v="2014-05-04T00:00:00"/>
        <d v="2014-06-07T00:00:00"/>
        <d v="2014-06-10T00:00:00"/>
        <d v="2014-06-11T00:00:00"/>
        <d v="2014-06-01T00:00:00"/>
        <d v="2014-06-28T00:00:00"/>
        <d v="2014-06-09T00:00:00"/>
        <d v="2014-06-06T00:00:00"/>
        <d v="2014-06-08T00:00:00"/>
        <d v="2014-06-25T00:00:00"/>
        <d v="2014-06-26T00:00:00"/>
        <d v="2014-06-29T00:00:00"/>
        <d v="2014-06-04T00:00:00"/>
        <d v="2014-06-03T00:00:00"/>
        <d v="2014-07-01T00:00:00"/>
        <d v="2014-07-28T00:00:00"/>
        <d v="2014-07-09T00:00:00"/>
        <d v="2014-07-06T00:00:00"/>
        <d v="2014-07-08T00:00:00"/>
        <d v="2014-07-25T00:00:00"/>
        <d v="2014-07-26T00:00:00"/>
        <d v="2014-07-29T00:00:00"/>
        <d v="2014-07-04T00:00:00"/>
        <d v="2014-07-03T00:00:00"/>
        <d v="2014-07-10T00:00:00"/>
        <d v="2014-07-11T00:00:00"/>
        <d v="2014-08-28T00:00:00"/>
        <d v="2014-08-08T00:00:00"/>
        <d v="2014-08-10T00:00:00"/>
        <d v="2014-08-07T00:00:00"/>
        <d v="2014-08-11T00:00:00"/>
        <d v="2014-08-01T00:00:00"/>
        <d v="2014-08-09T00:00:00"/>
        <d v="2014-08-06T00:00:00"/>
        <d v="2014-08-25T00:00:00"/>
        <d v="2014-08-26T00:00:00"/>
        <d v="2014-08-29T00:00:00"/>
        <d v="2014-08-04T00:00:00"/>
        <d v="2014-09-10T00:00:00"/>
        <d v="2014-09-11T00:00:00"/>
        <d v="2014-09-01T00:00:00"/>
        <d v="2014-09-28T00:00:00"/>
        <d v="2014-09-09T00:00:00"/>
        <d v="2014-09-06T00:00:00"/>
        <d v="2014-09-08T00:00:00"/>
        <d v="2014-09-25T00:00:00"/>
        <d v="2014-09-26T00:00:00"/>
        <d v="2014-09-29T00:00:00"/>
        <d v="2014-09-04T00:00:00"/>
        <d v="2014-09-03T00:00:00"/>
        <d v="2014-10-06T00:00:00"/>
        <d v="2014-10-28T00:00:00"/>
        <d v="2014-10-08T00:00:00"/>
        <d v="2014-10-10T00:00:00"/>
        <d v="2014-10-07T00:00:00"/>
        <d v="2014-10-11T00:00:00"/>
        <d v="2014-10-01T00:00:00"/>
        <d v="2014-10-09T00:00:00"/>
        <d v="2014-10-25T00:00:00"/>
        <d v="2014-10-26T00:00:00"/>
        <d v="2014-10-29T00:00:00"/>
        <d v="2014-10-04T00:00:00"/>
        <d v="2014-10-03T00:00:00"/>
        <d v="2014-11-10T00:00:00"/>
        <d v="2014-11-11T00:00:00"/>
        <d v="2014-11-01T00:00:00"/>
        <d v="2014-11-28T00:00:00"/>
        <d v="2014-11-09T00:00:00"/>
        <d v="2014-11-06T00:00:00"/>
        <d v="2014-11-08T00:00:00"/>
        <d v="2014-11-25T00:00:00"/>
        <d v="2014-11-26T00:00:00"/>
        <d v="2014-11-29T00:00:00"/>
        <d v="2014-11-04T00:00:00"/>
        <d v="2014-11-03T00:00:00"/>
        <d v="2014-12-27T00:00:00"/>
        <d v="2014-12-04T00:00:00"/>
        <d v="2014-12-12T00:00:00"/>
        <d v="2014-12-08T00:00:00"/>
        <d v="2014-12-29T00:00:00"/>
        <d v="2014-12-03T00:00:00"/>
        <d v="2014-12-06T00:00:00"/>
        <d v="2014-12-28T00:00:00"/>
        <d v="2014-12-10T00:00:00"/>
        <d v="2014-12-07T00:00:00"/>
        <d v="2014-12-11T00:00:00"/>
        <d v="2014-12-01T00:00:00"/>
        <d v="2014-12-09T00:00:00"/>
        <d v="2014-12-25T00:00:00"/>
        <d v="2014-12-26T00:00:00"/>
      </sharedItems>
      <fieldGroup base="1">
        <rangePr groupBy="months" startDate="2014-01-01T00:00:00" endDate="2014-12-30T00:00:00"/>
        <groupItems count="14">
          <s v="&lt;01/01/2014"/>
          <s v="Jan"/>
          <s v="Feb"/>
          <s v="Mar"/>
          <s v="Apr"/>
          <s v="May"/>
          <s v="Jun"/>
          <s v="Jul"/>
          <s v="Aug"/>
          <s v="Sept"/>
          <s v="Oct"/>
          <s v="Nov"/>
          <s v="Dec"/>
          <s v="&gt;30/12/2014"/>
        </groupItems>
      </fieldGroup>
    </cacheField>
    <cacheField name="Customer ID" numFmtId="0">
      <sharedItems containsSemiMixedTypes="0" containsString="0" containsNumber="1" containsInteger="1" minValue="1" maxValue="29"/>
    </cacheField>
    <cacheField name="Customer Name" numFmtId="0">
      <sharedItems count="15">
        <s v="Company AA"/>
        <s v="Company D"/>
        <s v="Company L"/>
        <s v="Company H"/>
        <s v="Company CC"/>
        <s v="Company C"/>
        <s v="Company F"/>
        <s v="Company BB"/>
        <s v="Company J"/>
        <s v="Company G"/>
        <s v="Company K"/>
        <s v="Company A"/>
        <s v="Company I"/>
        <s v="Company Y"/>
        <s v="Company Z"/>
      </sharedItems>
    </cacheField>
    <cacheField name="Address" numFmtId="0">
      <sharedItems/>
    </cacheField>
    <cacheField name="City" numFmtId="0">
      <sharedItems count="12">
        <s v="Las Vegas"/>
        <s v="New York"/>
        <s v="Portland"/>
        <s v="Denver"/>
        <s v="Los Angelas"/>
        <s v="Milwaukee"/>
        <s v="Memphis"/>
        <s v="Chicago"/>
        <s v="Boise"/>
        <s v="Miami"/>
        <s v="Seattle"/>
        <s v="Salt Lake City"/>
      </sharedItems>
    </cacheField>
    <cacheField name="State" numFmtId="0">
      <sharedItems count="12">
        <s v="NV"/>
        <s v="NY"/>
        <s v="OR"/>
        <s v="CO"/>
        <s v="CA"/>
        <s v="WI"/>
        <s v="TN"/>
        <s v="IL"/>
        <s v="ID"/>
        <s v="FL"/>
        <s v="WA"/>
        <s v="UT"/>
      </sharedItems>
    </cacheField>
    <cacheField name="ZIP/Postal Code" numFmtId="0">
      <sharedItems containsSemiMixedTypes="0" containsString="0" containsNumber="1" containsInteger="1" minValue="99999" maxValue="99999"/>
    </cacheField>
    <cacheField name="Country/Region" numFmtId="0">
      <sharedItems/>
    </cacheField>
    <cacheField name="Salesperson" numFmtId="0">
      <sharedItems count="8">
        <s v="Mariya Sergienko"/>
        <s v="Andrew Cencini"/>
        <s v="Nancy Freehafer"/>
        <s v="Jan Kotas"/>
        <s v="Michael Neipper"/>
        <s v="Anne Larsen"/>
        <s v="Laura Giussani"/>
        <s v="Robert Zare"/>
      </sharedItems>
    </cacheField>
    <cacheField name="Region" numFmtId="0">
      <sharedItems count="4">
        <s v="West"/>
        <s v="East"/>
        <s v="North"/>
        <s v="South"/>
      </sharedItems>
    </cacheField>
    <cacheField name="Shipped Date" numFmtId="0">
      <sharedItems containsDate="1" containsString="0" containsBlank="1" containsMixedTypes="1" minDate="2014-01-05T00:00:00" maxDate="2014-12-09T00:00:00"/>
    </cacheField>
    <cacheField name="Shipper Name" numFmtId="0">
      <sharedItems containsBlank="1"/>
    </cacheField>
    <cacheField name="Ship Name" numFmtId="0">
      <sharedItems/>
    </cacheField>
    <cacheField name="Ship Address" numFmtId="0">
      <sharedItems/>
    </cacheField>
    <cacheField name="Ship City" numFmtId="0">
      <sharedItems count="12">
        <s v="Las Vegas"/>
        <s v="New York"/>
        <s v="Portland"/>
        <s v="Denver"/>
        <s v="Los Angelas"/>
        <s v="Milwaukee"/>
        <s v="Memphis"/>
        <s v="Chicago"/>
        <s v="Boise"/>
        <s v="Miami"/>
        <s v="Seattle"/>
        <s v="Salt Lake City"/>
      </sharedItems>
    </cacheField>
    <cacheField name="Ship State" numFmtId="0">
      <sharedItems/>
    </cacheField>
    <cacheField name="Ship ZIP/Postal Code" numFmtId="0">
      <sharedItems containsSemiMixedTypes="0" containsString="0" containsNumber="1" containsInteger="1" minValue="99999" maxValue="99999"/>
    </cacheField>
    <cacheField name="Ship Country/Region" numFmtId="0">
      <sharedItems/>
    </cacheField>
    <cacheField name="Payment Type" numFmtId="0">
      <sharedItems containsBlank="1"/>
    </cacheField>
    <cacheField name="Product Name" numFmtId="0">
      <sharedItems containsBlank="1" count="25">
        <s v="Beer"/>
        <s v="Dried Plums"/>
        <s v="Dried Pears"/>
        <s v="Dried Apples"/>
        <s v="Chai"/>
        <s v="Coffee"/>
        <s v="Chocolate Biscuits Mix"/>
        <s v="Chocolate"/>
        <s v="Clam Chowder"/>
        <s v="Curry Sauce"/>
        <s v="Green Tea"/>
        <s v="Boysenberry Spread"/>
        <s v="Cajun Seasoning"/>
        <s v="Crab Meat"/>
        <s v="Ravioli"/>
        <s v="Mozzarella"/>
        <s v="Syrup"/>
        <m/>
        <s v="Almonds"/>
        <s v="Fruit Cocktail"/>
        <s v="Gnocchi"/>
        <s v="Scones"/>
        <s v="Olive Oil"/>
        <s v="Marmalade"/>
        <s v="Long Grain Rice"/>
      </sharedItems>
    </cacheField>
    <cacheField name="Category" numFmtId="0">
      <sharedItems count="15">
        <s v="Beverages"/>
        <s v="Dried Fruit &amp; Nuts"/>
        <s v="Baked Goods &amp; Mixes"/>
        <s v="Candy"/>
        <s v="Soups"/>
        <s v="Sauces"/>
        <s v="Jams, Preserves"/>
        <s v="Condiments"/>
        <s v="Canned Meat"/>
        <s v="Pasta"/>
        <s v="Dairy Products"/>
        <s v="Shipping Fee "/>
        <s v="Fruit &amp; Veg"/>
        <s v="Oil"/>
        <s v="Grains"/>
      </sharedItems>
    </cacheField>
    <cacheField name="Unit Price" numFmtId="0">
      <sharedItems containsString="0" containsBlank="1" containsNumber="1" minValue="2.99" maxValue="81"/>
    </cacheField>
    <cacheField name="Quantity" numFmtId="0">
      <sharedItems containsString="0" containsBlank="1" containsNumber="1" containsInteger="1" minValue="10" maxValue="100"/>
    </cacheField>
    <cacheField name="Revenue" numFmtId="166">
      <sharedItems containsSemiMixedTypes="0" containsString="0" containsNumber="1" minValue="10" maxValue="7938" count="315">
        <n v="686"/>
        <n v="164.5"/>
        <n v="2070"/>
        <n v="4717"/>
        <n v="38.5"/>
        <n v="1458"/>
        <n v="2024"/>
        <n v="349.59999999999997"/>
        <n v="809.59999999999991"/>
        <n v="1198.5"/>
        <n v="878.15"/>
        <n v="1280"/>
        <n v="2530"/>
        <n v="599.25"/>
        <n v="269.10000000000002"/>
        <n v="1104"/>
        <n v="850"/>
        <n v="374"/>
        <n v="404.79999999999995"/>
        <n v="283.5"/>
        <n v="146.51000000000002"/>
        <n v="756"/>
        <n v="2668"/>
        <n v="200.33"/>
        <n v="965"/>
        <n v="1159.1999999999998"/>
        <n v="1111.5"/>
        <n v="2818.7999999999997"/>
        <n v="994"/>
        <n v="630"/>
        <n v="1200"/>
        <n v="10"/>
        <n v="470"/>
        <n v="171.5"/>
        <n v="2880"/>
        <n v="239.2"/>
        <n v="1472"/>
        <n v="260.55"/>
        <n v="905.25"/>
        <n v="165.75"/>
        <n v="2156"/>
        <n v="525"/>
        <n v="1014"/>
        <n v="848"/>
        <n v="3648"/>
        <n v="224.25000000000003"/>
        <n v="1072.5"/>
        <n v="382.79999999999995"/>
        <n v="742"/>
        <n v="3400"/>
        <n v="892.4"/>
        <n v="460"/>
        <n v="2070.9500000000003"/>
        <n v="936.05000000000007"/>
        <n v="1196"/>
        <n v="1008"/>
        <n v="204"/>
        <n v="6237"/>
        <n v="259"/>
        <n v="2192.3999999999996"/>
        <n v="480"/>
        <n v="2840"/>
        <n v="550"/>
        <n v="73.5"/>
        <n v="2680"/>
        <n v="1380"/>
        <n v="782"/>
        <n v="168"/>
        <n v="1332"/>
        <n v="4416"/>
        <n v="110.39999999999999"/>
        <n v="570.4"/>
        <n v="446.25"/>
        <n v="916.75"/>
        <n v="680"/>
        <n v="1058.25"/>
        <n v="263.12"/>
        <n v="2714"/>
        <n v="675"/>
        <n v="814"/>
        <n v="690"/>
        <n v="248.5"/>
        <n v="990"/>
        <n v="178.5"/>
        <n v="414.95"/>
        <n v="2520"/>
        <n v="1656"/>
        <n v="522.75"/>
        <n v="104.65"/>
        <n v="1426"/>
        <n v="1300"/>
        <n v="660"/>
        <n v="377.2"/>
        <n v="154"/>
        <n v="230.23000000000002"/>
        <n v="522"/>
        <n v="3542"/>
        <n v="218.27"/>
        <n v="714.1"/>
        <n v="459.99999999999994"/>
        <n v="1599"/>
        <n v="1287.5999999999999"/>
        <n v="1176"/>
        <n v="2920"/>
        <n v="469.2"/>
        <n v="768.6"/>
        <n v="839.55000000000007"/>
        <n v="1177.5999999999999"/>
        <n v="294"/>
        <n v="242.25"/>
        <n v="1863"/>
        <n v="504"/>
        <n v="765.59999999999991"/>
        <n v="820"/>
        <n v="3920"/>
        <n v="3266"/>
        <n v="1000"/>
        <n v="1760"/>
        <n v="98"/>
        <n v="179.4"/>
        <n v="594"/>
        <n v="1012"/>
        <n v="152.49"/>
        <n v="579"/>
        <n v="1803.1999999999998"/>
        <n v="526.5"/>
        <n v="3062.3999999999996"/>
        <n v="910"/>
        <n v="1520"/>
        <n v="736"/>
        <n v="490"/>
        <n v="1921.5000000000002"/>
        <n v="717.59999999999991"/>
        <n v="1106"/>
        <n v="561"/>
        <n v="7938"/>
        <n v="427"/>
        <n v="1044"/>
        <n v="240"/>
        <n v="1120"/>
        <n v="740"/>
        <n v="315"/>
        <n v="1080"/>
        <n v="1306.3999999999999"/>
        <n v="3404"/>
        <n v="733.4"/>
        <n v="1224"/>
        <n v="1173"/>
        <n v="2046"/>
        <n v="450"/>
        <n v="3822"/>
        <n v="3230"/>
        <n v="242.19000000000003"/>
        <n v="318.45"/>
        <n v="864.8"/>
        <n v="1189.5"/>
        <n v="939.59999999999991"/>
        <n v="3640"/>
        <n v="331.2"/>
        <n v="340"/>
        <n v="1729.3500000000001"/>
        <n v="241.25"/>
        <n v="220.79999999999998"/>
        <n v="322"/>
        <n v="969"/>
        <n v="4455"/>
        <n v="133"/>
        <n v="400"/>
        <n v="800"/>
        <n v="94.5"/>
        <n v="3880"/>
        <n v="772.8"/>
        <n v="868.5"/>
        <n v="357"/>
        <n v="1288"/>
        <n v="726.75"/>
        <n v="68.77000000000001"/>
        <n v="3956"/>
        <n v="1175"/>
        <n v="2134"/>
        <n v="883.19999999999993"/>
        <n v="108.5"/>
        <n v="155.48000000000002"/>
        <n v="1638"/>
        <n v="644"/>
        <n v="131.56"/>
        <n v="1287"/>
        <n v="1113.5999999999999"/>
        <n v="728"/>
        <n v="3120"/>
        <n v="496.79999999999995"/>
        <n v="1281"/>
        <n v="183.35"/>
        <n v="1214.3999999999999"/>
        <n v="588"/>
        <n v="918"/>
        <n v="2592"/>
        <n v="532"/>
        <n v="763.59999999999991"/>
        <n v="318.5"/>
        <n v="191.36"/>
        <n v="4462"/>
        <n v="41.86"/>
        <n v="656.2"/>
        <n v="588.79999999999995"/>
        <n v="936"/>
        <n v="1983.6"/>
        <n v="938"/>
        <n v="1920"/>
        <n v="708.4"/>
        <n v="940"/>
        <n v="1152.9000000000001"/>
        <n v="700"/>
        <n v="4374"/>
        <n v="273"/>
        <n v="710"/>
        <n v="3520"/>
        <n v="590"/>
        <n v="3760"/>
        <n v="777.75"/>
        <n v="95.68"/>
        <n v="2852"/>
        <n v="1500"/>
        <n v="1122"/>
        <n v="450.79999999999995"/>
        <n v="70"/>
        <n v="396"/>
        <n v="3358"/>
        <n v="254.15"/>
        <n v="424.6"/>
        <n v="441.59999999999997"/>
        <n v="1248"/>
        <n v="2436"/>
        <n v="1372"/>
        <n v="919.99999999999989"/>
        <n v="900"/>
        <n v="1046.1500000000001"/>
        <n v="685.15"/>
        <n v="184"/>
        <n v="1092"/>
        <n v="6642"/>
        <n v="203"/>
        <n v="3236.3999999999996"/>
        <n v="110"/>
        <n v="120"/>
        <n v="2400"/>
        <n v="423.2"/>
        <n v="1564"/>
        <n v="858.85"/>
        <n v="1045.5"/>
        <n v="548.25"/>
        <n v="2112"/>
        <n v="312.79999999999995"/>
        <n v="147"/>
        <n v="299"/>
        <n v="65.78"/>
        <n v="443.90000000000003"/>
        <n v="1839.9999999999998"/>
        <n v="1696.5"/>
        <n v="2018.3999999999999"/>
        <n v="1190"/>
        <n v="174.79999999999998"/>
        <n v="1473.15"/>
        <n v="357.05"/>
        <n v="191.25"/>
        <n v="4212"/>
        <n v="835.19999999999993"/>
        <n v="360"/>
        <n v="960"/>
        <n v="200"/>
        <n v="1398.3999999999999"/>
        <n v="2622"/>
        <n v="135.1"/>
        <n v="196"/>
        <n v="245"/>
        <n v="3000"/>
        <n v="1431"/>
        <n v="1026"/>
        <n v="3818"/>
        <n v="699.19999999999993"/>
        <n v="926.40000000000009"/>
        <n v="122.59"/>
        <n v="1886"/>
        <n v="2350"/>
        <n v="440"/>
        <n v="119.6"/>
        <n v="158.47"/>
        <n v="1782"/>
        <n v="4094"/>
        <n v="945.7"/>
        <n v="1582.3999999999999"/>
        <n v="390"/>
        <n v="2401.1999999999998"/>
        <n v="952"/>
        <n v="2080"/>
        <n v="368"/>
        <n v="1878.8000000000002"/>
        <n v="1711.1999999999998"/>
        <n v="1344"/>
        <n v="153"/>
        <n v="3078"/>
        <n v="3479.9999999999995"/>
        <n v="890"/>
        <n v="970"/>
        <n v="185.5"/>
        <n v="2440"/>
        <n v="827.99999999999989"/>
        <n v="1978"/>
        <n v="173.70000000000002"/>
        <n v="1430"/>
        <n v="325"/>
        <n v="2106"/>
        <n v="1802"/>
        <n v="2242"/>
        <n v="71.760000000000005"/>
      </sharedItems>
      <fieldGroup base="24">
        <rangePr startNum="10" endNum="7938" groupInterval="1000"/>
        <groupItems count="10">
          <s v="&lt;10"/>
          <s v="10-1010"/>
          <s v="1010-2010"/>
          <s v="2010-3010"/>
          <s v="3010-4010"/>
          <s v="4010-5010"/>
          <s v="5010-6010"/>
          <s v="6010-7010"/>
          <s v="7010-8010"/>
          <s v="&gt;8010"/>
        </groupItems>
      </fieldGroup>
    </cacheField>
    <cacheField name="Shipping Fee" numFmtId="166">
      <sharedItems containsSemiMixedTypes="0" containsString="0" containsNumber="1" minValue="3.7345000000000002" maxValue="769.98599999999999"/>
    </cacheField>
  </cacheFields>
  <extLst>
    <ext xmlns:x14="http://schemas.microsoft.com/office/spreadsheetml/2009/9/main" uri="{725AE2AE-9491-48be-B2B4-4EB974FC3084}">
      <x14:pivotCacheDefinition pivotCacheId="12846199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9">
  <r>
    <n v="1001"/>
    <x v="0"/>
    <n v="27"/>
    <x v="0"/>
    <s v="789 27th Street"/>
    <x v="0"/>
    <x v="0"/>
    <n v="99999"/>
    <s v="USA"/>
    <x v="0"/>
    <x v="0"/>
    <d v="2014-01-29T00:00:00"/>
    <s v="Shipping Company B"/>
    <s v="Karen Toh"/>
    <s v="789 27th Street"/>
    <x v="0"/>
    <s v="NV"/>
    <n v="99999"/>
    <s v="USA"/>
    <s v="Check"/>
    <x v="0"/>
    <x v="0"/>
    <n v="14"/>
    <n v="49"/>
    <x v="0"/>
    <n v="66.542000000000002"/>
  </r>
  <r>
    <n v="1002"/>
    <x v="0"/>
    <n v="27"/>
    <x v="0"/>
    <s v="789 27th Street"/>
    <x v="0"/>
    <x v="0"/>
    <n v="99999"/>
    <s v="USA"/>
    <x v="0"/>
    <x v="0"/>
    <d v="2014-01-29T00:00:00"/>
    <s v="Shipping Company B"/>
    <s v="Karen Toh"/>
    <s v="789 27th Street"/>
    <x v="0"/>
    <s v="NV"/>
    <n v="99999"/>
    <s v="USA"/>
    <s v="Check"/>
    <x v="1"/>
    <x v="1"/>
    <n v="3.5"/>
    <n v="47"/>
    <x v="1"/>
    <n v="16.6145"/>
  </r>
  <r>
    <n v="1003"/>
    <x v="1"/>
    <n v="4"/>
    <x v="1"/>
    <s v="123 4th Street"/>
    <x v="1"/>
    <x v="1"/>
    <n v="99999"/>
    <s v="USA"/>
    <x v="1"/>
    <x v="1"/>
    <d v="2014-01-06T00:00:00"/>
    <s v="Shipping Company A"/>
    <s v="Christina Lee"/>
    <s v="123 4th Street"/>
    <x v="1"/>
    <s v="NY"/>
    <n v="99999"/>
    <s v="USA"/>
    <s v="Credit Card"/>
    <x v="2"/>
    <x v="1"/>
    <n v="30"/>
    <n v="69"/>
    <x v="2"/>
    <n v="198.72"/>
  </r>
  <r>
    <n v="1004"/>
    <x v="1"/>
    <n v="4"/>
    <x v="1"/>
    <s v="123 4th Street"/>
    <x v="1"/>
    <x v="1"/>
    <n v="99999"/>
    <s v="USA"/>
    <x v="1"/>
    <x v="1"/>
    <d v="2014-01-06T00:00:00"/>
    <s v="Shipping Company A"/>
    <s v="Christina Lee"/>
    <s v="123 4th Street"/>
    <x v="1"/>
    <s v="NY"/>
    <n v="99999"/>
    <s v="USA"/>
    <s v="Credit Card"/>
    <x v="3"/>
    <x v="1"/>
    <n v="53"/>
    <n v="89"/>
    <x v="3"/>
    <n v="448.11500000000001"/>
  </r>
  <r>
    <n v="1005"/>
    <x v="1"/>
    <n v="4"/>
    <x v="1"/>
    <s v="123 4th Street"/>
    <x v="1"/>
    <x v="1"/>
    <n v="99999"/>
    <s v="USA"/>
    <x v="1"/>
    <x v="1"/>
    <d v="2014-01-06T00:00:00"/>
    <s v="Shipping Company A"/>
    <s v="Christina Lee"/>
    <s v="123 4th Street"/>
    <x v="1"/>
    <s v="NY"/>
    <n v="99999"/>
    <s v="USA"/>
    <s v="Credit Card"/>
    <x v="1"/>
    <x v="1"/>
    <n v="3.5"/>
    <n v="11"/>
    <x v="4"/>
    <n v="3.7345000000000002"/>
  </r>
  <r>
    <n v="1006"/>
    <x v="2"/>
    <n v="12"/>
    <x v="2"/>
    <s v="123 12th Street"/>
    <x v="0"/>
    <x v="0"/>
    <n v="99999"/>
    <s v="USA"/>
    <x v="0"/>
    <x v="0"/>
    <d v="2014-01-14T00:00:00"/>
    <s v="Shipping Company B"/>
    <s v="John Edwards"/>
    <s v="123 12th Street"/>
    <x v="0"/>
    <s v="NV"/>
    <n v="99999"/>
    <s v="USA"/>
    <s v="Credit Card"/>
    <x v="4"/>
    <x v="0"/>
    <n v="18"/>
    <n v="81"/>
    <x v="5"/>
    <n v="141.42600000000002"/>
  </r>
  <r>
    <n v="1007"/>
    <x v="2"/>
    <n v="12"/>
    <x v="2"/>
    <s v="123 12th Street"/>
    <x v="0"/>
    <x v="0"/>
    <n v="99999"/>
    <s v="USA"/>
    <x v="0"/>
    <x v="0"/>
    <d v="2014-01-14T00:00:00"/>
    <s v="Shipping Company B"/>
    <s v="John Edwards"/>
    <s v="123 12th Street"/>
    <x v="0"/>
    <s v="NV"/>
    <n v="99999"/>
    <s v="USA"/>
    <s v="Credit Card"/>
    <x v="5"/>
    <x v="0"/>
    <n v="46"/>
    <n v="44"/>
    <x v="6"/>
    <n v="198.352"/>
  </r>
  <r>
    <n v="1008"/>
    <x v="3"/>
    <n v="8"/>
    <x v="3"/>
    <s v="123 8th Street"/>
    <x v="2"/>
    <x v="2"/>
    <n v="99999"/>
    <s v="USA"/>
    <x v="2"/>
    <x v="2"/>
    <d v="2014-01-10T00:00:00"/>
    <s v="Shipping Company C"/>
    <s v="Elizabeth Andersen"/>
    <s v="123 8th Street"/>
    <x v="2"/>
    <s v="OR"/>
    <n v="99999"/>
    <s v="USA"/>
    <s v="Credit Card"/>
    <x v="6"/>
    <x v="2"/>
    <n v="9.1999999999999993"/>
    <n v="38"/>
    <x v="7"/>
    <n v="36.008800000000001"/>
  </r>
  <r>
    <n v="1009"/>
    <x v="1"/>
    <n v="4"/>
    <x v="1"/>
    <s v="123 4th Street"/>
    <x v="1"/>
    <x v="1"/>
    <n v="99999"/>
    <s v="USA"/>
    <x v="1"/>
    <x v="1"/>
    <d v="2014-01-06T00:00:00"/>
    <s v="Shipping Company C"/>
    <s v="Christina Lee"/>
    <s v="123 4th Street"/>
    <x v="1"/>
    <s v="NY"/>
    <n v="99999"/>
    <s v="USA"/>
    <s v="Check"/>
    <x v="6"/>
    <x v="2"/>
    <n v="9.1999999999999993"/>
    <n v="88"/>
    <x v="8"/>
    <n v="79.340799999999987"/>
  </r>
  <r>
    <n v="1010"/>
    <x v="4"/>
    <n v="29"/>
    <x v="4"/>
    <s v="789 29th Street"/>
    <x v="3"/>
    <x v="3"/>
    <n v="99999"/>
    <s v="USA"/>
    <x v="3"/>
    <x v="0"/>
    <d v="2014-01-31T00:00:00"/>
    <s v="Shipping Company B"/>
    <s v="Soo Jung Lee"/>
    <s v="789 29th Street"/>
    <x v="3"/>
    <s v="CO"/>
    <n v="99999"/>
    <s v="USA"/>
    <s v="Check"/>
    <x v="7"/>
    <x v="3"/>
    <n v="12.75"/>
    <n v="94"/>
    <x v="9"/>
    <n v="122.24700000000001"/>
  </r>
  <r>
    <n v="1011"/>
    <x v="5"/>
    <n v="3"/>
    <x v="5"/>
    <s v="123 3rd Street"/>
    <x v="4"/>
    <x v="4"/>
    <n v="99999"/>
    <s v="USA"/>
    <x v="0"/>
    <x v="0"/>
    <d v="2014-01-05T00:00:00"/>
    <s v="Shipping Company B"/>
    <s v="Thomas Axerr"/>
    <s v="123 3rd Street"/>
    <x v="4"/>
    <s v="CA"/>
    <n v="99999"/>
    <s v="USA"/>
    <s v="Cash"/>
    <x v="8"/>
    <x v="4"/>
    <n v="9.65"/>
    <n v="91"/>
    <x v="10"/>
    <n v="92.205749999999995"/>
  </r>
  <r>
    <n v="1012"/>
    <x v="6"/>
    <n v="6"/>
    <x v="6"/>
    <s v="123 6th Street"/>
    <x v="5"/>
    <x v="5"/>
    <n v="99999"/>
    <s v="USA"/>
    <x v="4"/>
    <x v="2"/>
    <d v="2014-01-08T00:00:00"/>
    <s v="Shipping Company B"/>
    <s v="Francisco Pérez-Olaeta"/>
    <s v="123 6th Street"/>
    <x v="5"/>
    <s v="WI"/>
    <n v="99999"/>
    <s v="USA"/>
    <s v="Credit Card"/>
    <x v="9"/>
    <x v="5"/>
    <n v="40"/>
    <n v="32"/>
    <x v="11"/>
    <n v="133.12"/>
  </r>
  <r>
    <n v="1013"/>
    <x v="7"/>
    <n v="28"/>
    <x v="7"/>
    <s v="789 28th Street"/>
    <x v="6"/>
    <x v="6"/>
    <n v="99999"/>
    <s v="USA"/>
    <x v="5"/>
    <x v="3"/>
    <d v="2014-01-30T00:00:00"/>
    <s v="Shipping Company C"/>
    <s v="Amritansh Raghav"/>
    <s v="789 28th Street"/>
    <x v="6"/>
    <s v="TN"/>
    <n v="99999"/>
    <s v="USA"/>
    <s v="Check"/>
    <x v="5"/>
    <x v="0"/>
    <n v="46"/>
    <n v="55"/>
    <x v="12"/>
    <n v="253"/>
  </r>
  <r>
    <n v="1014"/>
    <x v="3"/>
    <n v="8"/>
    <x v="3"/>
    <s v="123 8th Street"/>
    <x v="2"/>
    <x v="2"/>
    <n v="99999"/>
    <s v="USA"/>
    <x v="2"/>
    <x v="2"/>
    <d v="2014-01-10T00:00:00"/>
    <s v="Shipping Company C"/>
    <s v="Elizabeth Andersen"/>
    <s v="123 8th Street"/>
    <x v="2"/>
    <s v="OR"/>
    <n v="99999"/>
    <s v="USA"/>
    <s v="Check"/>
    <x v="7"/>
    <x v="3"/>
    <n v="12.75"/>
    <n v="47"/>
    <x v="13"/>
    <n v="61.722750000000005"/>
  </r>
  <r>
    <n v="1015"/>
    <x v="8"/>
    <n v="10"/>
    <x v="8"/>
    <s v="123 10th Street"/>
    <x v="7"/>
    <x v="7"/>
    <n v="99999"/>
    <s v="USA"/>
    <x v="6"/>
    <x v="1"/>
    <d v="2014-01-12T00:00:00"/>
    <s v="Shipping Company B"/>
    <s v="Roland Wacker"/>
    <s v="123 10th Street"/>
    <x v="7"/>
    <s v="IL"/>
    <n v="99999"/>
    <s v="USA"/>
    <s v="Credit Card"/>
    <x v="10"/>
    <x v="0"/>
    <n v="2.99"/>
    <n v="90"/>
    <x v="14"/>
    <n v="27.717300000000005"/>
  </r>
  <r>
    <n v="1016"/>
    <x v="9"/>
    <n v="7"/>
    <x v="9"/>
    <s v="123 7th Street"/>
    <x v="8"/>
    <x v="8"/>
    <n v="99999"/>
    <s v="USA"/>
    <x v="2"/>
    <x v="2"/>
    <m/>
    <m/>
    <s v="Ming-Yang Xie"/>
    <s v="123 7th Street"/>
    <x v="8"/>
    <s v="ID"/>
    <n v="99999"/>
    <s v="USA"/>
    <m/>
    <x v="5"/>
    <x v="0"/>
    <n v="46"/>
    <n v="24"/>
    <x v="15"/>
    <n v="110.4"/>
  </r>
  <r>
    <n v="1017"/>
    <x v="8"/>
    <n v="10"/>
    <x v="8"/>
    <s v="123 10th Street"/>
    <x v="7"/>
    <x v="7"/>
    <n v="99999"/>
    <s v="USA"/>
    <x v="6"/>
    <x v="1"/>
    <d v="2014-01-12T00:00:00"/>
    <s v="Shipping Company A"/>
    <s v="Roland Wacker"/>
    <s v="123 10th Street"/>
    <x v="7"/>
    <s v="IL"/>
    <n v="99999"/>
    <s v="USA"/>
    <m/>
    <x v="11"/>
    <x v="6"/>
    <n v="25"/>
    <n v="34"/>
    <x v="16"/>
    <n v="80.75"/>
  </r>
  <r>
    <n v="1018"/>
    <x v="8"/>
    <n v="10"/>
    <x v="8"/>
    <s v="123 10th Street"/>
    <x v="7"/>
    <x v="7"/>
    <n v="99999"/>
    <s v="USA"/>
    <x v="6"/>
    <x v="1"/>
    <d v="2014-01-12T00:00:00"/>
    <s v="Shipping Company A"/>
    <s v="Roland Wacker"/>
    <s v="123 10th Street"/>
    <x v="7"/>
    <s v="IL"/>
    <n v="99999"/>
    <s v="USA"/>
    <m/>
    <x v="12"/>
    <x v="7"/>
    <n v="22"/>
    <n v="17"/>
    <x v="17"/>
    <n v="35.903999999999996"/>
  </r>
  <r>
    <n v="1019"/>
    <x v="8"/>
    <n v="10"/>
    <x v="8"/>
    <s v="123 10th Street"/>
    <x v="7"/>
    <x v="7"/>
    <n v="99999"/>
    <s v="USA"/>
    <x v="6"/>
    <x v="1"/>
    <d v="2014-01-12T00:00:00"/>
    <s v="Shipping Company A"/>
    <s v="Roland Wacker"/>
    <s v="123 10th Street"/>
    <x v="7"/>
    <s v="IL"/>
    <n v="99999"/>
    <s v="USA"/>
    <m/>
    <x v="6"/>
    <x v="2"/>
    <n v="9.1999999999999993"/>
    <n v="44"/>
    <x v="18"/>
    <n v="42.099199999999996"/>
  </r>
  <r>
    <n v="1020"/>
    <x v="10"/>
    <n v="11"/>
    <x v="10"/>
    <s v="123 11th Street"/>
    <x v="9"/>
    <x v="9"/>
    <n v="99999"/>
    <s v="USA"/>
    <x v="5"/>
    <x v="3"/>
    <m/>
    <s v="Shipping Company C"/>
    <s v="Peter Krschne"/>
    <s v="123 11th Street"/>
    <x v="9"/>
    <s v="FL"/>
    <n v="99999"/>
    <s v="USA"/>
    <m/>
    <x v="1"/>
    <x v="1"/>
    <n v="3.5"/>
    <n v="81"/>
    <x v="19"/>
    <n v="27.499500000000001"/>
  </r>
  <r>
    <n v="1021"/>
    <x v="10"/>
    <n v="11"/>
    <x v="10"/>
    <s v="123 11th Street"/>
    <x v="9"/>
    <x v="9"/>
    <n v="99999"/>
    <s v="USA"/>
    <x v="5"/>
    <x v="3"/>
    <m/>
    <s v="Shipping Company C"/>
    <s v="Peter Krschne"/>
    <s v="123 11th Street"/>
    <x v="9"/>
    <s v="FL"/>
    <n v="99999"/>
    <s v="USA"/>
    <m/>
    <x v="10"/>
    <x v="0"/>
    <n v="2.99"/>
    <n v="49"/>
    <x v="20"/>
    <n v="15.090530000000005"/>
  </r>
  <r>
    <n v="1022"/>
    <x v="11"/>
    <n v="1"/>
    <x v="11"/>
    <s v="123 1st Street"/>
    <x v="10"/>
    <x v="10"/>
    <n v="99999"/>
    <s v="USA"/>
    <x v="2"/>
    <x v="2"/>
    <m/>
    <m/>
    <s v="Anna Bedecs"/>
    <s v="123 1st Street"/>
    <x v="10"/>
    <s v="WA"/>
    <n v="99999"/>
    <s v="USA"/>
    <m/>
    <x v="4"/>
    <x v="0"/>
    <n v="18"/>
    <n v="42"/>
    <x v="21"/>
    <n v="75.600000000000009"/>
  </r>
  <r>
    <n v="1023"/>
    <x v="11"/>
    <n v="1"/>
    <x v="11"/>
    <s v="123 1st Street"/>
    <x v="10"/>
    <x v="10"/>
    <n v="99999"/>
    <s v="USA"/>
    <x v="2"/>
    <x v="2"/>
    <m/>
    <m/>
    <s v="Anna Bedecs"/>
    <s v="123 1st Street"/>
    <x v="10"/>
    <s v="WA"/>
    <n v="99999"/>
    <s v="USA"/>
    <m/>
    <x v="5"/>
    <x v="0"/>
    <n v="46"/>
    <n v="58"/>
    <x v="22"/>
    <n v="269.46800000000002"/>
  </r>
  <r>
    <n v="1024"/>
    <x v="11"/>
    <n v="1"/>
    <x v="11"/>
    <s v="123 1st Street"/>
    <x v="10"/>
    <x v="10"/>
    <n v="99999"/>
    <s v="USA"/>
    <x v="2"/>
    <x v="2"/>
    <m/>
    <m/>
    <s v="Anna Bedecs"/>
    <s v="123 1st Street"/>
    <x v="10"/>
    <s v="WA"/>
    <n v="99999"/>
    <s v="USA"/>
    <m/>
    <x v="10"/>
    <x v="0"/>
    <n v="2.99"/>
    <n v="67"/>
    <x v="23"/>
    <n v="20.033000000000001"/>
  </r>
  <r>
    <n v="1025"/>
    <x v="7"/>
    <n v="28"/>
    <x v="7"/>
    <s v="789 28th Street"/>
    <x v="6"/>
    <x v="6"/>
    <n v="99999"/>
    <s v="USA"/>
    <x v="5"/>
    <x v="3"/>
    <d v="2014-01-30T00:00:00"/>
    <s v="Shipping Company C"/>
    <s v="Amritansh Raghav"/>
    <s v="789 28th Street"/>
    <x v="6"/>
    <s v="TN"/>
    <n v="99999"/>
    <s v="USA"/>
    <s v="Credit Card"/>
    <x v="8"/>
    <x v="4"/>
    <n v="9.65"/>
    <n v="100"/>
    <x v="24"/>
    <n v="93.605000000000004"/>
  </r>
  <r>
    <n v="1026"/>
    <x v="7"/>
    <n v="28"/>
    <x v="7"/>
    <s v="789 28th Street"/>
    <x v="6"/>
    <x v="6"/>
    <n v="99999"/>
    <s v="USA"/>
    <x v="5"/>
    <x v="3"/>
    <d v="2014-01-30T00:00:00"/>
    <s v="Shipping Company C"/>
    <s v="Amritansh Raghav"/>
    <s v="789 28th Street"/>
    <x v="6"/>
    <s v="TN"/>
    <n v="99999"/>
    <s v="USA"/>
    <s v="Credit Card"/>
    <x v="13"/>
    <x v="8"/>
    <n v="18.399999999999999"/>
    <n v="63"/>
    <x v="25"/>
    <n v="114.76079999999999"/>
  </r>
  <r>
    <n v="1027"/>
    <x v="12"/>
    <n v="9"/>
    <x v="12"/>
    <s v="123 9th Street"/>
    <x v="11"/>
    <x v="11"/>
    <n v="99999"/>
    <s v="USA"/>
    <x v="7"/>
    <x v="0"/>
    <d v="2014-01-11T00:00:00"/>
    <s v="Shipping Company A"/>
    <s v="Sven Mortensen"/>
    <s v="123 9th Street"/>
    <x v="11"/>
    <s v="UT"/>
    <n v="99999"/>
    <s v="USA"/>
    <s v="Check"/>
    <x v="14"/>
    <x v="9"/>
    <n v="19.5"/>
    <n v="57"/>
    <x v="26"/>
    <n v="110.0385"/>
  </r>
  <r>
    <n v="1028"/>
    <x v="12"/>
    <n v="9"/>
    <x v="12"/>
    <s v="123 9th Street"/>
    <x v="11"/>
    <x v="11"/>
    <n v="99999"/>
    <s v="USA"/>
    <x v="7"/>
    <x v="0"/>
    <d v="2014-01-11T00:00:00"/>
    <s v="Shipping Company A"/>
    <s v="Sven Mortensen"/>
    <s v="123 9th Street"/>
    <x v="11"/>
    <s v="UT"/>
    <n v="99999"/>
    <s v="USA"/>
    <s v="Check"/>
    <x v="15"/>
    <x v="10"/>
    <n v="34.799999999999997"/>
    <n v="81"/>
    <x v="27"/>
    <n v="295.97399999999999"/>
  </r>
  <r>
    <n v="1029"/>
    <x v="6"/>
    <n v="6"/>
    <x v="6"/>
    <s v="123 6th Street"/>
    <x v="5"/>
    <x v="5"/>
    <n v="99999"/>
    <s v="USA"/>
    <x v="4"/>
    <x v="2"/>
    <d v="2014-01-08T00:00:00"/>
    <s v="Shipping Company B"/>
    <s v="Francisco Pérez-Olaeta"/>
    <s v="123 6th Street"/>
    <x v="5"/>
    <s v="WI"/>
    <n v="99999"/>
    <s v="USA"/>
    <s v="Credit Card"/>
    <x v="0"/>
    <x v="0"/>
    <n v="14"/>
    <n v="71"/>
    <x v="28"/>
    <n v="95.424000000000007"/>
  </r>
  <r>
    <n v="1030"/>
    <x v="13"/>
    <n v="8"/>
    <x v="3"/>
    <s v="123 8th Street"/>
    <x v="2"/>
    <x v="2"/>
    <n v="99999"/>
    <s v="USA"/>
    <x v="2"/>
    <x v="2"/>
    <d v="2014-02-10T00:00:00"/>
    <s v="Shipping Company B"/>
    <s v="Elizabeth Andersen"/>
    <s v="123 8th Street"/>
    <x v="2"/>
    <s v="OR"/>
    <n v="99999"/>
    <s v="USA"/>
    <s v="Check"/>
    <x v="9"/>
    <x v="5"/>
    <n v="40"/>
    <n v="32"/>
    <x v="11"/>
    <n v="129.28"/>
  </r>
  <r>
    <n v="1031"/>
    <x v="14"/>
    <n v="3"/>
    <x v="5"/>
    <s v="123 3rd Street"/>
    <x v="4"/>
    <x v="4"/>
    <n v="99999"/>
    <s v="USA"/>
    <x v="0"/>
    <x v="0"/>
    <d v="2014-02-05T00:00:00"/>
    <s v="Shipping Company B"/>
    <s v="Thomas Axerr"/>
    <s v="123 3rd Street"/>
    <x v="4"/>
    <s v="CA"/>
    <n v="99999"/>
    <s v="USA"/>
    <s v="Cash"/>
    <x v="16"/>
    <x v="7"/>
    <n v="10"/>
    <n v="63"/>
    <x v="29"/>
    <n v="65.52"/>
  </r>
  <r>
    <n v="1032"/>
    <x v="14"/>
    <n v="3"/>
    <x v="5"/>
    <s v="123 3rd Street"/>
    <x v="4"/>
    <x v="4"/>
    <n v="99999"/>
    <s v="USA"/>
    <x v="0"/>
    <x v="0"/>
    <d v="2014-02-05T00:00:00"/>
    <s v="Shipping Company B"/>
    <s v="Thomas Axerr"/>
    <s v="123 3rd Street"/>
    <x v="4"/>
    <s v="CA"/>
    <n v="99999"/>
    <s v="USA"/>
    <s v="Cash"/>
    <x v="9"/>
    <x v="5"/>
    <n v="40"/>
    <n v="30"/>
    <x v="30"/>
    <n v="120"/>
  </r>
  <r>
    <n v="1033"/>
    <x v="15"/>
    <n v="6"/>
    <x v="6"/>
    <s v="123 6th Street"/>
    <x v="5"/>
    <x v="5"/>
    <n v="99999"/>
    <s v="USA"/>
    <x v="4"/>
    <x v="2"/>
    <d v="2014-02-08T00:00:00"/>
    <s v="Shipping Company B"/>
    <s v="Francisco Pérez-Olaeta"/>
    <s v="123 6th Street"/>
    <x v="5"/>
    <s v="WI"/>
    <n v="99999"/>
    <s v="USA"/>
    <s v="Credit Card"/>
    <x v="17"/>
    <x v="11"/>
    <m/>
    <m/>
    <x v="31"/>
    <n v="43"/>
  </r>
  <r>
    <n v="1034"/>
    <x v="16"/>
    <n v="28"/>
    <x v="7"/>
    <s v="789 28th Street"/>
    <x v="6"/>
    <x v="6"/>
    <n v="99999"/>
    <s v="USA"/>
    <x v="5"/>
    <x v="3"/>
    <d v="2014-03-02T00:00:00"/>
    <s v="Shipping Company C"/>
    <s v="Amritansh Raghav"/>
    <s v="789 28th Street"/>
    <x v="6"/>
    <s v="TN"/>
    <n v="99999"/>
    <s v="USA"/>
    <s v="Check"/>
    <x v="17"/>
    <x v="11"/>
    <m/>
    <m/>
    <x v="31"/>
    <n v="31"/>
  </r>
  <r>
    <n v="1035"/>
    <x v="13"/>
    <n v="8"/>
    <x v="3"/>
    <s v="123 8th Street"/>
    <x v="2"/>
    <x v="2"/>
    <n v="99999"/>
    <s v="USA"/>
    <x v="2"/>
    <x v="2"/>
    <d v="2014-02-10T00:00:00"/>
    <s v="Shipping Company C"/>
    <s v="Elizabeth Andersen"/>
    <s v="123 8th Street"/>
    <x v="2"/>
    <s v="OR"/>
    <n v="99999"/>
    <s v="USA"/>
    <s v="Check"/>
    <x v="17"/>
    <x v="11"/>
    <m/>
    <m/>
    <x v="31"/>
    <n v="46"/>
  </r>
  <r>
    <n v="1036"/>
    <x v="17"/>
    <n v="10"/>
    <x v="8"/>
    <s v="123 10th Street"/>
    <x v="7"/>
    <x v="7"/>
    <n v="99999"/>
    <s v="USA"/>
    <x v="6"/>
    <x v="1"/>
    <d v="2014-02-12T00:00:00"/>
    <s v="Shipping Company B"/>
    <s v="Roland Wacker"/>
    <s v="123 10th Street"/>
    <x v="7"/>
    <s v="IL"/>
    <n v="99999"/>
    <s v="USA"/>
    <s v="Credit Card"/>
    <x v="18"/>
    <x v="1"/>
    <n v="10"/>
    <n v="47"/>
    <x v="32"/>
    <n v="48.88"/>
  </r>
  <r>
    <n v="1038"/>
    <x v="17"/>
    <n v="10"/>
    <x v="8"/>
    <s v="123 10th Street"/>
    <x v="7"/>
    <x v="7"/>
    <n v="99999"/>
    <s v="USA"/>
    <x v="6"/>
    <x v="1"/>
    <m/>
    <s v="Shipping Company A"/>
    <s v="Roland Wacker"/>
    <s v="123 10th Street"/>
    <x v="7"/>
    <s v="IL"/>
    <n v="99999"/>
    <s v="USA"/>
    <m/>
    <x v="1"/>
    <x v="1"/>
    <n v="3.5"/>
    <n v="49"/>
    <x v="33"/>
    <n v="16.464000000000002"/>
  </r>
  <r>
    <n v="1039"/>
    <x v="18"/>
    <n v="11"/>
    <x v="10"/>
    <s v="123 11th Street"/>
    <x v="9"/>
    <x v="9"/>
    <n v="99999"/>
    <s v="USA"/>
    <x v="5"/>
    <x v="3"/>
    <m/>
    <s v="Shipping Company C"/>
    <s v="Peter Krschne"/>
    <s v="123 11th Street"/>
    <x v="9"/>
    <s v="FL"/>
    <n v="99999"/>
    <s v="USA"/>
    <m/>
    <x v="9"/>
    <x v="5"/>
    <n v="40"/>
    <n v="72"/>
    <x v="34"/>
    <n v="285.12"/>
  </r>
  <r>
    <n v="1040"/>
    <x v="19"/>
    <n v="1"/>
    <x v="11"/>
    <s v="123 1st Street"/>
    <x v="10"/>
    <x v="10"/>
    <n v="99999"/>
    <s v="USA"/>
    <x v="2"/>
    <x v="2"/>
    <m/>
    <s v="Shipping Company C"/>
    <s v="Anna Bedecs"/>
    <s v="123 1st Street"/>
    <x v="10"/>
    <s v="WA"/>
    <n v="99999"/>
    <s v="USA"/>
    <m/>
    <x v="13"/>
    <x v="8"/>
    <n v="18.399999999999999"/>
    <n v="13"/>
    <x v="35"/>
    <n v="23.680800000000001"/>
  </r>
  <r>
    <n v="1041"/>
    <x v="16"/>
    <n v="28"/>
    <x v="7"/>
    <s v="789 28th Street"/>
    <x v="6"/>
    <x v="6"/>
    <n v="99999"/>
    <s v="USA"/>
    <x v="5"/>
    <x v="3"/>
    <n v="41700"/>
    <s v="Shipping Company C"/>
    <s v="Amritansh Raghav"/>
    <s v="789 28th Street"/>
    <x v="6"/>
    <s v="TN"/>
    <n v="99999"/>
    <s v="USA"/>
    <s v="Credit Card"/>
    <x v="5"/>
    <x v="0"/>
    <n v="46"/>
    <n v="32"/>
    <x v="36"/>
    <n v="148.67200000000003"/>
  </r>
  <r>
    <n v="1042"/>
    <x v="20"/>
    <n v="9"/>
    <x v="12"/>
    <s v="123 9th Street"/>
    <x v="11"/>
    <x v="11"/>
    <n v="99999"/>
    <s v="USA"/>
    <x v="7"/>
    <x v="0"/>
    <d v="2014-02-11T00:00:00"/>
    <s v="Shipping Company A"/>
    <s v="Sven Mortensen"/>
    <s v="123 9th Street"/>
    <x v="11"/>
    <s v="UT"/>
    <n v="99999"/>
    <s v="USA"/>
    <s v="Check"/>
    <x v="8"/>
    <x v="4"/>
    <n v="9.65"/>
    <n v="27"/>
    <x v="37"/>
    <n v="24.752250000000004"/>
  </r>
  <r>
    <n v="1043"/>
    <x v="15"/>
    <n v="6"/>
    <x v="6"/>
    <s v="123 6th Street"/>
    <x v="5"/>
    <x v="5"/>
    <n v="99999"/>
    <s v="USA"/>
    <x v="4"/>
    <x v="2"/>
    <d v="2014-02-08T00:00:00"/>
    <s v="Shipping Company B"/>
    <s v="Francisco Pérez-Olaeta"/>
    <s v="123 6th Street"/>
    <x v="5"/>
    <s v="WI"/>
    <n v="99999"/>
    <s v="USA"/>
    <s v="Credit Card"/>
    <x v="7"/>
    <x v="3"/>
    <n v="12.75"/>
    <n v="71"/>
    <x v="38"/>
    <n v="91.430250000000001"/>
  </r>
  <r>
    <n v="1044"/>
    <x v="13"/>
    <n v="8"/>
    <x v="3"/>
    <s v="123 8th Street"/>
    <x v="2"/>
    <x v="2"/>
    <n v="99999"/>
    <s v="USA"/>
    <x v="2"/>
    <x v="2"/>
    <d v="2014-02-10T00:00:00"/>
    <s v="Shipping Company B"/>
    <s v="Elizabeth Andersen"/>
    <s v="123 8th Street"/>
    <x v="2"/>
    <s v="OR"/>
    <n v="99999"/>
    <s v="USA"/>
    <s v="Check"/>
    <x v="7"/>
    <x v="3"/>
    <n v="12.75"/>
    <n v="13"/>
    <x v="39"/>
    <n v="15.746249999999998"/>
  </r>
  <r>
    <n v="1045"/>
    <x v="21"/>
    <n v="25"/>
    <x v="13"/>
    <s v="789 25th Street"/>
    <x v="7"/>
    <x v="7"/>
    <n v="99999"/>
    <s v="USA"/>
    <x v="6"/>
    <x v="1"/>
    <d v="2014-02-27T00:00:00"/>
    <s v="Shipping Company A"/>
    <s v="John Rodman"/>
    <s v="789 25th Street"/>
    <x v="7"/>
    <s v="IL"/>
    <n v="99999"/>
    <s v="USA"/>
    <s v="Cash"/>
    <x v="12"/>
    <x v="7"/>
    <n v="22"/>
    <n v="98"/>
    <x v="40"/>
    <n v="204.82000000000002"/>
  </r>
  <r>
    <n v="1046"/>
    <x v="22"/>
    <n v="26"/>
    <x v="14"/>
    <s v="789 26th Street"/>
    <x v="9"/>
    <x v="9"/>
    <n v="99999"/>
    <s v="USA"/>
    <x v="5"/>
    <x v="3"/>
    <d v="2014-02-28T00:00:00"/>
    <s v="Shipping Company C"/>
    <s v="Run Liu"/>
    <s v="789 26th Street"/>
    <x v="9"/>
    <s v="FL"/>
    <n v="99999"/>
    <s v="USA"/>
    <s v="Credit Card"/>
    <x v="11"/>
    <x v="6"/>
    <n v="25"/>
    <n v="21"/>
    <x v="41"/>
    <n v="53.550000000000004"/>
  </r>
  <r>
    <n v="1047"/>
    <x v="23"/>
    <n v="29"/>
    <x v="4"/>
    <s v="789 29th Street"/>
    <x v="3"/>
    <x v="3"/>
    <n v="99999"/>
    <s v="USA"/>
    <x v="3"/>
    <x v="0"/>
    <d v="2014-03-03T00:00:00"/>
    <s v="Shipping Company B"/>
    <s v="Soo Jung Lee"/>
    <s v="789 29th Street"/>
    <x v="3"/>
    <s v="CO"/>
    <n v="99999"/>
    <s v="USA"/>
    <s v="Check"/>
    <x v="19"/>
    <x v="12"/>
    <n v="39"/>
    <n v="26"/>
    <x v="42"/>
    <n v="106.47000000000001"/>
  </r>
  <r>
    <n v="1048"/>
    <x v="15"/>
    <n v="6"/>
    <x v="6"/>
    <s v="123 6th Street"/>
    <x v="5"/>
    <x v="5"/>
    <n v="99999"/>
    <s v="USA"/>
    <x v="4"/>
    <x v="2"/>
    <d v="2014-02-08T00:00:00"/>
    <s v="Shipping Company C"/>
    <s v="Francisco Pérez-Olaeta"/>
    <s v="123 6th Street"/>
    <x v="5"/>
    <s v="WI"/>
    <n v="99999"/>
    <s v="USA"/>
    <s v="Check"/>
    <x v="2"/>
    <x v="1"/>
    <n v="30"/>
    <n v="96"/>
    <x v="34"/>
    <n v="296.64"/>
  </r>
  <r>
    <n v="1049"/>
    <x v="15"/>
    <n v="6"/>
    <x v="6"/>
    <s v="123 6th Street"/>
    <x v="5"/>
    <x v="5"/>
    <n v="99999"/>
    <s v="USA"/>
    <x v="4"/>
    <x v="2"/>
    <d v="2014-02-08T00:00:00"/>
    <s v="Shipping Company C"/>
    <s v="Francisco Pérez-Olaeta"/>
    <s v="123 6th Street"/>
    <x v="5"/>
    <s v="WI"/>
    <n v="99999"/>
    <s v="USA"/>
    <s v="Check"/>
    <x v="3"/>
    <x v="1"/>
    <n v="53"/>
    <n v="16"/>
    <x v="43"/>
    <n v="88.192000000000021"/>
  </r>
  <r>
    <n v="1050"/>
    <x v="24"/>
    <n v="4"/>
    <x v="1"/>
    <s v="123 4th Street"/>
    <x v="1"/>
    <x v="1"/>
    <n v="99999"/>
    <s v="USA"/>
    <x v="1"/>
    <x v="1"/>
    <m/>
    <m/>
    <s v="Christina Lee"/>
    <s v="123 4th Street"/>
    <x v="1"/>
    <s v="NY"/>
    <n v="99999"/>
    <s v="USA"/>
    <m/>
    <x v="20"/>
    <x v="9"/>
    <n v="38"/>
    <n v="96"/>
    <x v="44"/>
    <n v="346.56"/>
  </r>
  <r>
    <n v="1051"/>
    <x v="14"/>
    <n v="3"/>
    <x v="5"/>
    <s v="123 3rd Street"/>
    <x v="4"/>
    <x v="4"/>
    <n v="99999"/>
    <s v="USA"/>
    <x v="0"/>
    <x v="0"/>
    <m/>
    <m/>
    <s v="Thomas Axerr"/>
    <s v="123 3rd Street"/>
    <x v="4"/>
    <s v="CA"/>
    <n v="99999"/>
    <s v="USA"/>
    <m/>
    <x v="10"/>
    <x v="0"/>
    <n v="2.99"/>
    <n v="75"/>
    <x v="45"/>
    <n v="23.097750000000005"/>
  </r>
  <r>
    <n v="1052"/>
    <x v="25"/>
    <n v="9"/>
    <x v="12"/>
    <s v="123 9th Street"/>
    <x v="11"/>
    <x v="11"/>
    <n v="99999"/>
    <s v="USA"/>
    <x v="7"/>
    <x v="0"/>
    <n v="41709"/>
    <s v="Shipping Company A"/>
    <s v="Sven Mortensen"/>
    <s v="123 9th Street"/>
    <x v="11"/>
    <s v="UT"/>
    <n v="99999"/>
    <s v="USA"/>
    <s v="Check"/>
    <x v="14"/>
    <x v="9"/>
    <n v="19.5"/>
    <n v="55"/>
    <x v="46"/>
    <n v="108.32250000000001"/>
  </r>
  <r>
    <n v="1053"/>
    <x v="25"/>
    <n v="9"/>
    <x v="12"/>
    <s v="123 9th Street"/>
    <x v="11"/>
    <x v="11"/>
    <n v="99999"/>
    <s v="USA"/>
    <x v="7"/>
    <x v="0"/>
    <d v="2014-03-11T00:00:00"/>
    <s v="Shipping Company A"/>
    <s v="Sven Mortensen"/>
    <s v="123 9th Street"/>
    <x v="11"/>
    <s v="UT"/>
    <n v="99999"/>
    <s v="USA"/>
    <s v="Check"/>
    <x v="15"/>
    <x v="10"/>
    <n v="34.799999999999997"/>
    <n v="11"/>
    <x v="47"/>
    <n v="36.748799999999996"/>
  </r>
  <r>
    <n v="1054"/>
    <x v="26"/>
    <n v="6"/>
    <x v="6"/>
    <s v="123 6th Street"/>
    <x v="5"/>
    <x v="5"/>
    <n v="99999"/>
    <s v="USA"/>
    <x v="4"/>
    <x v="2"/>
    <d v="2014-03-08T00:00:00"/>
    <s v="Shipping Company B"/>
    <s v="Francisco Pérez-Olaeta"/>
    <s v="123 6th Street"/>
    <x v="5"/>
    <s v="WI"/>
    <n v="99999"/>
    <s v="USA"/>
    <s v="Credit Card"/>
    <x v="0"/>
    <x v="0"/>
    <n v="14"/>
    <n v="53"/>
    <x v="48"/>
    <n v="71.974000000000004"/>
  </r>
  <r>
    <n v="1055"/>
    <x v="27"/>
    <n v="8"/>
    <x v="3"/>
    <s v="123 8th Street"/>
    <x v="2"/>
    <x v="2"/>
    <n v="99999"/>
    <s v="USA"/>
    <x v="2"/>
    <x v="2"/>
    <d v="2014-03-10T00:00:00"/>
    <s v="Shipping Company B"/>
    <s v="Elizabeth Andersen"/>
    <s v="123 8th Street"/>
    <x v="2"/>
    <s v="OR"/>
    <n v="99999"/>
    <s v="USA"/>
    <s v="Check"/>
    <x v="9"/>
    <x v="5"/>
    <n v="40"/>
    <n v="85"/>
    <x v="49"/>
    <n v="357"/>
  </r>
  <r>
    <n v="1056"/>
    <x v="27"/>
    <n v="8"/>
    <x v="3"/>
    <s v="123 8th Street"/>
    <x v="2"/>
    <x v="2"/>
    <n v="99999"/>
    <s v="USA"/>
    <x v="2"/>
    <x v="2"/>
    <d v="2014-03-10T00:00:00"/>
    <s v="Shipping Company B"/>
    <s v="Elizabeth Andersen"/>
    <s v="123 8th Street"/>
    <x v="2"/>
    <s v="OR"/>
    <n v="99999"/>
    <s v="USA"/>
    <s v="Check"/>
    <x v="6"/>
    <x v="2"/>
    <n v="9.1999999999999993"/>
    <n v="97"/>
    <x v="50"/>
    <n v="91.024800000000013"/>
  </r>
  <r>
    <n v="1057"/>
    <x v="28"/>
    <n v="25"/>
    <x v="13"/>
    <s v="789 25th Street"/>
    <x v="7"/>
    <x v="7"/>
    <n v="99999"/>
    <s v="USA"/>
    <x v="6"/>
    <x v="1"/>
    <d v="2014-03-27T00:00:00"/>
    <s v="Shipping Company A"/>
    <s v="John Rodman"/>
    <s v="789 25th Street"/>
    <x v="7"/>
    <s v="IL"/>
    <n v="99999"/>
    <s v="USA"/>
    <s v="Cash"/>
    <x v="21"/>
    <x v="2"/>
    <n v="10"/>
    <n v="46"/>
    <x v="51"/>
    <n v="46.46"/>
  </r>
  <r>
    <n v="1058"/>
    <x v="29"/>
    <n v="26"/>
    <x v="14"/>
    <s v="789 26th Street"/>
    <x v="9"/>
    <x v="9"/>
    <n v="99999"/>
    <s v="USA"/>
    <x v="5"/>
    <x v="3"/>
    <d v="2014-03-28T00:00:00"/>
    <s v="Shipping Company C"/>
    <s v="Run Liu"/>
    <s v="789 26th Street"/>
    <x v="9"/>
    <s v="FL"/>
    <n v="99999"/>
    <s v="USA"/>
    <s v="Credit Card"/>
    <x v="22"/>
    <x v="13"/>
    <n v="21.35"/>
    <n v="97"/>
    <x v="52"/>
    <n v="196.74025"/>
  </r>
  <r>
    <n v="1059"/>
    <x v="29"/>
    <n v="26"/>
    <x v="14"/>
    <s v="789 26th Street"/>
    <x v="9"/>
    <x v="9"/>
    <n v="99999"/>
    <s v="USA"/>
    <x v="5"/>
    <x v="3"/>
    <d v="2014-03-28T00:00:00"/>
    <s v="Shipping Company C"/>
    <s v="Run Liu"/>
    <s v="789 26th Street"/>
    <x v="9"/>
    <s v="FL"/>
    <n v="99999"/>
    <s v="USA"/>
    <s v="Credit Card"/>
    <x v="8"/>
    <x v="4"/>
    <n v="9.65"/>
    <n v="97"/>
    <x v="53"/>
    <n v="95.477100000000021"/>
  </r>
  <r>
    <n v="1060"/>
    <x v="29"/>
    <n v="26"/>
    <x v="14"/>
    <s v="789 26th Street"/>
    <x v="9"/>
    <x v="9"/>
    <n v="99999"/>
    <s v="USA"/>
    <x v="5"/>
    <x v="3"/>
    <d v="2014-03-28T00:00:00"/>
    <s v="Shipping Company C"/>
    <s v="Run Liu"/>
    <s v="789 26th Street"/>
    <x v="9"/>
    <s v="FL"/>
    <n v="99999"/>
    <s v="USA"/>
    <s v="Credit Card"/>
    <x v="13"/>
    <x v="8"/>
    <n v="18.399999999999999"/>
    <n v="65"/>
    <x v="54"/>
    <n v="123.18800000000002"/>
  </r>
  <r>
    <n v="1061"/>
    <x v="30"/>
    <n v="29"/>
    <x v="4"/>
    <s v="789 29th Street"/>
    <x v="3"/>
    <x v="3"/>
    <n v="99999"/>
    <s v="USA"/>
    <x v="3"/>
    <x v="0"/>
    <d v="2014-03-31T00:00:00"/>
    <s v="Shipping Company B"/>
    <s v="Soo Jung Lee"/>
    <s v="789 29th Street"/>
    <x v="3"/>
    <s v="CO"/>
    <n v="99999"/>
    <s v="USA"/>
    <s v="Check"/>
    <x v="0"/>
    <x v="0"/>
    <n v="14"/>
    <n v="72"/>
    <x v="55"/>
    <n v="100.80000000000001"/>
  </r>
  <r>
    <n v="1062"/>
    <x v="26"/>
    <n v="6"/>
    <x v="6"/>
    <s v="123 6th Street"/>
    <x v="5"/>
    <x v="5"/>
    <n v="99999"/>
    <s v="USA"/>
    <x v="4"/>
    <x v="2"/>
    <d v="2014-03-08T00:00:00"/>
    <s v="Shipping Company C"/>
    <s v="Francisco Pérez-Olaeta"/>
    <s v="123 6th Street"/>
    <x v="5"/>
    <s v="WI"/>
    <n v="99999"/>
    <s v="USA"/>
    <s v="Check"/>
    <x v="7"/>
    <x v="3"/>
    <n v="12.75"/>
    <n v="16"/>
    <x v="56"/>
    <n v="20.196000000000002"/>
  </r>
  <r>
    <n v="1064"/>
    <x v="31"/>
    <n v="4"/>
    <x v="1"/>
    <s v="123 4th Street"/>
    <x v="1"/>
    <x v="1"/>
    <n v="99999"/>
    <s v="USA"/>
    <x v="1"/>
    <x v="1"/>
    <d v="2014-03-06T00:00:00"/>
    <s v="Shipping Company A"/>
    <s v="Christina Lee"/>
    <s v="123 4th Street"/>
    <x v="1"/>
    <s v="NY"/>
    <n v="99999"/>
    <s v="USA"/>
    <s v="Credit Card"/>
    <x v="23"/>
    <x v="6"/>
    <n v="81"/>
    <n v="77"/>
    <x v="57"/>
    <n v="642.41100000000006"/>
  </r>
  <r>
    <n v="1065"/>
    <x v="31"/>
    <n v="4"/>
    <x v="1"/>
    <s v="123 4th Street"/>
    <x v="1"/>
    <x v="1"/>
    <n v="99999"/>
    <s v="USA"/>
    <x v="1"/>
    <x v="1"/>
    <d v="2014-03-06T00:00:00"/>
    <s v="Shipping Company A"/>
    <s v="Christina Lee"/>
    <s v="123 4th Street"/>
    <x v="1"/>
    <s v="NY"/>
    <n v="99999"/>
    <s v="USA"/>
    <s v="Credit Card"/>
    <x v="24"/>
    <x v="14"/>
    <n v="7"/>
    <n v="37"/>
    <x v="58"/>
    <n v="24.605"/>
  </r>
  <r>
    <n v="1067"/>
    <x v="27"/>
    <n v="8"/>
    <x v="3"/>
    <s v="123 8th Street"/>
    <x v="2"/>
    <x v="2"/>
    <n v="99999"/>
    <s v="USA"/>
    <x v="2"/>
    <x v="2"/>
    <d v="2014-03-10T00:00:00"/>
    <s v="Shipping Company C"/>
    <s v="Elizabeth Andersen"/>
    <s v="123 8th Street"/>
    <x v="2"/>
    <s v="OR"/>
    <n v="99999"/>
    <s v="USA"/>
    <s v="Credit Card"/>
    <x v="15"/>
    <x v="10"/>
    <n v="34.799999999999997"/>
    <n v="63"/>
    <x v="59"/>
    <n v="217.04759999999999"/>
  </r>
  <r>
    <n v="1070"/>
    <x v="32"/>
    <n v="3"/>
    <x v="5"/>
    <s v="123 3rd Street"/>
    <x v="4"/>
    <x v="4"/>
    <n v="99999"/>
    <s v="USA"/>
    <x v="0"/>
    <x v="0"/>
    <d v="2014-03-05T00:00:00"/>
    <s v="Shipping Company B"/>
    <s v="Thomas Axerr"/>
    <s v="123 3rd Street"/>
    <x v="4"/>
    <s v="CA"/>
    <n v="99999"/>
    <s v="USA"/>
    <s v="Cash"/>
    <x v="16"/>
    <x v="7"/>
    <n v="10"/>
    <n v="48"/>
    <x v="60"/>
    <n v="48"/>
  </r>
  <r>
    <n v="1071"/>
    <x v="32"/>
    <n v="3"/>
    <x v="5"/>
    <s v="123 3rd Street"/>
    <x v="4"/>
    <x v="4"/>
    <n v="99999"/>
    <s v="USA"/>
    <x v="0"/>
    <x v="0"/>
    <d v="2014-03-05T00:00:00"/>
    <s v="Shipping Company B"/>
    <s v="Thomas Axerr"/>
    <s v="123 3rd Street"/>
    <x v="4"/>
    <s v="CA"/>
    <n v="99999"/>
    <s v="USA"/>
    <s v="Cash"/>
    <x v="9"/>
    <x v="5"/>
    <n v="40"/>
    <n v="71"/>
    <x v="61"/>
    <n v="295.36"/>
  </r>
  <r>
    <n v="1075"/>
    <x v="33"/>
    <n v="10"/>
    <x v="8"/>
    <s v="123 10th Street"/>
    <x v="7"/>
    <x v="7"/>
    <n v="99999"/>
    <s v="USA"/>
    <x v="6"/>
    <x v="1"/>
    <d v="2014-03-12T00:00:00"/>
    <s v="Shipping Company B"/>
    <s v="Roland Wacker"/>
    <s v="123 10th Street"/>
    <x v="7"/>
    <s v="IL"/>
    <n v="99999"/>
    <s v="USA"/>
    <s v="Credit Card"/>
    <x v="18"/>
    <x v="1"/>
    <n v="10"/>
    <n v="55"/>
    <x v="62"/>
    <n v="55"/>
  </r>
  <r>
    <n v="1077"/>
    <x v="33"/>
    <n v="10"/>
    <x v="8"/>
    <s v="123 10th Street"/>
    <x v="7"/>
    <x v="7"/>
    <n v="99999"/>
    <s v="USA"/>
    <x v="6"/>
    <x v="1"/>
    <m/>
    <s v="Shipping Company A"/>
    <s v="Roland Wacker"/>
    <s v="123 10th Street"/>
    <x v="7"/>
    <s v="IL"/>
    <n v="99999"/>
    <s v="USA"/>
    <m/>
    <x v="1"/>
    <x v="1"/>
    <n v="3.5"/>
    <n v="21"/>
    <x v="63"/>
    <n v="7.3500000000000005"/>
  </r>
  <r>
    <n v="1078"/>
    <x v="34"/>
    <n v="11"/>
    <x v="10"/>
    <s v="123 11th Street"/>
    <x v="9"/>
    <x v="9"/>
    <n v="99999"/>
    <s v="USA"/>
    <x v="5"/>
    <x v="3"/>
    <m/>
    <s v="Shipping Company C"/>
    <s v="Peter Krschne"/>
    <s v="123 11th Street"/>
    <x v="9"/>
    <s v="FL"/>
    <n v="99999"/>
    <s v="USA"/>
    <m/>
    <x v="9"/>
    <x v="5"/>
    <n v="40"/>
    <n v="67"/>
    <x v="64"/>
    <n v="270.68"/>
  </r>
  <r>
    <n v="1079"/>
    <x v="23"/>
    <n v="1"/>
    <x v="11"/>
    <s v="123 1st Street"/>
    <x v="10"/>
    <x v="10"/>
    <n v="99999"/>
    <s v="USA"/>
    <x v="2"/>
    <x v="2"/>
    <m/>
    <s v="Shipping Company C"/>
    <s v="Anna Bedecs"/>
    <s v="123 1st Street"/>
    <x v="10"/>
    <s v="WA"/>
    <n v="99999"/>
    <s v="USA"/>
    <m/>
    <x v="13"/>
    <x v="8"/>
    <n v="18.399999999999999"/>
    <n v="75"/>
    <x v="65"/>
    <n v="138"/>
  </r>
  <r>
    <n v="1080"/>
    <x v="35"/>
    <n v="28"/>
    <x v="7"/>
    <s v="789 28th Street"/>
    <x v="6"/>
    <x v="6"/>
    <n v="99999"/>
    <s v="USA"/>
    <x v="5"/>
    <x v="3"/>
    <d v="2014-03-30T00:00:00"/>
    <s v="Shipping Company C"/>
    <s v="Amritansh Raghav"/>
    <s v="789 28th Street"/>
    <x v="6"/>
    <s v="TN"/>
    <n v="99999"/>
    <s v="USA"/>
    <s v="Credit Card"/>
    <x v="5"/>
    <x v="0"/>
    <n v="46"/>
    <n v="17"/>
    <x v="66"/>
    <n v="80.546000000000006"/>
  </r>
  <r>
    <n v="1081"/>
    <x v="36"/>
    <n v="4"/>
    <x v="1"/>
    <s v="123 4th Street"/>
    <x v="1"/>
    <x v="1"/>
    <n v="99999"/>
    <s v="USA"/>
    <x v="1"/>
    <x v="1"/>
    <d v="2014-04-06T00:00:00"/>
    <s v="Shipping Company A"/>
    <s v="Christina Lee"/>
    <s v="123 4th Street"/>
    <x v="1"/>
    <s v="NY"/>
    <n v="99999"/>
    <s v="USA"/>
    <s v="Credit Card"/>
    <x v="1"/>
    <x v="1"/>
    <n v="3.5"/>
    <n v="48"/>
    <x v="67"/>
    <n v="16.295999999999999"/>
  </r>
  <r>
    <n v="1082"/>
    <x v="37"/>
    <n v="12"/>
    <x v="2"/>
    <s v="123 12th Street"/>
    <x v="0"/>
    <x v="0"/>
    <n v="99999"/>
    <s v="USA"/>
    <x v="0"/>
    <x v="0"/>
    <d v="2014-04-14T00:00:00"/>
    <s v="Shipping Company B"/>
    <s v="John Edwards"/>
    <s v="123 12th Street"/>
    <x v="0"/>
    <s v="NV"/>
    <n v="99999"/>
    <s v="USA"/>
    <s v="Credit Card"/>
    <x v="4"/>
    <x v="0"/>
    <n v="18"/>
    <n v="74"/>
    <x v="68"/>
    <n v="137.19600000000003"/>
  </r>
  <r>
    <n v="1083"/>
    <x v="37"/>
    <n v="12"/>
    <x v="2"/>
    <s v="123 12th Street"/>
    <x v="0"/>
    <x v="0"/>
    <n v="99999"/>
    <s v="USA"/>
    <x v="0"/>
    <x v="0"/>
    <d v="2014-04-14T00:00:00"/>
    <s v="Shipping Company B"/>
    <s v="John Edwards"/>
    <s v="123 12th Street"/>
    <x v="0"/>
    <s v="NV"/>
    <n v="99999"/>
    <s v="USA"/>
    <s v="Credit Card"/>
    <x v="5"/>
    <x v="0"/>
    <n v="46"/>
    <n v="96"/>
    <x v="69"/>
    <n v="428.35200000000003"/>
  </r>
  <r>
    <n v="1084"/>
    <x v="38"/>
    <n v="8"/>
    <x v="3"/>
    <s v="123 8th Street"/>
    <x v="2"/>
    <x v="2"/>
    <n v="99999"/>
    <s v="USA"/>
    <x v="2"/>
    <x v="2"/>
    <d v="2014-04-10T00:00:00"/>
    <s v="Shipping Company C"/>
    <s v="Elizabeth Andersen"/>
    <s v="123 8th Street"/>
    <x v="2"/>
    <s v="OR"/>
    <n v="99999"/>
    <s v="USA"/>
    <s v="Credit Card"/>
    <x v="6"/>
    <x v="2"/>
    <n v="9.1999999999999993"/>
    <n v="12"/>
    <x v="70"/>
    <n v="11.3712"/>
  </r>
  <r>
    <n v="1085"/>
    <x v="36"/>
    <n v="4"/>
    <x v="1"/>
    <s v="123 4th Street"/>
    <x v="1"/>
    <x v="1"/>
    <n v="99999"/>
    <s v="USA"/>
    <x v="1"/>
    <x v="1"/>
    <n v="41735"/>
    <s v="Shipping Company C"/>
    <s v="Christina Lee"/>
    <s v="123 4th Street"/>
    <x v="1"/>
    <s v="NY"/>
    <n v="99999"/>
    <s v="USA"/>
    <s v="Check"/>
    <x v="6"/>
    <x v="2"/>
    <n v="9.1999999999999993"/>
    <n v="62"/>
    <x v="71"/>
    <n v="58.751199999999997"/>
  </r>
  <r>
    <n v="1086"/>
    <x v="39"/>
    <n v="29"/>
    <x v="4"/>
    <s v="789 29th Street"/>
    <x v="3"/>
    <x v="3"/>
    <n v="99999"/>
    <s v="USA"/>
    <x v="3"/>
    <x v="0"/>
    <n v="41760"/>
    <s v="Shipping Company B"/>
    <s v="Soo Jung Lee"/>
    <s v="789 29th Street"/>
    <x v="3"/>
    <s v="CO"/>
    <n v="99999"/>
    <s v="USA"/>
    <s v="Check"/>
    <x v="7"/>
    <x v="3"/>
    <n v="12.75"/>
    <n v="35"/>
    <x v="72"/>
    <n v="45.963750000000005"/>
  </r>
  <r>
    <n v="1087"/>
    <x v="40"/>
    <n v="3"/>
    <x v="5"/>
    <s v="123 3rd Street"/>
    <x v="4"/>
    <x v="4"/>
    <n v="99999"/>
    <s v="USA"/>
    <x v="0"/>
    <x v="0"/>
    <n v="41734"/>
    <s v="Shipping Company B"/>
    <s v="Thomas Axerr"/>
    <s v="123 3rd Street"/>
    <x v="4"/>
    <s v="CA"/>
    <n v="99999"/>
    <s v="USA"/>
    <s v="Cash"/>
    <x v="8"/>
    <x v="4"/>
    <n v="9.65"/>
    <n v="95"/>
    <x v="73"/>
    <n v="91.675000000000011"/>
  </r>
  <r>
    <n v="1088"/>
    <x v="41"/>
    <n v="6"/>
    <x v="6"/>
    <s v="123 6th Street"/>
    <x v="5"/>
    <x v="5"/>
    <n v="99999"/>
    <s v="USA"/>
    <x v="4"/>
    <x v="2"/>
    <n v="41737"/>
    <s v="Shipping Company B"/>
    <s v="Francisco Pérez-Olaeta"/>
    <s v="123 6th Street"/>
    <x v="5"/>
    <s v="WI"/>
    <n v="99999"/>
    <s v="USA"/>
    <s v="Credit Card"/>
    <x v="9"/>
    <x v="5"/>
    <n v="40"/>
    <n v="17"/>
    <x v="74"/>
    <n v="68.680000000000007"/>
  </r>
  <r>
    <n v="1089"/>
    <x v="42"/>
    <n v="28"/>
    <x v="7"/>
    <s v="789 28th Street"/>
    <x v="6"/>
    <x v="6"/>
    <n v="99999"/>
    <s v="USA"/>
    <x v="5"/>
    <x v="3"/>
    <d v="2014-04-30T00:00:00"/>
    <s v="Shipping Company C"/>
    <s v="Amritansh Raghav"/>
    <s v="789 28th Street"/>
    <x v="6"/>
    <s v="TN"/>
    <n v="99999"/>
    <s v="USA"/>
    <s v="Check"/>
    <x v="5"/>
    <x v="0"/>
    <n v="46"/>
    <n v="96"/>
    <x v="69"/>
    <n v="463.68000000000006"/>
  </r>
  <r>
    <n v="1090"/>
    <x v="38"/>
    <n v="8"/>
    <x v="3"/>
    <s v="123 8th Street"/>
    <x v="2"/>
    <x v="2"/>
    <n v="99999"/>
    <s v="USA"/>
    <x v="2"/>
    <x v="2"/>
    <d v="2014-04-10T00:00:00"/>
    <s v="Shipping Company C"/>
    <s v="Elizabeth Andersen"/>
    <s v="123 8th Street"/>
    <x v="2"/>
    <s v="OR"/>
    <n v="99999"/>
    <s v="USA"/>
    <s v="Check"/>
    <x v="7"/>
    <x v="3"/>
    <n v="12.75"/>
    <n v="83"/>
    <x v="75"/>
    <n v="102.65025"/>
  </r>
  <r>
    <n v="1091"/>
    <x v="43"/>
    <n v="10"/>
    <x v="8"/>
    <s v="123 10th Street"/>
    <x v="7"/>
    <x v="7"/>
    <n v="99999"/>
    <s v="USA"/>
    <x v="6"/>
    <x v="1"/>
    <d v="2014-04-12T00:00:00"/>
    <s v="Shipping Company B"/>
    <s v="Roland Wacker"/>
    <s v="123 10th Street"/>
    <x v="7"/>
    <s v="IL"/>
    <n v="99999"/>
    <s v="USA"/>
    <s v="Credit Card"/>
    <x v="10"/>
    <x v="0"/>
    <n v="2.99"/>
    <n v="88"/>
    <x v="76"/>
    <n v="26.04888"/>
  </r>
  <r>
    <n v="1092"/>
    <x v="44"/>
    <n v="7"/>
    <x v="9"/>
    <s v="123 7th Street"/>
    <x v="8"/>
    <x v="8"/>
    <n v="99999"/>
    <s v="USA"/>
    <x v="2"/>
    <x v="2"/>
    <m/>
    <m/>
    <s v="Ming-Yang Xie"/>
    <s v="123 7th Street"/>
    <x v="8"/>
    <s v="ID"/>
    <n v="99999"/>
    <s v="USA"/>
    <m/>
    <x v="5"/>
    <x v="0"/>
    <n v="46"/>
    <n v="59"/>
    <x v="77"/>
    <n v="284.97000000000003"/>
  </r>
  <r>
    <n v="1093"/>
    <x v="43"/>
    <n v="10"/>
    <x v="8"/>
    <s v="123 10th Street"/>
    <x v="7"/>
    <x v="7"/>
    <n v="99999"/>
    <s v="USA"/>
    <x v="6"/>
    <x v="1"/>
    <d v="2014-04-12T00:00:00"/>
    <s v="Shipping Company A"/>
    <s v="Roland Wacker"/>
    <s v="123 10th Street"/>
    <x v="7"/>
    <s v="IL"/>
    <n v="99999"/>
    <s v="USA"/>
    <m/>
    <x v="11"/>
    <x v="6"/>
    <n v="25"/>
    <n v="27"/>
    <x v="78"/>
    <n v="68.849999999999994"/>
  </r>
  <r>
    <n v="1094"/>
    <x v="43"/>
    <n v="10"/>
    <x v="8"/>
    <s v="123 10th Street"/>
    <x v="7"/>
    <x v="7"/>
    <n v="99999"/>
    <s v="USA"/>
    <x v="6"/>
    <x v="1"/>
    <d v="2014-04-12T00:00:00"/>
    <s v="Shipping Company A"/>
    <s v="Roland Wacker"/>
    <s v="123 10th Street"/>
    <x v="7"/>
    <s v="IL"/>
    <n v="99999"/>
    <s v="USA"/>
    <m/>
    <x v="12"/>
    <x v="7"/>
    <n v="22"/>
    <n v="37"/>
    <x v="79"/>
    <n v="85.470000000000013"/>
  </r>
  <r>
    <n v="1095"/>
    <x v="43"/>
    <n v="10"/>
    <x v="8"/>
    <s v="123 10th Street"/>
    <x v="7"/>
    <x v="7"/>
    <n v="99999"/>
    <s v="USA"/>
    <x v="6"/>
    <x v="1"/>
    <d v="2014-04-12T00:00:00"/>
    <s v="Shipping Company A"/>
    <s v="Roland Wacker"/>
    <s v="123 10th Street"/>
    <x v="7"/>
    <s v="IL"/>
    <n v="99999"/>
    <s v="USA"/>
    <m/>
    <x v="6"/>
    <x v="2"/>
    <n v="9.1999999999999993"/>
    <n v="75"/>
    <x v="80"/>
    <n v="69"/>
  </r>
  <r>
    <n v="1096"/>
    <x v="45"/>
    <n v="11"/>
    <x v="10"/>
    <s v="123 11th Street"/>
    <x v="9"/>
    <x v="9"/>
    <n v="99999"/>
    <s v="USA"/>
    <x v="5"/>
    <x v="3"/>
    <m/>
    <s v="Shipping Company C"/>
    <s v="Peter Krschne"/>
    <s v="123 11th Street"/>
    <x v="9"/>
    <s v="FL"/>
    <n v="99999"/>
    <s v="USA"/>
    <m/>
    <x v="1"/>
    <x v="1"/>
    <n v="3.5"/>
    <n v="71"/>
    <x v="81"/>
    <n v="24.104500000000002"/>
  </r>
  <r>
    <n v="1097"/>
    <x v="45"/>
    <n v="11"/>
    <x v="10"/>
    <s v="123 11th Street"/>
    <x v="9"/>
    <x v="9"/>
    <n v="99999"/>
    <s v="USA"/>
    <x v="5"/>
    <x v="3"/>
    <m/>
    <s v="Shipping Company C"/>
    <s v="Peter Krschne"/>
    <s v="123 11th Street"/>
    <x v="9"/>
    <s v="FL"/>
    <n v="99999"/>
    <s v="USA"/>
    <m/>
    <x v="10"/>
    <x v="0"/>
    <n v="2.99"/>
    <n v="88"/>
    <x v="76"/>
    <n v="26.04888"/>
  </r>
  <r>
    <n v="1098"/>
    <x v="46"/>
    <n v="1"/>
    <x v="11"/>
    <s v="123 1st Street"/>
    <x v="10"/>
    <x v="10"/>
    <n v="99999"/>
    <s v="USA"/>
    <x v="2"/>
    <x v="2"/>
    <m/>
    <m/>
    <s v="Anna Bedecs"/>
    <s v="123 1st Street"/>
    <x v="10"/>
    <s v="WA"/>
    <n v="99999"/>
    <s v="USA"/>
    <m/>
    <x v="4"/>
    <x v="0"/>
    <n v="18"/>
    <n v="55"/>
    <x v="82"/>
    <n v="97.02"/>
  </r>
  <r>
    <n v="1099"/>
    <x v="47"/>
    <n v="29"/>
    <x v="4"/>
    <s v="789 29th Street"/>
    <x v="3"/>
    <x v="3"/>
    <n v="99999"/>
    <s v="USA"/>
    <x v="3"/>
    <x v="0"/>
    <d v="2014-05-31T00:00:00"/>
    <s v="Shipping Company B"/>
    <s v="Soo Jung Lee"/>
    <s v="789 29th Street"/>
    <x v="3"/>
    <s v="CO"/>
    <n v="99999"/>
    <s v="USA"/>
    <s v="Check"/>
    <x v="7"/>
    <x v="3"/>
    <n v="12.75"/>
    <n v="14"/>
    <x v="83"/>
    <n v="16.9575"/>
  </r>
  <r>
    <n v="1100"/>
    <x v="48"/>
    <n v="3"/>
    <x v="5"/>
    <s v="123 3rd Street"/>
    <x v="4"/>
    <x v="4"/>
    <n v="99999"/>
    <s v="USA"/>
    <x v="0"/>
    <x v="0"/>
    <d v="2014-05-05T00:00:00"/>
    <s v="Shipping Company B"/>
    <s v="Thomas Axerr"/>
    <s v="123 3rd Street"/>
    <x v="4"/>
    <s v="CA"/>
    <n v="99999"/>
    <s v="USA"/>
    <s v="Cash"/>
    <x v="8"/>
    <x v="4"/>
    <n v="9.65"/>
    <n v="43"/>
    <x v="84"/>
    <n v="42.324900000000007"/>
  </r>
  <r>
    <n v="1101"/>
    <x v="49"/>
    <n v="6"/>
    <x v="6"/>
    <s v="123 6th Street"/>
    <x v="5"/>
    <x v="5"/>
    <n v="99999"/>
    <s v="USA"/>
    <x v="4"/>
    <x v="2"/>
    <n v="41767"/>
    <s v="Shipping Company B"/>
    <s v="Francisco Pérez-Olaeta"/>
    <s v="123 6th Street"/>
    <x v="5"/>
    <s v="WI"/>
    <n v="99999"/>
    <s v="USA"/>
    <s v="Credit Card"/>
    <x v="9"/>
    <x v="5"/>
    <n v="40"/>
    <n v="63"/>
    <x v="85"/>
    <n v="254.52"/>
  </r>
  <r>
    <n v="1102"/>
    <x v="50"/>
    <n v="28"/>
    <x v="7"/>
    <s v="789 28th Street"/>
    <x v="6"/>
    <x v="6"/>
    <n v="99999"/>
    <s v="USA"/>
    <x v="5"/>
    <x v="3"/>
    <d v="2014-05-30T00:00:00"/>
    <s v="Shipping Company C"/>
    <s v="Amritansh Raghav"/>
    <s v="789 28th Street"/>
    <x v="6"/>
    <s v="TN"/>
    <n v="99999"/>
    <s v="USA"/>
    <s v="Check"/>
    <x v="5"/>
    <x v="0"/>
    <n v="46"/>
    <n v="36"/>
    <x v="86"/>
    <n v="165.60000000000002"/>
  </r>
  <r>
    <n v="1103"/>
    <x v="51"/>
    <n v="8"/>
    <x v="3"/>
    <s v="123 8th Street"/>
    <x v="2"/>
    <x v="2"/>
    <n v="99999"/>
    <s v="USA"/>
    <x v="2"/>
    <x v="2"/>
    <d v="2014-05-10T00:00:00"/>
    <s v="Shipping Company C"/>
    <s v="Elizabeth Andersen"/>
    <s v="123 8th Street"/>
    <x v="2"/>
    <s v="OR"/>
    <n v="99999"/>
    <s v="USA"/>
    <s v="Check"/>
    <x v="7"/>
    <x v="3"/>
    <n v="12.75"/>
    <n v="41"/>
    <x v="87"/>
    <n v="54.366000000000007"/>
  </r>
  <r>
    <n v="1104"/>
    <x v="52"/>
    <n v="10"/>
    <x v="8"/>
    <s v="123 10th Street"/>
    <x v="7"/>
    <x v="7"/>
    <n v="99999"/>
    <s v="USA"/>
    <x v="6"/>
    <x v="1"/>
    <d v="2014-05-12T00:00:00"/>
    <s v="Shipping Company B"/>
    <s v="Roland Wacker"/>
    <s v="123 10th Street"/>
    <x v="7"/>
    <s v="IL"/>
    <n v="99999"/>
    <s v="USA"/>
    <s v="Credit Card"/>
    <x v="10"/>
    <x v="0"/>
    <n v="2.99"/>
    <n v="35"/>
    <x v="88"/>
    <n v="10.255700000000001"/>
  </r>
  <r>
    <n v="1105"/>
    <x v="53"/>
    <n v="7"/>
    <x v="9"/>
    <s v="123 7th Street"/>
    <x v="8"/>
    <x v="8"/>
    <n v="99999"/>
    <s v="USA"/>
    <x v="2"/>
    <x v="2"/>
    <m/>
    <m/>
    <s v="Ming-Yang Xie"/>
    <s v="123 7th Street"/>
    <x v="8"/>
    <s v="ID"/>
    <n v="99999"/>
    <s v="USA"/>
    <m/>
    <x v="5"/>
    <x v="0"/>
    <n v="46"/>
    <n v="31"/>
    <x v="89"/>
    <n v="136.89599999999999"/>
  </r>
  <r>
    <n v="1106"/>
    <x v="52"/>
    <n v="10"/>
    <x v="8"/>
    <s v="123 10th Street"/>
    <x v="7"/>
    <x v="7"/>
    <n v="99999"/>
    <s v="USA"/>
    <x v="6"/>
    <x v="1"/>
    <n v="41771"/>
    <s v="Shipping Company A"/>
    <s v="Roland Wacker"/>
    <s v="123 10th Street"/>
    <x v="7"/>
    <s v="IL"/>
    <n v="99999"/>
    <s v="USA"/>
    <m/>
    <x v="11"/>
    <x v="6"/>
    <n v="25"/>
    <n v="52"/>
    <x v="90"/>
    <n v="123.5"/>
  </r>
  <r>
    <n v="1107"/>
    <x v="52"/>
    <n v="10"/>
    <x v="8"/>
    <s v="123 10th Street"/>
    <x v="7"/>
    <x v="7"/>
    <n v="99999"/>
    <s v="USA"/>
    <x v="6"/>
    <x v="1"/>
    <n v="41771"/>
    <s v="Shipping Company A"/>
    <s v="Roland Wacker"/>
    <s v="123 10th Street"/>
    <x v="7"/>
    <s v="IL"/>
    <n v="99999"/>
    <s v="USA"/>
    <m/>
    <x v="12"/>
    <x v="7"/>
    <n v="22"/>
    <n v="30"/>
    <x v="91"/>
    <n v="67.320000000000007"/>
  </r>
  <r>
    <n v="1108"/>
    <x v="52"/>
    <n v="10"/>
    <x v="8"/>
    <s v="123 10th Street"/>
    <x v="7"/>
    <x v="7"/>
    <n v="99999"/>
    <s v="USA"/>
    <x v="6"/>
    <x v="1"/>
    <d v="2014-05-12T00:00:00"/>
    <s v="Shipping Company A"/>
    <s v="Roland Wacker"/>
    <s v="123 10th Street"/>
    <x v="7"/>
    <s v="IL"/>
    <n v="99999"/>
    <s v="USA"/>
    <m/>
    <x v="6"/>
    <x v="2"/>
    <n v="9.1999999999999993"/>
    <n v="41"/>
    <x v="92"/>
    <n v="38.474400000000003"/>
  </r>
  <r>
    <n v="1109"/>
    <x v="54"/>
    <n v="11"/>
    <x v="10"/>
    <s v="123 11th Street"/>
    <x v="9"/>
    <x v="9"/>
    <n v="99999"/>
    <s v="USA"/>
    <x v="5"/>
    <x v="3"/>
    <m/>
    <s v="Shipping Company C"/>
    <s v="Peter Krschne"/>
    <s v="123 11th Street"/>
    <x v="9"/>
    <s v="FL"/>
    <n v="99999"/>
    <s v="USA"/>
    <m/>
    <x v="1"/>
    <x v="1"/>
    <n v="3.5"/>
    <n v="44"/>
    <x v="93"/>
    <n v="15.246"/>
  </r>
  <r>
    <n v="1110"/>
    <x v="54"/>
    <n v="11"/>
    <x v="10"/>
    <s v="123 11th Street"/>
    <x v="9"/>
    <x v="9"/>
    <n v="99999"/>
    <s v="USA"/>
    <x v="5"/>
    <x v="3"/>
    <m/>
    <s v="Shipping Company C"/>
    <s v="Peter Krschne"/>
    <s v="123 11th Street"/>
    <x v="9"/>
    <s v="FL"/>
    <n v="99999"/>
    <s v="USA"/>
    <m/>
    <x v="10"/>
    <x v="0"/>
    <n v="2.99"/>
    <n v="77"/>
    <x v="94"/>
    <n v="23.023000000000003"/>
  </r>
  <r>
    <n v="1111"/>
    <x v="55"/>
    <n v="1"/>
    <x v="11"/>
    <s v="123 1st Street"/>
    <x v="10"/>
    <x v="10"/>
    <n v="99999"/>
    <s v="USA"/>
    <x v="2"/>
    <x v="2"/>
    <m/>
    <m/>
    <s v="Anna Bedecs"/>
    <s v="123 1st Street"/>
    <x v="10"/>
    <s v="WA"/>
    <n v="99999"/>
    <s v="USA"/>
    <m/>
    <x v="4"/>
    <x v="0"/>
    <n v="18"/>
    <n v="29"/>
    <x v="95"/>
    <n v="52.722000000000001"/>
  </r>
  <r>
    <n v="1112"/>
    <x v="55"/>
    <n v="1"/>
    <x v="11"/>
    <s v="123 1st Street"/>
    <x v="10"/>
    <x v="10"/>
    <n v="99999"/>
    <s v="USA"/>
    <x v="2"/>
    <x v="2"/>
    <m/>
    <m/>
    <s v="Anna Bedecs"/>
    <s v="123 1st Street"/>
    <x v="10"/>
    <s v="WA"/>
    <n v="99999"/>
    <s v="USA"/>
    <m/>
    <x v="5"/>
    <x v="0"/>
    <n v="46"/>
    <n v="77"/>
    <x v="96"/>
    <n v="368.36800000000005"/>
  </r>
  <r>
    <n v="1113"/>
    <x v="55"/>
    <n v="1"/>
    <x v="11"/>
    <s v="123 1st Street"/>
    <x v="10"/>
    <x v="10"/>
    <n v="99999"/>
    <s v="USA"/>
    <x v="2"/>
    <x v="2"/>
    <m/>
    <m/>
    <s v="Anna Bedecs"/>
    <s v="123 1st Street"/>
    <x v="10"/>
    <s v="WA"/>
    <n v="99999"/>
    <s v="USA"/>
    <m/>
    <x v="10"/>
    <x v="0"/>
    <n v="2.99"/>
    <n v="73"/>
    <x v="97"/>
    <n v="21.827000000000002"/>
  </r>
  <r>
    <n v="1114"/>
    <x v="50"/>
    <n v="28"/>
    <x v="7"/>
    <s v="789 28th Street"/>
    <x v="6"/>
    <x v="6"/>
    <n v="99999"/>
    <s v="USA"/>
    <x v="5"/>
    <x v="3"/>
    <n v="41789"/>
    <s v="Shipping Company C"/>
    <s v="Amritansh Raghav"/>
    <s v="789 28th Street"/>
    <x v="6"/>
    <s v="TN"/>
    <n v="99999"/>
    <s v="USA"/>
    <s v="Credit Card"/>
    <x v="8"/>
    <x v="4"/>
    <n v="9.65"/>
    <n v="74"/>
    <x v="98"/>
    <n v="67.839500000000001"/>
  </r>
  <r>
    <n v="1115"/>
    <x v="50"/>
    <n v="28"/>
    <x v="7"/>
    <s v="789 28th Street"/>
    <x v="6"/>
    <x v="6"/>
    <n v="99999"/>
    <s v="USA"/>
    <x v="5"/>
    <x v="3"/>
    <d v="2014-05-30T00:00:00"/>
    <s v="Shipping Company C"/>
    <s v="Amritansh Raghav"/>
    <s v="789 28th Street"/>
    <x v="6"/>
    <s v="TN"/>
    <n v="99999"/>
    <s v="USA"/>
    <s v="Credit Card"/>
    <x v="13"/>
    <x v="8"/>
    <n v="18.399999999999999"/>
    <n v="25"/>
    <x v="99"/>
    <n v="46.46"/>
  </r>
  <r>
    <n v="1116"/>
    <x v="56"/>
    <n v="9"/>
    <x v="12"/>
    <s v="123 9th Street"/>
    <x v="11"/>
    <x v="11"/>
    <n v="99999"/>
    <s v="USA"/>
    <x v="7"/>
    <x v="0"/>
    <d v="2014-05-11T00:00:00"/>
    <s v="Shipping Company A"/>
    <s v="Sven Mortensen"/>
    <s v="123 9th Street"/>
    <x v="11"/>
    <s v="UT"/>
    <n v="99999"/>
    <s v="USA"/>
    <s v="Check"/>
    <x v="14"/>
    <x v="9"/>
    <n v="19.5"/>
    <n v="82"/>
    <x v="100"/>
    <n v="153.50399999999999"/>
  </r>
  <r>
    <n v="1117"/>
    <x v="56"/>
    <n v="9"/>
    <x v="12"/>
    <s v="123 9th Street"/>
    <x v="11"/>
    <x v="11"/>
    <n v="99999"/>
    <s v="USA"/>
    <x v="7"/>
    <x v="0"/>
    <d v="2014-05-11T00:00:00"/>
    <s v="Shipping Company A"/>
    <s v="Sven Mortensen"/>
    <s v="123 9th Street"/>
    <x v="11"/>
    <s v="UT"/>
    <n v="99999"/>
    <s v="USA"/>
    <s v="Check"/>
    <x v="15"/>
    <x v="10"/>
    <n v="34.799999999999997"/>
    <n v="37"/>
    <x v="101"/>
    <n v="132.62279999999998"/>
  </r>
  <r>
    <n v="1118"/>
    <x v="49"/>
    <n v="6"/>
    <x v="6"/>
    <s v="123 6th Street"/>
    <x v="5"/>
    <x v="5"/>
    <n v="99999"/>
    <s v="USA"/>
    <x v="4"/>
    <x v="2"/>
    <n v="41767"/>
    <s v="Shipping Company B"/>
    <s v="Francisco Pérez-Olaeta"/>
    <s v="123 6th Street"/>
    <x v="5"/>
    <s v="WI"/>
    <n v="99999"/>
    <s v="USA"/>
    <s v="Credit Card"/>
    <x v="0"/>
    <x v="0"/>
    <n v="14"/>
    <n v="84"/>
    <x v="102"/>
    <n v="112.896"/>
  </r>
  <r>
    <n v="1119"/>
    <x v="51"/>
    <n v="8"/>
    <x v="3"/>
    <s v="123 8th Street"/>
    <x v="2"/>
    <x v="2"/>
    <n v="99999"/>
    <s v="USA"/>
    <x v="2"/>
    <x v="2"/>
    <n v="41769"/>
    <s v="Shipping Company B"/>
    <s v="Elizabeth Andersen"/>
    <s v="123 8th Street"/>
    <x v="2"/>
    <s v="OR"/>
    <n v="99999"/>
    <s v="USA"/>
    <s v="Check"/>
    <x v="9"/>
    <x v="5"/>
    <n v="40"/>
    <n v="73"/>
    <x v="103"/>
    <n v="283.24"/>
  </r>
  <r>
    <n v="1120"/>
    <x v="51"/>
    <n v="8"/>
    <x v="3"/>
    <s v="123 8th Street"/>
    <x v="2"/>
    <x v="2"/>
    <n v="99999"/>
    <s v="USA"/>
    <x v="2"/>
    <x v="2"/>
    <n v="41769"/>
    <s v="Shipping Company B"/>
    <s v="Elizabeth Andersen"/>
    <s v="123 8th Street"/>
    <x v="2"/>
    <s v="OR"/>
    <n v="99999"/>
    <s v="USA"/>
    <s v="Check"/>
    <x v="6"/>
    <x v="2"/>
    <n v="9.1999999999999993"/>
    <n v="51"/>
    <x v="104"/>
    <n v="44.573999999999998"/>
  </r>
  <r>
    <n v="1121"/>
    <x v="57"/>
    <n v="25"/>
    <x v="13"/>
    <s v="789 25th Street"/>
    <x v="7"/>
    <x v="7"/>
    <n v="99999"/>
    <s v="USA"/>
    <x v="6"/>
    <x v="1"/>
    <n v="41786"/>
    <s v="Shipping Company A"/>
    <s v="John Rodman"/>
    <s v="789 25th Street"/>
    <x v="7"/>
    <s v="IL"/>
    <n v="99999"/>
    <s v="USA"/>
    <s v="Cash"/>
    <x v="21"/>
    <x v="2"/>
    <n v="10"/>
    <n v="66"/>
    <x v="91"/>
    <n v="68.64"/>
  </r>
  <r>
    <n v="1122"/>
    <x v="58"/>
    <n v="26"/>
    <x v="14"/>
    <s v="789 26th Street"/>
    <x v="9"/>
    <x v="9"/>
    <n v="99999"/>
    <s v="USA"/>
    <x v="5"/>
    <x v="3"/>
    <n v="41787"/>
    <s v="Shipping Company C"/>
    <s v="Run Liu"/>
    <s v="789 26th Street"/>
    <x v="9"/>
    <s v="FL"/>
    <n v="99999"/>
    <s v="USA"/>
    <s v="Credit Card"/>
    <x v="22"/>
    <x v="13"/>
    <n v="21.35"/>
    <n v="36"/>
    <x v="105"/>
    <n v="74.554200000000009"/>
  </r>
  <r>
    <n v="1123"/>
    <x v="58"/>
    <n v="26"/>
    <x v="14"/>
    <s v="789 26th Street"/>
    <x v="9"/>
    <x v="9"/>
    <n v="99999"/>
    <s v="USA"/>
    <x v="5"/>
    <x v="3"/>
    <d v="2014-05-28T00:00:00"/>
    <s v="Shipping Company C"/>
    <s v="Run Liu"/>
    <s v="789 26th Street"/>
    <x v="9"/>
    <s v="FL"/>
    <n v="99999"/>
    <s v="USA"/>
    <s v="Credit Card"/>
    <x v="8"/>
    <x v="4"/>
    <n v="9.65"/>
    <n v="87"/>
    <x v="106"/>
    <n v="87.313200000000009"/>
  </r>
  <r>
    <n v="1124"/>
    <x v="58"/>
    <n v="26"/>
    <x v="14"/>
    <s v="789 26th Street"/>
    <x v="9"/>
    <x v="9"/>
    <n v="99999"/>
    <s v="USA"/>
    <x v="5"/>
    <x v="3"/>
    <d v="2014-05-28T00:00:00"/>
    <s v="Shipping Company C"/>
    <s v="Run Liu"/>
    <s v="789 26th Street"/>
    <x v="9"/>
    <s v="FL"/>
    <n v="99999"/>
    <s v="USA"/>
    <s v="Credit Card"/>
    <x v="13"/>
    <x v="8"/>
    <n v="18.399999999999999"/>
    <n v="64"/>
    <x v="107"/>
    <n v="115.40479999999999"/>
  </r>
  <r>
    <n v="1125"/>
    <x v="47"/>
    <n v="29"/>
    <x v="4"/>
    <s v="789 29th Street"/>
    <x v="3"/>
    <x v="3"/>
    <n v="99999"/>
    <s v="USA"/>
    <x v="3"/>
    <x v="0"/>
    <d v="2014-05-31T00:00:00"/>
    <s v="Shipping Company B"/>
    <s v="Soo Jung Lee"/>
    <s v="789 29th Street"/>
    <x v="3"/>
    <s v="CO"/>
    <n v="99999"/>
    <s v="USA"/>
    <s v="Check"/>
    <x v="0"/>
    <x v="0"/>
    <n v="14"/>
    <n v="21"/>
    <x v="108"/>
    <n v="30.870000000000005"/>
  </r>
  <r>
    <n v="1126"/>
    <x v="49"/>
    <n v="6"/>
    <x v="6"/>
    <s v="123 6th Street"/>
    <x v="5"/>
    <x v="5"/>
    <n v="99999"/>
    <s v="USA"/>
    <x v="4"/>
    <x v="2"/>
    <d v="2014-05-08T00:00:00"/>
    <s v="Shipping Company C"/>
    <s v="Francisco Pérez-Olaeta"/>
    <s v="123 6th Street"/>
    <x v="5"/>
    <s v="WI"/>
    <n v="99999"/>
    <s v="USA"/>
    <s v="Check"/>
    <x v="7"/>
    <x v="3"/>
    <n v="12.75"/>
    <n v="19"/>
    <x v="109"/>
    <n v="24.46725"/>
  </r>
  <r>
    <n v="1128"/>
    <x v="59"/>
    <n v="4"/>
    <x v="1"/>
    <s v="123 4th Street"/>
    <x v="1"/>
    <x v="1"/>
    <n v="99999"/>
    <s v="USA"/>
    <x v="1"/>
    <x v="1"/>
    <d v="2014-05-06T00:00:00"/>
    <s v="Shipping Company A"/>
    <s v="Christina Lee"/>
    <s v="123 4th Street"/>
    <x v="1"/>
    <s v="NY"/>
    <n v="99999"/>
    <s v="USA"/>
    <s v="Credit Card"/>
    <x v="23"/>
    <x v="6"/>
    <n v="81"/>
    <n v="23"/>
    <x v="110"/>
    <n v="195.61500000000001"/>
  </r>
  <r>
    <n v="1129"/>
    <x v="59"/>
    <n v="4"/>
    <x v="1"/>
    <s v="123 4th Street"/>
    <x v="1"/>
    <x v="1"/>
    <n v="99999"/>
    <s v="USA"/>
    <x v="1"/>
    <x v="1"/>
    <d v="2014-05-06T00:00:00"/>
    <s v="Shipping Company A"/>
    <s v="Christina Lee"/>
    <s v="123 4th Street"/>
    <x v="1"/>
    <s v="NY"/>
    <n v="99999"/>
    <s v="USA"/>
    <s v="Credit Card"/>
    <x v="24"/>
    <x v="14"/>
    <n v="7"/>
    <n v="72"/>
    <x v="111"/>
    <n v="51.912000000000006"/>
  </r>
  <r>
    <n v="1131"/>
    <x v="51"/>
    <n v="8"/>
    <x v="3"/>
    <s v="123 8th Street"/>
    <x v="2"/>
    <x v="2"/>
    <n v="99999"/>
    <s v="USA"/>
    <x v="2"/>
    <x v="2"/>
    <d v="2014-05-10T00:00:00"/>
    <s v="Shipping Company C"/>
    <s v="Elizabeth Andersen"/>
    <s v="123 8th Street"/>
    <x v="2"/>
    <s v="OR"/>
    <n v="99999"/>
    <s v="USA"/>
    <s v="Credit Card"/>
    <x v="15"/>
    <x v="10"/>
    <n v="34.799999999999997"/>
    <n v="22"/>
    <x v="112"/>
    <n v="75.02879999999999"/>
  </r>
  <r>
    <n v="1134"/>
    <x v="48"/>
    <n v="3"/>
    <x v="5"/>
    <s v="123 3rd Street"/>
    <x v="4"/>
    <x v="4"/>
    <n v="99999"/>
    <s v="USA"/>
    <x v="0"/>
    <x v="0"/>
    <d v="2014-05-05T00:00:00"/>
    <s v="Shipping Company B"/>
    <s v="Thomas Axerr"/>
    <s v="123 3rd Street"/>
    <x v="4"/>
    <s v="CA"/>
    <n v="99999"/>
    <s v="USA"/>
    <s v="Cash"/>
    <x v="16"/>
    <x v="7"/>
    <n v="10"/>
    <n v="82"/>
    <x v="113"/>
    <n v="85.28"/>
  </r>
  <r>
    <n v="1135"/>
    <x v="48"/>
    <n v="3"/>
    <x v="5"/>
    <s v="123 3rd Street"/>
    <x v="4"/>
    <x v="4"/>
    <n v="99999"/>
    <s v="USA"/>
    <x v="0"/>
    <x v="0"/>
    <d v="2014-05-05T00:00:00"/>
    <s v="Shipping Company B"/>
    <s v="Thomas Axerr"/>
    <s v="123 3rd Street"/>
    <x v="4"/>
    <s v="CA"/>
    <n v="99999"/>
    <s v="USA"/>
    <s v="Cash"/>
    <x v="9"/>
    <x v="5"/>
    <n v="40"/>
    <n v="98"/>
    <x v="114"/>
    <n v="411.6"/>
  </r>
  <r>
    <n v="1138"/>
    <x v="60"/>
    <n v="7"/>
    <x v="9"/>
    <s v="123 7th Street"/>
    <x v="8"/>
    <x v="8"/>
    <n v="99999"/>
    <s v="USA"/>
    <x v="2"/>
    <x v="2"/>
    <m/>
    <m/>
    <s v="Ming-Yang Xie"/>
    <s v="123 7th Street"/>
    <x v="8"/>
    <s v="ID"/>
    <n v="99999"/>
    <s v="USA"/>
    <m/>
    <x v="5"/>
    <x v="0"/>
    <n v="46"/>
    <n v="71"/>
    <x v="115"/>
    <n v="310.27"/>
  </r>
  <r>
    <n v="1139"/>
    <x v="61"/>
    <n v="10"/>
    <x v="8"/>
    <s v="123 10th Street"/>
    <x v="7"/>
    <x v="7"/>
    <n v="99999"/>
    <s v="USA"/>
    <x v="6"/>
    <x v="1"/>
    <d v="2014-06-12T00:00:00"/>
    <s v="Shipping Company A"/>
    <s v="Roland Wacker"/>
    <s v="123 10th Street"/>
    <x v="7"/>
    <s v="IL"/>
    <n v="99999"/>
    <s v="USA"/>
    <m/>
    <x v="11"/>
    <x v="6"/>
    <n v="25"/>
    <n v="40"/>
    <x v="116"/>
    <n v="105"/>
  </r>
  <r>
    <n v="1140"/>
    <x v="61"/>
    <n v="10"/>
    <x v="8"/>
    <s v="123 10th Street"/>
    <x v="7"/>
    <x v="7"/>
    <n v="99999"/>
    <s v="USA"/>
    <x v="6"/>
    <x v="1"/>
    <d v="2014-06-12T00:00:00"/>
    <s v="Shipping Company A"/>
    <s v="Roland Wacker"/>
    <s v="123 10th Street"/>
    <x v="7"/>
    <s v="IL"/>
    <n v="99999"/>
    <s v="USA"/>
    <m/>
    <x v="12"/>
    <x v="7"/>
    <n v="22"/>
    <n v="80"/>
    <x v="117"/>
    <n v="172.48"/>
  </r>
  <r>
    <n v="1141"/>
    <x v="61"/>
    <n v="10"/>
    <x v="8"/>
    <s v="123 10th Street"/>
    <x v="7"/>
    <x v="7"/>
    <n v="99999"/>
    <s v="USA"/>
    <x v="6"/>
    <x v="1"/>
    <d v="2014-06-12T00:00:00"/>
    <s v="Shipping Company A"/>
    <s v="Roland Wacker"/>
    <s v="123 10th Street"/>
    <x v="7"/>
    <s v="IL"/>
    <n v="99999"/>
    <s v="USA"/>
    <m/>
    <x v="6"/>
    <x v="2"/>
    <n v="9.1999999999999993"/>
    <n v="38"/>
    <x v="7"/>
    <n v="33.211999999999996"/>
  </r>
  <r>
    <n v="1142"/>
    <x v="62"/>
    <n v="11"/>
    <x v="10"/>
    <s v="123 11th Street"/>
    <x v="9"/>
    <x v="9"/>
    <n v="99999"/>
    <s v="USA"/>
    <x v="5"/>
    <x v="3"/>
    <m/>
    <s v="Shipping Company C"/>
    <s v="Peter Krschne"/>
    <s v="123 11th Street"/>
    <x v="9"/>
    <s v="FL"/>
    <n v="99999"/>
    <s v="USA"/>
    <m/>
    <x v="1"/>
    <x v="1"/>
    <n v="3.5"/>
    <n v="28"/>
    <x v="118"/>
    <n v="10.290000000000001"/>
  </r>
  <r>
    <n v="1143"/>
    <x v="62"/>
    <n v="11"/>
    <x v="10"/>
    <s v="123 11th Street"/>
    <x v="9"/>
    <x v="9"/>
    <n v="99999"/>
    <s v="USA"/>
    <x v="5"/>
    <x v="3"/>
    <m/>
    <s v="Shipping Company C"/>
    <s v="Peter Krschne"/>
    <s v="123 11th Street"/>
    <x v="9"/>
    <s v="FL"/>
    <n v="99999"/>
    <s v="USA"/>
    <m/>
    <x v="10"/>
    <x v="0"/>
    <n v="2.99"/>
    <n v="60"/>
    <x v="119"/>
    <n v="17.581200000000003"/>
  </r>
  <r>
    <n v="1144"/>
    <x v="63"/>
    <n v="1"/>
    <x v="11"/>
    <s v="123 1st Street"/>
    <x v="10"/>
    <x v="10"/>
    <n v="99999"/>
    <s v="USA"/>
    <x v="2"/>
    <x v="2"/>
    <m/>
    <m/>
    <s v="Anna Bedecs"/>
    <s v="123 1st Street"/>
    <x v="10"/>
    <s v="WA"/>
    <n v="99999"/>
    <s v="USA"/>
    <m/>
    <x v="4"/>
    <x v="0"/>
    <n v="18"/>
    <n v="33"/>
    <x v="120"/>
    <n v="58.212000000000003"/>
  </r>
  <r>
    <n v="1145"/>
    <x v="63"/>
    <n v="1"/>
    <x v="11"/>
    <s v="123 1st Street"/>
    <x v="10"/>
    <x v="10"/>
    <n v="99999"/>
    <s v="USA"/>
    <x v="2"/>
    <x v="2"/>
    <m/>
    <m/>
    <s v="Anna Bedecs"/>
    <s v="123 1st Street"/>
    <x v="10"/>
    <s v="WA"/>
    <n v="99999"/>
    <s v="USA"/>
    <m/>
    <x v="5"/>
    <x v="0"/>
    <n v="46"/>
    <n v="22"/>
    <x v="121"/>
    <n v="101.2"/>
  </r>
  <r>
    <n v="1146"/>
    <x v="63"/>
    <n v="1"/>
    <x v="11"/>
    <s v="123 1st Street"/>
    <x v="10"/>
    <x v="10"/>
    <n v="99999"/>
    <s v="USA"/>
    <x v="2"/>
    <x v="2"/>
    <m/>
    <m/>
    <s v="Anna Bedecs"/>
    <s v="123 1st Street"/>
    <x v="10"/>
    <s v="WA"/>
    <n v="99999"/>
    <s v="USA"/>
    <m/>
    <x v="10"/>
    <x v="0"/>
    <n v="2.99"/>
    <n v="51"/>
    <x v="122"/>
    <n v="14.944020000000002"/>
  </r>
  <r>
    <n v="1147"/>
    <x v="64"/>
    <n v="28"/>
    <x v="7"/>
    <s v="789 28th Street"/>
    <x v="6"/>
    <x v="6"/>
    <n v="99999"/>
    <s v="USA"/>
    <x v="5"/>
    <x v="3"/>
    <d v="2014-06-30T00:00:00"/>
    <s v="Shipping Company C"/>
    <s v="Amritansh Raghav"/>
    <s v="789 28th Street"/>
    <x v="6"/>
    <s v="TN"/>
    <n v="99999"/>
    <s v="USA"/>
    <s v="Credit Card"/>
    <x v="8"/>
    <x v="4"/>
    <n v="9.65"/>
    <n v="60"/>
    <x v="123"/>
    <n v="57.321000000000005"/>
  </r>
  <r>
    <n v="1148"/>
    <x v="64"/>
    <n v="28"/>
    <x v="7"/>
    <s v="789 28th Street"/>
    <x v="6"/>
    <x v="6"/>
    <n v="99999"/>
    <s v="USA"/>
    <x v="5"/>
    <x v="3"/>
    <d v="2014-06-30T00:00:00"/>
    <s v="Shipping Company C"/>
    <s v="Amritansh Raghav"/>
    <s v="789 28th Street"/>
    <x v="6"/>
    <s v="TN"/>
    <n v="99999"/>
    <s v="USA"/>
    <s v="Credit Card"/>
    <x v="13"/>
    <x v="8"/>
    <n v="18.399999999999999"/>
    <n v="98"/>
    <x v="124"/>
    <n v="183.9264"/>
  </r>
  <r>
    <n v="1149"/>
    <x v="65"/>
    <n v="9"/>
    <x v="12"/>
    <s v="123 9th Street"/>
    <x v="11"/>
    <x v="11"/>
    <n v="99999"/>
    <s v="USA"/>
    <x v="7"/>
    <x v="0"/>
    <d v="2014-06-11T00:00:00"/>
    <s v="Shipping Company A"/>
    <s v="Sven Mortensen"/>
    <s v="123 9th Street"/>
    <x v="11"/>
    <s v="UT"/>
    <n v="99999"/>
    <s v="USA"/>
    <s v="Check"/>
    <x v="14"/>
    <x v="9"/>
    <n v="19.5"/>
    <n v="27"/>
    <x v="125"/>
    <n v="51.070500000000003"/>
  </r>
  <r>
    <n v="1150"/>
    <x v="65"/>
    <n v="9"/>
    <x v="12"/>
    <s v="123 9th Street"/>
    <x v="11"/>
    <x v="11"/>
    <n v="99999"/>
    <s v="USA"/>
    <x v="7"/>
    <x v="0"/>
    <d v="2014-06-11T00:00:00"/>
    <s v="Shipping Company A"/>
    <s v="Sven Mortensen"/>
    <s v="123 9th Street"/>
    <x v="11"/>
    <s v="UT"/>
    <n v="99999"/>
    <s v="USA"/>
    <s v="Check"/>
    <x v="15"/>
    <x v="10"/>
    <n v="34.799999999999997"/>
    <n v="88"/>
    <x v="126"/>
    <n v="303.17759999999993"/>
  </r>
  <r>
    <n v="1151"/>
    <x v="66"/>
    <n v="6"/>
    <x v="6"/>
    <s v="123 6th Street"/>
    <x v="5"/>
    <x v="5"/>
    <n v="99999"/>
    <s v="USA"/>
    <x v="4"/>
    <x v="2"/>
    <d v="2014-06-08T00:00:00"/>
    <s v="Shipping Company B"/>
    <s v="Francisco Pérez-Olaeta"/>
    <s v="123 6th Street"/>
    <x v="5"/>
    <s v="WI"/>
    <n v="99999"/>
    <s v="USA"/>
    <s v="Credit Card"/>
    <x v="0"/>
    <x v="0"/>
    <n v="14"/>
    <n v="65"/>
    <x v="127"/>
    <n v="95.55"/>
  </r>
  <r>
    <n v="1152"/>
    <x v="67"/>
    <n v="8"/>
    <x v="3"/>
    <s v="123 8th Street"/>
    <x v="2"/>
    <x v="2"/>
    <n v="99999"/>
    <s v="USA"/>
    <x v="2"/>
    <x v="2"/>
    <d v="2014-06-10T00:00:00"/>
    <s v="Shipping Company B"/>
    <s v="Elizabeth Andersen"/>
    <s v="123 8th Street"/>
    <x v="2"/>
    <s v="OR"/>
    <n v="99999"/>
    <s v="USA"/>
    <s v="Check"/>
    <x v="9"/>
    <x v="5"/>
    <n v="40"/>
    <n v="38"/>
    <x v="128"/>
    <n v="148.96"/>
  </r>
  <r>
    <n v="1153"/>
    <x v="67"/>
    <n v="8"/>
    <x v="3"/>
    <s v="123 8th Street"/>
    <x v="2"/>
    <x v="2"/>
    <n v="99999"/>
    <s v="USA"/>
    <x v="2"/>
    <x v="2"/>
    <n v="41800"/>
    <s v="Shipping Company B"/>
    <s v="Elizabeth Andersen"/>
    <s v="123 8th Street"/>
    <x v="2"/>
    <s v="OR"/>
    <n v="99999"/>
    <s v="USA"/>
    <s v="Check"/>
    <x v="6"/>
    <x v="2"/>
    <n v="9.1999999999999993"/>
    <n v="80"/>
    <x v="129"/>
    <n v="70.656000000000006"/>
  </r>
  <r>
    <n v="1154"/>
    <x v="68"/>
    <n v="25"/>
    <x v="13"/>
    <s v="789 25th Street"/>
    <x v="7"/>
    <x v="7"/>
    <n v="99999"/>
    <s v="USA"/>
    <x v="6"/>
    <x v="1"/>
    <d v="2014-06-27T00:00:00"/>
    <s v="Shipping Company A"/>
    <s v="John Rodman"/>
    <s v="789 25th Street"/>
    <x v="7"/>
    <s v="IL"/>
    <n v="99999"/>
    <s v="USA"/>
    <s v="Cash"/>
    <x v="21"/>
    <x v="2"/>
    <n v="10"/>
    <n v="49"/>
    <x v="130"/>
    <n v="47.04"/>
  </r>
  <r>
    <n v="1155"/>
    <x v="69"/>
    <n v="26"/>
    <x v="14"/>
    <s v="789 26th Street"/>
    <x v="9"/>
    <x v="9"/>
    <n v="99999"/>
    <s v="USA"/>
    <x v="5"/>
    <x v="3"/>
    <d v="2014-06-28T00:00:00"/>
    <s v="Shipping Company C"/>
    <s v="Run Liu"/>
    <s v="789 26th Street"/>
    <x v="9"/>
    <s v="FL"/>
    <n v="99999"/>
    <s v="USA"/>
    <s v="Credit Card"/>
    <x v="22"/>
    <x v="13"/>
    <n v="21.35"/>
    <n v="90"/>
    <x v="131"/>
    <n v="186.38550000000004"/>
  </r>
  <r>
    <n v="1156"/>
    <x v="69"/>
    <n v="26"/>
    <x v="14"/>
    <s v="789 26th Street"/>
    <x v="9"/>
    <x v="9"/>
    <n v="99999"/>
    <s v="USA"/>
    <x v="5"/>
    <x v="3"/>
    <d v="2014-06-28T00:00:00"/>
    <s v="Shipping Company C"/>
    <s v="Run Liu"/>
    <s v="789 26th Street"/>
    <x v="9"/>
    <s v="FL"/>
    <n v="99999"/>
    <s v="USA"/>
    <s v="Credit Card"/>
    <x v="8"/>
    <x v="4"/>
    <n v="9.65"/>
    <n v="60"/>
    <x v="123"/>
    <n v="59.637000000000008"/>
  </r>
  <r>
    <n v="1157"/>
    <x v="69"/>
    <n v="26"/>
    <x v="14"/>
    <s v="789 26th Street"/>
    <x v="9"/>
    <x v="9"/>
    <n v="99999"/>
    <s v="USA"/>
    <x v="5"/>
    <x v="3"/>
    <n v="41818"/>
    <s v="Shipping Company C"/>
    <s v="Run Liu"/>
    <s v="789 26th Street"/>
    <x v="9"/>
    <s v="FL"/>
    <n v="99999"/>
    <s v="USA"/>
    <s v="Credit Card"/>
    <x v="13"/>
    <x v="8"/>
    <n v="18.399999999999999"/>
    <n v="39"/>
    <x v="132"/>
    <n v="71.759999999999991"/>
  </r>
  <r>
    <n v="1158"/>
    <x v="70"/>
    <n v="29"/>
    <x v="4"/>
    <s v="789 29th Street"/>
    <x v="3"/>
    <x v="3"/>
    <n v="99999"/>
    <s v="USA"/>
    <x v="3"/>
    <x v="0"/>
    <n v="41821"/>
    <s v="Shipping Company B"/>
    <s v="Soo Jung Lee"/>
    <s v="789 29th Street"/>
    <x v="3"/>
    <s v="CO"/>
    <n v="99999"/>
    <s v="USA"/>
    <s v="Check"/>
    <x v="0"/>
    <x v="0"/>
    <n v="14"/>
    <n v="79"/>
    <x v="133"/>
    <n v="113.91800000000001"/>
  </r>
  <r>
    <n v="1159"/>
    <x v="66"/>
    <n v="6"/>
    <x v="6"/>
    <s v="123 6th Street"/>
    <x v="5"/>
    <x v="5"/>
    <n v="99999"/>
    <s v="USA"/>
    <x v="4"/>
    <x v="2"/>
    <n v="41798"/>
    <s v="Shipping Company C"/>
    <s v="Francisco Pérez-Olaeta"/>
    <s v="123 6th Street"/>
    <x v="5"/>
    <s v="WI"/>
    <n v="99999"/>
    <s v="USA"/>
    <s v="Check"/>
    <x v="7"/>
    <x v="3"/>
    <n v="12.75"/>
    <n v="44"/>
    <x v="134"/>
    <n v="57.222000000000001"/>
  </r>
  <r>
    <n v="1161"/>
    <x v="71"/>
    <n v="4"/>
    <x v="1"/>
    <s v="123 4th Street"/>
    <x v="1"/>
    <x v="1"/>
    <n v="99999"/>
    <s v="USA"/>
    <x v="1"/>
    <x v="1"/>
    <n v="41796"/>
    <s v="Shipping Company A"/>
    <s v="Christina Lee"/>
    <s v="123 4th Street"/>
    <x v="1"/>
    <s v="NY"/>
    <n v="99999"/>
    <s v="USA"/>
    <s v="Credit Card"/>
    <x v="23"/>
    <x v="6"/>
    <n v="81"/>
    <n v="98"/>
    <x v="135"/>
    <n v="769.98599999999999"/>
  </r>
  <r>
    <n v="1162"/>
    <x v="71"/>
    <n v="4"/>
    <x v="1"/>
    <s v="123 4th Street"/>
    <x v="1"/>
    <x v="1"/>
    <n v="99999"/>
    <s v="USA"/>
    <x v="1"/>
    <x v="1"/>
    <n v="41796"/>
    <s v="Shipping Company A"/>
    <s v="Christina Lee"/>
    <s v="123 4th Street"/>
    <x v="1"/>
    <s v="NY"/>
    <n v="99999"/>
    <s v="USA"/>
    <s v="Credit Card"/>
    <x v="24"/>
    <x v="14"/>
    <n v="7"/>
    <n v="61"/>
    <x v="136"/>
    <n v="42.273000000000003"/>
  </r>
  <r>
    <n v="1164"/>
    <x v="67"/>
    <n v="8"/>
    <x v="3"/>
    <s v="123 8th Street"/>
    <x v="2"/>
    <x v="2"/>
    <n v="99999"/>
    <s v="USA"/>
    <x v="2"/>
    <x v="2"/>
    <d v="2014-06-10T00:00:00"/>
    <s v="Shipping Company C"/>
    <s v="Elizabeth Andersen"/>
    <s v="123 8th Street"/>
    <x v="2"/>
    <s v="OR"/>
    <n v="99999"/>
    <s v="USA"/>
    <s v="Credit Card"/>
    <x v="15"/>
    <x v="10"/>
    <n v="34.799999999999997"/>
    <n v="30"/>
    <x v="137"/>
    <n v="109.62"/>
  </r>
  <r>
    <n v="1167"/>
    <x v="72"/>
    <n v="3"/>
    <x v="5"/>
    <s v="123 3rd Street"/>
    <x v="4"/>
    <x v="4"/>
    <n v="99999"/>
    <s v="USA"/>
    <x v="0"/>
    <x v="0"/>
    <d v="2014-06-05T00:00:00"/>
    <s v="Shipping Company B"/>
    <s v="Thomas Axerr"/>
    <s v="123 3rd Street"/>
    <x v="4"/>
    <s v="CA"/>
    <n v="99999"/>
    <s v="USA"/>
    <s v="Cash"/>
    <x v="16"/>
    <x v="7"/>
    <n v="10"/>
    <n v="24"/>
    <x v="138"/>
    <n v="25.200000000000003"/>
  </r>
  <r>
    <n v="1168"/>
    <x v="72"/>
    <n v="3"/>
    <x v="5"/>
    <s v="123 3rd Street"/>
    <x v="4"/>
    <x v="4"/>
    <n v="99999"/>
    <s v="USA"/>
    <x v="0"/>
    <x v="0"/>
    <d v="2014-06-05T00:00:00"/>
    <s v="Shipping Company B"/>
    <s v="Thomas Axerr"/>
    <s v="123 3rd Street"/>
    <x v="4"/>
    <s v="CA"/>
    <n v="99999"/>
    <s v="USA"/>
    <s v="Cash"/>
    <x v="9"/>
    <x v="5"/>
    <n v="40"/>
    <n v="28"/>
    <x v="139"/>
    <n v="109.75999999999999"/>
  </r>
  <r>
    <n v="1172"/>
    <x v="61"/>
    <n v="10"/>
    <x v="8"/>
    <s v="123 10th Street"/>
    <x v="7"/>
    <x v="7"/>
    <n v="99999"/>
    <s v="USA"/>
    <x v="6"/>
    <x v="1"/>
    <d v="2014-06-12T00:00:00"/>
    <s v="Shipping Company B"/>
    <s v="Roland Wacker"/>
    <s v="123 10th Street"/>
    <x v="7"/>
    <s v="IL"/>
    <n v="99999"/>
    <s v="USA"/>
    <s v="Credit Card"/>
    <x v="18"/>
    <x v="1"/>
    <n v="10"/>
    <n v="74"/>
    <x v="140"/>
    <n v="71.78"/>
  </r>
  <r>
    <n v="1174"/>
    <x v="61"/>
    <n v="10"/>
    <x v="8"/>
    <s v="123 10th Street"/>
    <x v="7"/>
    <x v="7"/>
    <n v="99999"/>
    <s v="USA"/>
    <x v="6"/>
    <x v="1"/>
    <m/>
    <s v="Shipping Company A"/>
    <s v="Roland Wacker"/>
    <s v="123 10th Street"/>
    <x v="7"/>
    <s v="IL"/>
    <n v="99999"/>
    <s v="USA"/>
    <m/>
    <x v="1"/>
    <x v="1"/>
    <n v="3.5"/>
    <n v="90"/>
    <x v="141"/>
    <n v="30.24"/>
  </r>
  <r>
    <n v="1175"/>
    <x v="62"/>
    <n v="11"/>
    <x v="10"/>
    <s v="123 11th Street"/>
    <x v="9"/>
    <x v="9"/>
    <n v="99999"/>
    <s v="USA"/>
    <x v="5"/>
    <x v="3"/>
    <m/>
    <s v="Shipping Company C"/>
    <s v="Peter Krschne"/>
    <s v="123 11th Street"/>
    <x v="9"/>
    <s v="FL"/>
    <n v="99999"/>
    <s v="USA"/>
    <m/>
    <x v="9"/>
    <x v="5"/>
    <n v="40"/>
    <n v="27"/>
    <x v="142"/>
    <n v="111.24000000000001"/>
  </r>
  <r>
    <n v="1176"/>
    <x v="63"/>
    <n v="1"/>
    <x v="11"/>
    <s v="123 1st Street"/>
    <x v="10"/>
    <x v="10"/>
    <n v="99999"/>
    <s v="USA"/>
    <x v="2"/>
    <x v="2"/>
    <m/>
    <s v="Shipping Company C"/>
    <s v="Anna Bedecs"/>
    <s v="123 1st Street"/>
    <x v="10"/>
    <s v="WA"/>
    <n v="99999"/>
    <s v="USA"/>
    <m/>
    <x v="13"/>
    <x v="8"/>
    <n v="18.399999999999999"/>
    <n v="71"/>
    <x v="143"/>
    <n v="137.172"/>
  </r>
  <r>
    <n v="1177"/>
    <x v="64"/>
    <n v="28"/>
    <x v="7"/>
    <s v="789 28th Street"/>
    <x v="6"/>
    <x v="6"/>
    <n v="99999"/>
    <s v="USA"/>
    <x v="5"/>
    <x v="3"/>
    <d v="2014-06-30T00:00:00"/>
    <s v="Shipping Company C"/>
    <s v="Amritansh Raghav"/>
    <s v="789 28th Street"/>
    <x v="6"/>
    <s v="TN"/>
    <n v="99999"/>
    <s v="USA"/>
    <s v="Credit Card"/>
    <x v="5"/>
    <x v="0"/>
    <n v="46"/>
    <n v="74"/>
    <x v="144"/>
    <n v="340.40000000000003"/>
  </r>
  <r>
    <n v="1178"/>
    <x v="65"/>
    <n v="9"/>
    <x v="12"/>
    <s v="123 9th Street"/>
    <x v="11"/>
    <x v="11"/>
    <n v="99999"/>
    <s v="USA"/>
    <x v="7"/>
    <x v="0"/>
    <d v="2014-06-11T00:00:00"/>
    <s v="Shipping Company A"/>
    <s v="Sven Mortensen"/>
    <s v="123 9th Street"/>
    <x v="11"/>
    <s v="UT"/>
    <n v="99999"/>
    <s v="USA"/>
    <s v="Check"/>
    <x v="8"/>
    <x v="4"/>
    <n v="9.65"/>
    <n v="76"/>
    <x v="145"/>
    <n v="72.6066"/>
  </r>
  <r>
    <n v="1179"/>
    <x v="66"/>
    <n v="6"/>
    <x v="6"/>
    <s v="123 6th Street"/>
    <x v="5"/>
    <x v="5"/>
    <n v="99999"/>
    <s v="USA"/>
    <x v="4"/>
    <x v="2"/>
    <d v="2014-06-08T00:00:00"/>
    <s v="Shipping Company B"/>
    <s v="Francisco Pérez-Olaeta"/>
    <s v="123 6th Street"/>
    <x v="5"/>
    <s v="WI"/>
    <n v="99999"/>
    <s v="USA"/>
    <s v="Credit Card"/>
    <x v="7"/>
    <x v="3"/>
    <n v="12.75"/>
    <n v="96"/>
    <x v="146"/>
    <n v="123.62400000000001"/>
  </r>
  <r>
    <n v="1180"/>
    <x v="67"/>
    <n v="8"/>
    <x v="3"/>
    <s v="123 8th Street"/>
    <x v="2"/>
    <x v="2"/>
    <n v="99999"/>
    <s v="USA"/>
    <x v="2"/>
    <x v="2"/>
    <d v="2014-06-10T00:00:00"/>
    <s v="Shipping Company B"/>
    <s v="Elizabeth Andersen"/>
    <s v="123 8th Street"/>
    <x v="2"/>
    <s v="OR"/>
    <n v="99999"/>
    <s v="USA"/>
    <s v="Check"/>
    <x v="7"/>
    <x v="3"/>
    <n v="12.75"/>
    <n v="92"/>
    <x v="147"/>
    <n v="116.12700000000001"/>
  </r>
  <r>
    <n v="1181"/>
    <x v="68"/>
    <n v="25"/>
    <x v="13"/>
    <s v="789 25th Street"/>
    <x v="7"/>
    <x v="7"/>
    <n v="99999"/>
    <s v="USA"/>
    <x v="6"/>
    <x v="1"/>
    <d v="2014-06-27T00:00:00"/>
    <s v="Shipping Company A"/>
    <s v="John Rodman"/>
    <s v="789 25th Street"/>
    <x v="7"/>
    <s v="IL"/>
    <n v="99999"/>
    <s v="USA"/>
    <s v="Cash"/>
    <x v="12"/>
    <x v="7"/>
    <n v="22"/>
    <n v="93"/>
    <x v="148"/>
    <n v="200.50800000000001"/>
  </r>
  <r>
    <n v="1182"/>
    <x v="69"/>
    <n v="26"/>
    <x v="14"/>
    <s v="789 26th Street"/>
    <x v="9"/>
    <x v="9"/>
    <n v="99999"/>
    <s v="USA"/>
    <x v="5"/>
    <x v="3"/>
    <d v="2014-06-28T00:00:00"/>
    <s v="Shipping Company C"/>
    <s v="Run Liu"/>
    <s v="789 26th Street"/>
    <x v="9"/>
    <s v="FL"/>
    <n v="99999"/>
    <s v="USA"/>
    <s v="Credit Card"/>
    <x v="11"/>
    <x v="6"/>
    <n v="25"/>
    <n v="18"/>
    <x v="149"/>
    <n v="42.75"/>
  </r>
  <r>
    <n v="1183"/>
    <x v="70"/>
    <n v="29"/>
    <x v="4"/>
    <s v="789 29th Street"/>
    <x v="3"/>
    <x v="3"/>
    <n v="99999"/>
    <s v="USA"/>
    <x v="3"/>
    <x v="0"/>
    <d v="2014-07-01T00:00:00"/>
    <s v="Shipping Company B"/>
    <s v="Soo Jung Lee"/>
    <s v="789 29th Street"/>
    <x v="3"/>
    <s v="CO"/>
    <n v="99999"/>
    <s v="USA"/>
    <s v="Check"/>
    <x v="19"/>
    <x v="12"/>
    <n v="39"/>
    <n v="98"/>
    <x v="150"/>
    <n v="397.48800000000006"/>
  </r>
  <r>
    <n v="1184"/>
    <x v="66"/>
    <n v="6"/>
    <x v="6"/>
    <s v="123 6th Street"/>
    <x v="5"/>
    <x v="5"/>
    <n v="99999"/>
    <s v="USA"/>
    <x v="4"/>
    <x v="2"/>
    <d v="2014-06-08T00:00:00"/>
    <s v="Shipping Company C"/>
    <s v="Francisco Pérez-Olaeta"/>
    <s v="123 6th Street"/>
    <x v="5"/>
    <s v="WI"/>
    <n v="99999"/>
    <s v="USA"/>
    <s v="Check"/>
    <x v="2"/>
    <x v="1"/>
    <n v="30"/>
    <n v="46"/>
    <x v="65"/>
    <n v="135.24"/>
  </r>
  <r>
    <n v="1185"/>
    <x v="66"/>
    <n v="6"/>
    <x v="6"/>
    <s v="123 6th Street"/>
    <x v="5"/>
    <x v="5"/>
    <n v="99999"/>
    <s v="USA"/>
    <x v="4"/>
    <x v="2"/>
    <d v="2014-06-08T00:00:00"/>
    <s v="Shipping Company C"/>
    <s v="Francisco Pérez-Olaeta"/>
    <s v="123 6th Street"/>
    <x v="5"/>
    <s v="WI"/>
    <n v="99999"/>
    <s v="USA"/>
    <s v="Check"/>
    <x v="3"/>
    <x v="1"/>
    <n v="53"/>
    <n v="14"/>
    <x v="48"/>
    <n v="74.2"/>
  </r>
  <r>
    <n v="1186"/>
    <x v="71"/>
    <n v="4"/>
    <x v="1"/>
    <s v="123 4th Street"/>
    <x v="1"/>
    <x v="1"/>
    <n v="99999"/>
    <s v="USA"/>
    <x v="1"/>
    <x v="1"/>
    <m/>
    <m/>
    <s v="Christina Lee"/>
    <s v="123 4th Street"/>
    <x v="1"/>
    <s v="NY"/>
    <n v="99999"/>
    <s v="USA"/>
    <m/>
    <x v="20"/>
    <x v="9"/>
    <n v="38"/>
    <n v="85"/>
    <x v="151"/>
    <n v="319.77"/>
  </r>
  <r>
    <n v="1187"/>
    <x v="72"/>
    <n v="3"/>
    <x v="5"/>
    <s v="123 3rd Street"/>
    <x v="4"/>
    <x v="4"/>
    <n v="99999"/>
    <s v="USA"/>
    <x v="0"/>
    <x v="0"/>
    <m/>
    <m/>
    <s v="Thomas Axerr"/>
    <s v="123 3rd Street"/>
    <x v="4"/>
    <s v="CA"/>
    <n v="99999"/>
    <s v="USA"/>
    <m/>
    <x v="10"/>
    <x v="0"/>
    <n v="2.99"/>
    <n v="88"/>
    <x v="76"/>
    <n v="25.522639999999999"/>
  </r>
  <r>
    <n v="1188"/>
    <x v="73"/>
    <n v="1"/>
    <x v="11"/>
    <s v="123 1st Street"/>
    <x v="10"/>
    <x v="10"/>
    <n v="99999"/>
    <s v="USA"/>
    <x v="2"/>
    <x v="2"/>
    <m/>
    <m/>
    <s v="Anna Bedecs"/>
    <s v="123 1st Street"/>
    <x v="10"/>
    <s v="WA"/>
    <n v="99999"/>
    <s v="USA"/>
    <m/>
    <x v="10"/>
    <x v="0"/>
    <n v="2.99"/>
    <n v="81"/>
    <x v="152"/>
    <n v="23.976810000000004"/>
  </r>
  <r>
    <n v="1189"/>
    <x v="74"/>
    <n v="28"/>
    <x v="7"/>
    <s v="789 28th Street"/>
    <x v="6"/>
    <x v="6"/>
    <n v="99999"/>
    <s v="USA"/>
    <x v="5"/>
    <x v="3"/>
    <d v="2014-07-30T00:00:00"/>
    <s v="Shipping Company C"/>
    <s v="Amritansh Raghav"/>
    <s v="789 28th Street"/>
    <x v="6"/>
    <s v="TN"/>
    <n v="99999"/>
    <s v="USA"/>
    <s v="Credit Card"/>
    <x v="8"/>
    <x v="4"/>
    <n v="9.65"/>
    <n v="33"/>
    <x v="153"/>
    <n v="30.252749999999999"/>
  </r>
  <r>
    <n v="1190"/>
    <x v="74"/>
    <n v="28"/>
    <x v="7"/>
    <s v="789 28th Street"/>
    <x v="6"/>
    <x v="6"/>
    <n v="99999"/>
    <s v="USA"/>
    <x v="5"/>
    <x v="3"/>
    <d v="2014-07-30T00:00:00"/>
    <s v="Shipping Company C"/>
    <s v="Amritansh Raghav"/>
    <s v="789 28th Street"/>
    <x v="6"/>
    <s v="TN"/>
    <n v="99999"/>
    <s v="USA"/>
    <s v="Credit Card"/>
    <x v="13"/>
    <x v="8"/>
    <n v="18.399999999999999"/>
    <n v="47"/>
    <x v="154"/>
    <n v="90.804000000000002"/>
  </r>
  <r>
    <n v="1191"/>
    <x v="75"/>
    <n v="9"/>
    <x v="12"/>
    <s v="123 9th Street"/>
    <x v="11"/>
    <x v="11"/>
    <n v="99999"/>
    <s v="USA"/>
    <x v="7"/>
    <x v="0"/>
    <d v="2014-07-11T00:00:00"/>
    <s v="Shipping Company A"/>
    <s v="Sven Mortensen"/>
    <s v="123 9th Street"/>
    <x v="11"/>
    <s v="UT"/>
    <n v="99999"/>
    <s v="USA"/>
    <s v="Check"/>
    <x v="14"/>
    <x v="9"/>
    <n v="19.5"/>
    <n v="61"/>
    <x v="155"/>
    <n v="123.70800000000001"/>
  </r>
  <r>
    <n v="1192"/>
    <x v="75"/>
    <n v="9"/>
    <x v="12"/>
    <s v="123 9th Street"/>
    <x v="11"/>
    <x v="11"/>
    <n v="99999"/>
    <s v="USA"/>
    <x v="7"/>
    <x v="0"/>
    <d v="2014-07-11T00:00:00"/>
    <s v="Shipping Company A"/>
    <s v="Sven Mortensen"/>
    <s v="123 9th Street"/>
    <x v="11"/>
    <s v="UT"/>
    <n v="99999"/>
    <s v="USA"/>
    <s v="Check"/>
    <x v="15"/>
    <x v="10"/>
    <n v="34.799999999999997"/>
    <n v="27"/>
    <x v="156"/>
    <n v="95.839199999999991"/>
  </r>
  <r>
    <n v="1193"/>
    <x v="76"/>
    <n v="6"/>
    <x v="6"/>
    <s v="123 6th Street"/>
    <x v="5"/>
    <x v="5"/>
    <n v="99999"/>
    <s v="USA"/>
    <x v="4"/>
    <x v="2"/>
    <d v="2014-07-08T00:00:00"/>
    <s v="Shipping Company B"/>
    <s v="Francisco Pérez-Olaeta"/>
    <s v="123 6th Street"/>
    <x v="5"/>
    <s v="WI"/>
    <n v="99999"/>
    <s v="USA"/>
    <s v="Credit Card"/>
    <x v="0"/>
    <x v="0"/>
    <n v="14"/>
    <n v="84"/>
    <x v="102"/>
    <n v="118.77600000000001"/>
  </r>
  <r>
    <n v="1194"/>
    <x v="77"/>
    <n v="8"/>
    <x v="3"/>
    <s v="123 8th Street"/>
    <x v="2"/>
    <x v="2"/>
    <n v="99999"/>
    <s v="USA"/>
    <x v="2"/>
    <x v="2"/>
    <d v="2014-07-10T00:00:00"/>
    <s v="Shipping Company B"/>
    <s v="Elizabeth Andersen"/>
    <s v="123 8th Street"/>
    <x v="2"/>
    <s v="OR"/>
    <n v="99999"/>
    <s v="USA"/>
    <s v="Check"/>
    <x v="9"/>
    <x v="5"/>
    <n v="40"/>
    <n v="91"/>
    <x v="157"/>
    <n v="360.36"/>
  </r>
  <r>
    <n v="1195"/>
    <x v="77"/>
    <n v="8"/>
    <x v="3"/>
    <s v="123 8th Street"/>
    <x v="2"/>
    <x v="2"/>
    <n v="99999"/>
    <s v="USA"/>
    <x v="2"/>
    <x v="2"/>
    <d v="2014-07-10T00:00:00"/>
    <s v="Shipping Company B"/>
    <s v="Elizabeth Andersen"/>
    <s v="123 8th Street"/>
    <x v="2"/>
    <s v="OR"/>
    <n v="99999"/>
    <s v="USA"/>
    <s v="Check"/>
    <x v="6"/>
    <x v="2"/>
    <n v="9.1999999999999993"/>
    <n v="36"/>
    <x v="158"/>
    <n v="34.444800000000001"/>
  </r>
  <r>
    <n v="1196"/>
    <x v="78"/>
    <n v="25"/>
    <x v="13"/>
    <s v="789 25th Street"/>
    <x v="7"/>
    <x v="7"/>
    <n v="99999"/>
    <s v="USA"/>
    <x v="6"/>
    <x v="1"/>
    <n v="41847"/>
    <s v="Shipping Company A"/>
    <s v="John Rodman"/>
    <s v="789 25th Street"/>
    <x v="7"/>
    <s v="IL"/>
    <n v="99999"/>
    <s v="USA"/>
    <s v="Cash"/>
    <x v="21"/>
    <x v="2"/>
    <n v="10"/>
    <n v="34"/>
    <x v="159"/>
    <n v="34.340000000000003"/>
  </r>
  <r>
    <n v="1197"/>
    <x v="79"/>
    <n v="26"/>
    <x v="14"/>
    <s v="789 26th Street"/>
    <x v="9"/>
    <x v="9"/>
    <n v="99999"/>
    <s v="USA"/>
    <x v="5"/>
    <x v="3"/>
    <n v="41848"/>
    <s v="Shipping Company C"/>
    <s v="Run Liu"/>
    <s v="789 26th Street"/>
    <x v="9"/>
    <s v="FL"/>
    <n v="99999"/>
    <s v="USA"/>
    <s v="Credit Card"/>
    <x v="22"/>
    <x v="13"/>
    <n v="21.35"/>
    <n v="81"/>
    <x v="160"/>
    <n v="178.12305000000003"/>
  </r>
  <r>
    <n v="1198"/>
    <x v="79"/>
    <n v="26"/>
    <x v="14"/>
    <s v="789 26th Street"/>
    <x v="9"/>
    <x v="9"/>
    <n v="99999"/>
    <s v="USA"/>
    <x v="5"/>
    <x v="3"/>
    <n v="41848"/>
    <s v="Shipping Company C"/>
    <s v="Run Liu"/>
    <s v="789 26th Street"/>
    <x v="9"/>
    <s v="FL"/>
    <n v="99999"/>
    <s v="USA"/>
    <s v="Credit Card"/>
    <x v="8"/>
    <x v="4"/>
    <n v="9.65"/>
    <n v="25"/>
    <x v="161"/>
    <n v="23.401250000000001"/>
  </r>
  <r>
    <n v="1199"/>
    <x v="79"/>
    <n v="26"/>
    <x v="14"/>
    <s v="789 26th Street"/>
    <x v="9"/>
    <x v="9"/>
    <n v="99999"/>
    <s v="USA"/>
    <x v="5"/>
    <x v="3"/>
    <n v="41848"/>
    <s v="Shipping Company C"/>
    <s v="Run Liu"/>
    <s v="789 26th Street"/>
    <x v="9"/>
    <s v="FL"/>
    <n v="99999"/>
    <s v="USA"/>
    <s v="Credit Card"/>
    <x v="13"/>
    <x v="8"/>
    <n v="18.399999999999999"/>
    <n v="12"/>
    <x v="162"/>
    <n v="22.08"/>
  </r>
  <r>
    <n v="1200"/>
    <x v="80"/>
    <n v="29"/>
    <x v="4"/>
    <s v="789 29th Street"/>
    <x v="3"/>
    <x v="3"/>
    <n v="99999"/>
    <s v="USA"/>
    <x v="3"/>
    <x v="0"/>
    <d v="2014-07-31T00:00:00"/>
    <s v="Shipping Company B"/>
    <s v="Soo Jung Lee"/>
    <s v="789 29th Street"/>
    <x v="3"/>
    <s v="CO"/>
    <n v="99999"/>
    <s v="USA"/>
    <s v="Check"/>
    <x v="0"/>
    <x v="0"/>
    <n v="14"/>
    <n v="23"/>
    <x v="163"/>
    <n v="30.912000000000003"/>
  </r>
  <r>
    <n v="1201"/>
    <x v="76"/>
    <n v="6"/>
    <x v="6"/>
    <s v="123 6th Street"/>
    <x v="5"/>
    <x v="5"/>
    <n v="99999"/>
    <s v="USA"/>
    <x v="4"/>
    <x v="2"/>
    <d v="2014-07-08T00:00:00"/>
    <s v="Shipping Company C"/>
    <s v="Francisco Pérez-Olaeta"/>
    <s v="123 6th Street"/>
    <x v="5"/>
    <s v="WI"/>
    <n v="99999"/>
    <s v="USA"/>
    <s v="Check"/>
    <x v="7"/>
    <x v="3"/>
    <n v="12.75"/>
    <n v="76"/>
    <x v="164"/>
    <n v="97.869"/>
  </r>
  <r>
    <n v="1203"/>
    <x v="81"/>
    <n v="4"/>
    <x v="1"/>
    <s v="123 4th Street"/>
    <x v="1"/>
    <x v="1"/>
    <n v="99999"/>
    <s v="USA"/>
    <x v="1"/>
    <x v="1"/>
    <d v="2014-07-06T00:00:00"/>
    <s v="Shipping Company A"/>
    <s v="Christina Lee"/>
    <s v="123 4th Street"/>
    <x v="1"/>
    <s v="NY"/>
    <n v="99999"/>
    <s v="USA"/>
    <s v="Credit Card"/>
    <x v="23"/>
    <x v="6"/>
    <n v="81"/>
    <n v="55"/>
    <x v="165"/>
    <n v="445.5"/>
  </r>
  <r>
    <n v="1204"/>
    <x v="81"/>
    <n v="4"/>
    <x v="1"/>
    <s v="123 4th Street"/>
    <x v="1"/>
    <x v="1"/>
    <n v="99999"/>
    <s v="USA"/>
    <x v="1"/>
    <x v="1"/>
    <d v="2014-07-06T00:00:00"/>
    <s v="Shipping Company A"/>
    <s v="Christina Lee"/>
    <s v="123 4th Street"/>
    <x v="1"/>
    <s v="NY"/>
    <n v="99999"/>
    <s v="USA"/>
    <s v="Credit Card"/>
    <x v="24"/>
    <x v="14"/>
    <n v="7"/>
    <n v="19"/>
    <x v="166"/>
    <n v="12.901"/>
  </r>
  <r>
    <n v="1206"/>
    <x v="77"/>
    <n v="8"/>
    <x v="3"/>
    <s v="123 8th Street"/>
    <x v="2"/>
    <x v="2"/>
    <n v="99999"/>
    <s v="USA"/>
    <x v="2"/>
    <x v="2"/>
    <d v="2014-07-10T00:00:00"/>
    <s v="Shipping Company C"/>
    <s v="Elizabeth Andersen"/>
    <s v="123 8th Street"/>
    <x v="2"/>
    <s v="OR"/>
    <n v="99999"/>
    <s v="USA"/>
    <s v="Credit Card"/>
    <x v="15"/>
    <x v="10"/>
    <n v="34.799999999999997"/>
    <n v="27"/>
    <x v="156"/>
    <n v="89.261999999999986"/>
  </r>
  <r>
    <n v="1209"/>
    <x v="82"/>
    <n v="3"/>
    <x v="5"/>
    <s v="123 3rd Street"/>
    <x v="4"/>
    <x v="4"/>
    <n v="99999"/>
    <s v="USA"/>
    <x v="0"/>
    <x v="0"/>
    <d v="2014-07-05T00:00:00"/>
    <s v="Shipping Company B"/>
    <s v="Thomas Axerr"/>
    <s v="123 3rd Street"/>
    <x v="4"/>
    <s v="CA"/>
    <n v="99999"/>
    <s v="USA"/>
    <s v="Cash"/>
    <x v="16"/>
    <x v="7"/>
    <n v="10"/>
    <n v="99"/>
    <x v="82"/>
    <n v="95.039999999999992"/>
  </r>
  <r>
    <n v="1210"/>
    <x v="82"/>
    <n v="3"/>
    <x v="5"/>
    <s v="123 3rd Street"/>
    <x v="4"/>
    <x v="4"/>
    <n v="99999"/>
    <s v="USA"/>
    <x v="0"/>
    <x v="0"/>
    <d v="2014-07-05T00:00:00"/>
    <s v="Shipping Company B"/>
    <s v="Thomas Axerr"/>
    <s v="123 3rd Street"/>
    <x v="4"/>
    <s v="CA"/>
    <n v="99999"/>
    <s v="USA"/>
    <s v="Cash"/>
    <x v="9"/>
    <x v="5"/>
    <n v="40"/>
    <n v="10"/>
    <x v="167"/>
    <n v="40"/>
  </r>
  <r>
    <n v="1214"/>
    <x v="83"/>
    <n v="10"/>
    <x v="8"/>
    <s v="123 10th Street"/>
    <x v="7"/>
    <x v="7"/>
    <n v="99999"/>
    <s v="USA"/>
    <x v="6"/>
    <x v="1"/>
    <d v="2014-07-12T00:00:00"/>
    <s v="Shipping Company B"/>
    <s v="Roland Wacker"/>
    <s v="123 10th Street"/>
    <x v="7"/>
    <s v="IL"/>
    <n v="99999"/>
    <s v="USA"/>
    <s v="Credit Card"/>
    <x v="18"/>
    <x v="1"/>
    <n v="10"/>
    <n v="80"/>
    <x v="168"/>
    <n v="77.599999999999994"/>
  </r>
  <r>
    <n v="1216"/>
    <x v="83"/>
    <n v="10"/>
    <x v="8"/>
    <s v="123 10th Street"/>
    <x v="7"/>
    <x v="7"/>
    <n v="99999"/>
    <s v="USA"/>
    <x v="6"/>
    <x v="1"/>
    <m/>
    <s v="Shipping Company A"/>
    <s v="Roland Wacker"/>
    <s v="123 10th Street"/>
    <x v="7"/>
    <s v="IL"/>
    <n v="99999"/>
    <s v="USA"/>
    <m/>
    <x v="1"/>
    <x v="1"/>
    <n v="3.5"/>
    <n v="27"/>
    <x v="169"/>
    <n v="9.072000000000001"/>
  </r>
  <r>
    <n v="1217"/>
    <x v="84"/>
    <n v="11"/>
    <x v="10"/>
    <s v="123 11th Street"/>
    <x v="9"/>
    <x v="9"/>
    <n v="99999"/>
    <s v="USA"/>
    <x v="5"/>
    <x v="3"/>
    <m/>
    <s v="Shipping Company C"/>
    <s v="Peter Krschne"/>
    <s v="123 11th Street"/>
    <x v="9"/>
    <s v="FL"/>
    <n v="99999"/>
    <s v="USA"/>
    <m/>
    <x v="9"/>
    <x v="5"/>
    <n v="40"/>
    <n v="97"/>
    <x v="170"/>
    <n v="380.24"/>
  </r>
  <r>
    <n v="1218"/>
    <x v="73"/>
    <n v="1"/>
    <x v="11"/>
    <s v="123 1st Street"/>
    <x v="10"/>
    <x v="10"/>
    <n v="99999"/>
    <s v="USA"/>
    <x v="2"/>
    <x v="2"/>
    <m/>
    <s v="Shipping Company C"/>
    <s v="Anna Bedecs"/>
    <s v="123 1st Street"/>
    <x v="10"/>
    <s v="WA"/>
    <n v="99999"/>
    <s v="USA"/>
    <m/>
    <x v="13"/>
    <x v="8"/>
    <n v="18.399999999999999"/>
    <n v="42"/>
    <x v="171"/>
    <n v="80.371200000000002"/>
  </r>
  <r>
    <n v="1219"/>
    <x v="74"/>
    <n v="28"/>
    <x v="7"/>
    <s v="789 28th Street"/>
    <x v="6"/>
    <x v="6"/>
    <n v="99999"/>
    <s v="USA"/>
    <x v="5"/>
    <x v="3"/>
    <n v="41850"/>
    <s v="Shipping Company C"/>
    <s v="Amritansh Raghav"/>
    <s v="789 28th Street"/>
    <x v="6"/>
    <s v="TN"/>
    <n v="99999"/>
    <s v="USA"/>
    <s v="Credit Card"/>
    <x v="5"/>
    <x v="0"/>
    <n v="46"/>
    <n v="24"/>
    <x v="15"/>
    <n v="105.98399999999999"/>
  </r>
  <r>
    <n v="1220"/>
    <x v="75"/>
    <n v="9"/>
    <x v="12"/>
    <s v="123 9th Street"/>
    <x v="11"/>
    <x v="11"/>
    <n v="99999"/>
    <s v="USA"/>
    <x v="7"/>
    <x v="0"/>
    <d v="2014-07-11T00:00:00"/>
    <s v="Shipping Company A"/>
    <s v="Sven Mortensen"/>
    <s v="123 9th Street"/>
    <x v="11"/>
    <s v="UT"/>
    <n v="99999"/>
    <s v="USA"/>
    <s v="Check"/>
    <x v="8"/>
    <x v="4"/>
    <n v="9.65"/>
    <n v="90"/>
    <x v="172"/>
    <n v="83.376000000000005"/>
  </r>
  <r>
    <n v="1221"/>
    <x v="76"/>
    <n v="6"/>
    <x v="6"/>
    <s v="123 6th Street"/>
    <x v="5"/>
    <x v="5"/>
    <n v="99999"/>
    <s v="USA"/>
    <x v="4"/>
    <x v="2"/>
    <d v="2014-07-08T00:00:00"/>
    <s v="Shipping Company B"/>
    <s v="Francisco Pérez-Olaeta"/>
    <s v="123 6th Street"/>
    <x v="5"/>
    <s v="WI"/>
    <n v="99999"/>
    <s v="USA"/>
    <s v="Credit Card"/>
    <x v="7"/>
    <x v="3"/>
    <n v="12.75"/>
    <n v="28"/>
    <x v="173"/>
    <n v="35.700000000000003"/>
  </r>
  <r>
    <n v="1222"/>
    <x v="85"/>
    <n v="28"/>
    <x v="7"/>
    <s v="789 28th Street"/>
    <x v="6"/>
    <x v="6"/>
    <n v="99999"/>
    <s v="USA"/>
    <x v="5"/>
    <x v="3"/>
    <d v="2014-08-30T00:00:00"/>
    <s v="Shipping Company C"/>
    <s v="Amritansh Raghav"/>
    <s v="789 28th Street"/>
    <x v="6"/>
    <s v="TN"/>
    <n v="99999"/>
    <s v="USA"/>
    <s v="Check"/>
    <x v="5"/>
    <x v="0"/>
    <n v="46"/>
    <n v="28"/>
    <x v="174"/>
    <n v="133.95200000000003"/>
  </r>
  <r>
    <n v="1223"/>
    <x v="86"/>
    <n v="8"/>
    <x v="3"/>
    <s v="123 8th Street"/>
    <x v="2"/>
    <x v="2"/>
    <n v="99999"/>
    <s v="USA"/>
    <x v="2"/>
    <x v="2"/>
    <d v="2014-08-10T00:00:00"/>
    <s v="Shipping Company C"/>
    <s v="Elizabeth Andersen"/>
    <s v="123 8th Street"/>
    <x v="2"/>
    <s v="OR"/>
    <n v="99999"/>
    <s v="USA"/>
    <s v="Check"/>
    <x v="7"/>
    <x v="3"/>
    <n v="12.75"/>
    <n v="57"/>
    <x v="175"/>
    <n v="69.768000000000001"/>
  </r>
  <r>
    <n v="1224"/>
    <x v="87"/>
    <n v="10"/>
    <x v="8"/>
    <s v="123 10th Street"/>
    <x v="7"/>
    <x v="7"/>
    <n v="99999"/>
    <s v="USA"/>
    <x v="6"/>
    <x v="1"/>
    <d v="2014-08-12T00:00:00"/>
    <s v="Shipping Company B"/>
    <s v="Roland Wacker"/>
    <s v="123 10th Street"/>
    <x v="7"/>
    <s v="IL"/>
    <n v="99999"/>
    <s v="USA"/>
    <s v="Credit Card"/>
    <x v="10"/>
    <x v="0"/>
    <n v="2.99"/>
    <n v="23"/>
    <x v="176"/>
    <n v="6.6706900000000013"/>
  </r>
  <r>
    <n v="1225"/>
    <x v="88"/>
    <n v="7"/>
    <x v="9"/>
    <s v="123 7th Street"/>
    <x v="8"/>
    <x v="8"/>
    <n v="99999"/>
    <s v="USA"/>
    <x v="2"/>
    <x v="2"/>
    <m/>
    <m/>
    <s v="Ming-Yang Xie"/>
    <s v="123 7th Street"/>
    <x v="8"/>
    <s v="ID"/>
    <n v="99999"/>
    <s v="USA"/>
    <m/>
    <x v="5"/>
    <x v="0"/>
    <n v="46"/>
    <n v="86"/>
    <x v="177"/>
    <n v="399.55600000000004"/>
  </r>
  <r>
    <n v="1226"/>
    <x v="87"/>
    <n v="10"/>
    <x v="8"/>
    <s v="123 10th Street"/>
    <x v="7"/>
    <x v="7"/>
    <n v="99999"/>
    <s v="USA"/>
    <x v="6"/>
    <x v="1"/>
    <d v="2014-08-12T00:00:00"/>
    <s v="Shipping Company A"/>
    <s v="Roland Wacker"/>
    <s v="123 10th Street"/>
    <x v="7"/>
    <s v="IL"/>
    <n v="99999"/>
    <s v="USA"/>
    <m/>
    <x v="11"/>
    <x v="6"/>
    <n v="25"/>
    <n v="47"/>
    <x v="178"/>
    <n v="116.325"/>
  </r>
  <r>
    <n v="1227"/>
    <x v="87"/>
    <n v="10"/>
    <x v="8"/>
    <s v="123 10th Street"/>
    <x v="7"/>
    <x v="7"/>
    <n v="99999"/>
    <s v="USA"/>
    <x v="6"/>
    <x v="1"/>
    <d v="2014-08-12T00:00:00"/>
    <s v="Shipping Company A"/>
    <s v="Roland Wacker"/>
    <s v="123 10th Street"/>
    <x v="7"/>
    <s v="IL"/>
    <n v="99999"/>
    <s v="USA"/>
    <m/>
    <x v="12"/>
    <x v="7"/>
    <n v="22"/>
    <n v="97"/>
    <x v="179"/>
    <n v="221.93600000000001"/>
  </r>
  <r>
    <n v="1228"/>
    <x v="87"/>
    <n v="10"/>
    <x v="8"/>
    <s v="123 10th Street"/>
    <x v="7"/>
    <x v="7"/>
    <n v="99999"/>
    <s v="USA"/>
    <x v="6"/>
    <x v="1"/>
    <d v="2014-08-12T00:00:00"/>
    <s v="Shipping Company A"/>
    <s v="Roland Wacker"/>
    <s v="123 10th Street"/>
    <x v="7"/>
    <s v="IL"/>
    <n v="99999"/>
    <s v="USA"/>
    <m/>
    <x v="6"/>
    <x v="2"/>
    <n v="9.1999999999999993"/>
    <n v="96"/>
    <x v="180"/>
    <n v="86.553599999999989"/>
  </r>
  <r>
    <n v="1229"/>
    <x v="89"/>
    <n v="11"/>
    <x v="10"/>
    <s v="123 11th Street"/>
    <x v="9"/>
    <x v="9"/>
    <n v="99999"/>
    <s v="USA"/>
    <x v="5"/>
    <x v="3"/>
    <m/>
    <s v="Shipping Company C"/>
    <s v="Peter Krschne"/>
    <s v="123 11th Street"/>
    <x v="9"/>
    <s v="FL"/>
    <n v="99999"/>
    <s v="USA"/>
    <m/>
    <x v="1"/>
    <x v="1"/>
    <n v="3.5"/>
    <n v="31"/>
    <x v="181"/>
    <n v="10.850000000000001"/>
  </r>
  <r>
    <n v="1230"/>
    <x v="89"/>
    <n v="11"/>
    <x v="10"/>
    <s v="123 11th Street"/>
    <x v="9"/>
    <x v="9"/>
    <n v="99999"/>
    <s v="USA"/>
    <x v="5"/>
    <x v="3"/>
    <m/>
    <s v="Shipping Company C"/>
    <s v="Peter Krschne"/>
    <s v="123 11th Street"/>
    <x v="9"/>
    <s v="FL"/>
    <n v="99999"/>
    <s v="USA"/>
    <m/>
    <x v="10"/>
    <x v="0"/>
    <n v="2.99"/>
    <n v="52"/>
    <x v="182"/>
    <n v="16.014440000000004"/>
  </r>
  <r>
    <n v="1231"/>
    <x v="90"/>
    <n v="1"/>
    <x v="11"/>
    <s v="123 1st Street"/>
    <x v="10"/>
    <x v="10"/>
    <n v="99999"/>
    <s v="USA"/>
    <x v="2"/>
    <x v="2"/>
    <m/>
    <m/>
    <s v="Anna Bedecs"/>
    <s v="123 1st Street"/>
    <x v="10"/>
    <s v="WA"/>
    <n v="99999"/>
    <s v="USA"/>
    <m/>
    <x v="4"/>
    <x v="0"/>
    <n v="18"/>
    <n v="91"/>
    <x v="183"/>
    <n v="158.886"/>
  </r>
  <r>
    <n v="1232"/>
    <x v="90"/>
    <n v="1"/>
    <x v="11"/>
    <s v="123 1st Street"/>
    <x v="10"/>
    <x v="10"/>
    <n v="99999"/>
    <s v="USA"/>
    <x v="2"/>
    <x v="2"/>
    <m/>
    <m/>
    <s v="Anna Bedecs"/>
    <s v="123 1st Street"/>
    <x v="10"/>
    <s v="WA"/>
    <n v="99999"/>
    <s v="USA"/>
    <m/>
    <x v="5"/>
    <x v="0"/>
    <n v="46"/>
    <n v="14"/>
    <x v="184"/>
    <n v="63.756000000000007"/>
  </r>
  <r>
    <n v="1233"/>
    <x v="90"/>
    <n v="1"/>
    <x v="11"/>
    <s v="123 1st Street"/>
    <x v="10"/>
    <x v="10"/>
    <n v="99999"/>
    <s v="USA"/>
    <x v="2"/>
    <x v="2"/>
    <m/>
    <m/>
    <s v="Anna Bedecs"/>
    <s v="123 1st Street"/>
    <x v="10"/>
    <s v="WA"/>
    <n v="99999"/>
    <s v="USA"/>
    <m/>
    <x v="10"/>
    <x v="0"/>
    <n v="2.99"/>
    <n v="44"/>
    <x v="185"/>
    <n v="13.287560000000001"/>
  </r>
  <r>
    <n v="1234"/>
    <x v="85"/>
    <n v="28"/>
    <x v="7"/>
    <s v="789 28th Street"/>
    <x v="6"/>
    <x v="6"/>
    <n v="99999"/>
    <s v="USA"/>
    <x v="5"/>
    <x v="3"/>
    <d v="2014-08-30T00:00:00"/>
    <s v="Shipping Company C"/>
    <s v="Amritansh Raghav"/>
    <s v="789 28th Street"/>
    <x v="6"/>
    <s v="TN"/>
    <n v="99999"/>
    <s v="USA"/>
    <s v="Credit Card"/>
    <x v="8"/>
    <x v="4"/>
    <n v="9.65"/>
    <n v="97"/>
    <x v="53"/>
    <n v="95.477100000000021"/>
  </r>
  <r>
    <n v="1235"/>
    <x v="85"/>
    <n v="28"/>
    <x v="7"/>
    <s v="789 28th Street"/>
    <x v="6"/>
    <x v="6"/>
    <n v="99999"/>
    <s v="USA"/>
    <x v="5"/>
    <x v="3"/>
    <d v="2014-08-30T00:00:00"/>
    <s v="Shipping Company C"/>
    <s v="Amritansh Raghav"/>
    <s v="789 28th Street"/>
    <x v="6"/>
    <s v="TN"/>
    <n v="99999"/>
    <s v="USA"/>
    <s v="Credit Card"/>
    <x v="13"/>
    <x v="8"/>
    <n v="18.399999999999999"/>
    <n v="80"/>
    <x v="36"/>
    <n v="150.14400000000003"/>
  </r>
  <r>
    <n v="1236"/>
    <x v="91"/>
    <n v="9"/>
    <x v="12"/>
    <s v="123 9th Street"/>
    <x v="11"/>
    <x v="11"/>
    <n v="99999"/>
    <s v="USA"/>
    <x v="7"/>
    <x v="0"/>
    <d v="2014-08-11T00:00:00"/>
    <s v="Shipping Company A"/>
    <s v="Sven Mortensen"/>
    <s v="123 9th Street"/>
    <x v="11"/>
    <s v="UT"/>
    <n v="99999"/>
    <s v="USA"/>
    <s v="Check"/>
    <x v="14"/>
    <x v="9"/>
    <n v="19.5"/>
    <n v="66"/>
    <x v="186"/>
    <n v="132.56100000000001"/>
  </r>
  <r>
    <n v="1237"/>
    <x v="91"/>
    <n v="9"/>
    <x v="12"/>
    <s v="123 9th Street"/>
    <x v="11"/>
    <x v="11"/>
    <n v="99999"/>
    <s v="USA"/>
    <x v="7"/>
    <x v="0"/>
    <d v="2014-08-11T00:00:00"/>
    <s v="Shipping Company A"/>
    <s v="Sven Mortensen"/>
    <s v="123 9th Street"/>
    <x v="11"/>
    <s v="UT"/>
    <n v="99999"/>
    <s v="USA"/>
    <s v="Check"/>
    <x v="15"/>
    <x v="10"/>
    <n v="34.799999999999997"/>
    <n v="32"/>
    <x v="187"/>
    <n v="111.36"/>
  </r>
  <r>
    <n v="1238"/>
    <x v="92"/>
    <n v="6"/>
    <x v="6"/>
    <s v="123 6th Street"/>
    <x v="5"/>
    <x v="5"/>
    <n v="99999"/>
    <s v="USA"/>
    <x v="4"/>
    <x v="2"/>
    <d v="2014-08-08T00:00:00"/>
    <s v="Shipping Company B"/>
    <s v="Francisco Pérez-Olaeta"/>
    <s v="123 6th Street"/>
    <x v="5"/>
    <s v="WI"/>
    <n v="99999"/>
    <s v="USA"/>
    <s v="Credit Card"/>
    <x v="0"/>
    <x v="0"/>
    <n v="14"/>
    <n v="52"/>
    <x v="188"/>
    <n v="72.8"/>
  </r>
  <r>
    <n v="1239"/>
    <x v="86"/>
    <n v="8"/>
    <x v="3"/>
    <s v="123 8th Street"/>
    <x v="2"/>
    <x v="2"/>
    <n v="99999"/>
    <s v="USA"/>
    <x v="2"/>
    <x v="2"/>
    <d v="2014-08-10T00:00:00"/>
    <s v="Shipping Company B"/>
    <s v="Elizabeth Andersen"/>
    <s v="123 8th Street"/>
    <x v="2"/>
    <s v="OR"/>
    <n v="99999"/>
    <s v="USA"/>
    <s v="Check"/>
    <x v="9"/>
    <x v="5"/>
    <n v="40"/>
    <n v="78"/>
    <x v="189"/>
    <n v="318.24"/>
  </r>
  <r>
    <n v="1240"/>
    <x v="86"/>
    <n v="8"/>
    <x v="3"/>
    <s v="123 8th Street"/>
    <x v="2"/>
    <x v="2"/>
    <n v="99999"/>
    <s v="USA"/>
    <x v="2"/>
    <x v="2"/>
    <d v="2014-08-10T00:00:00"/>
    <s v="Shipping Company B"/>
    <s v="Elizabeth Andersen"/>
    <s v="123 8th Street"/>
    <x v="2"/>
    <s v="OR"/>
    <n v="99999"/>
    <s v="USA"/>
    <s v="Check"/>
    <x v="6"/>
    <x v="2"/>
    <n v="9.1999999999999993"/>
    <n v="54"/>
    <x v="190"/>
    <n v="49.183199999999999"/>
  </r>
  <r>
    <n v="1241"/>
    <x v="93"/>
    <n v="25"/>
    <x v="13"/>
    <s v="789 25th Street"/>
    <x v="7"/>
    <x v="7"/>
    <n v="99999"/>
    <s v="USA"/>
    <x v="6"/>
    <x v="1"/>
    <d v="2014-08-27T00:00:00"/>
    <s v="Shipping Company A"/>
    <s v="John Rodman"/>
    <s v="789 25th Street"/>
    <x v="7"/>
    <s v="IL"/>
    <n v="99999"/>
    <s v="USA"/>
    <s v="Cash"/>
    <x v="21"/>
    <x v="2"/>
    <n v="10"/>
    <n v="55"/>
    <x v="62"/>
    <n v="52.25"/>
  </r>
  <r>
    <n v="1242"/>
    <x v="94"/>
    <n v="26"/>
    <x v="14"/>
    <s v="789 26th Street"/>
    <x v="9"/>
    <x v="9"/>
    <n v="99999"/>
    <s v="USA"/>
    <x v="5"/>
    <x v="3"/>
    <d v="2014-08-28T00:00:00"/>
    <s v="Shipping Company C"/>
    <s v="Run Liu"/>
    <s v="789 26th Street"/>
    <x v="9"/>
    <s v="FL"/>
    <n v="99999"/>
    <s v="USA"/>
    <s v="Credit Card"/>
    <x v="22"/>
    <x v="13"/>
    <n v="21.35"/>
    <n v="60"/>
    <x v="191"/>
    <n v="129.381"/>
  </r>
  <r>
    <n v="1243"/>
    <x v="94"/>
    <n v="26"/>
    <x v="14"/>
    <s v="789 26th Street"/>
    <x v="9"/>
    <x v="9"/>
    <n v="99999"/>
    <s v="USA"/>
    <x v="5"/>
    <x v="3"/>
    <d v="2014-08-28T00:00:00"/>
    <s v="Shipping Company C"/>
    <s v="Run Liu"/>
    <s v="789 26th Street"/>
    <x v="9"/>
    <s v="FL"/>
    <n v="99999"/>
    <s v="USA"/>
    <s v="Credit Card"/>
    <x v="8"/>
    <x v="4"/>
    <n v="9.65"/>
    <n v="19"/>
    <x v="192"/>
    <n v="17.41825"/>
  </r>
  <r>
    <n v="1244"/>
    <x v="94"/>
    <n v="26"/>
    <x v="14"/>
    <s v="789 26th Street"/>
    <x v="9"/>
    <x v="9"/>
    <n v="99999"/>
    <s v="USA"/>
    <x v="5"/>
    <x v="3"/>
    <d v="2014-08-28T00:00:00"/>
    <s v="Shipping Company C"/>
    <s v="Run Liu"/>
    <s v="789 26th Street"/>
    <x v="9"/>
    <s v="FL"/>
    <n v="99999"/>
    <s v="USA"/>
    <s v="Credit Card"/>
    <x v="13"/>
    <x v="8"/>
    <n v="18.399999999999999"/>
    <n v="66"/>
    <x v="193"/>
    <n v="125.08320000000001"/>
  </r>
  <r>
    <n v="1245"/>
    <x v="95"/>
    <n v="29"/>
    <x v="4"/>
    <s v="789 29th Street"/>
    <x v="3"/>
    <x v="3"/>
    <n v="99999"/>
    <s v="USA"/>
    <x v="3"/>
    <x v="0"/>
    <d v="2014-08-31T00:00:00"/>
    <s v="Shipping Company B"/>
    <s v="Soo Jung Lee"/>
    <s v="789 29th Street"/>
    <x v="3"/>
    <s v="CO"/>
    <n v="99999"/>
    <s v="USA"/>
    <s v="Check"/>
    <x v="0"/>
    <x v="0"/>
    <n v="14"/>
    <n v="42"/>
    <x v="194"/>
    <n v="59.388000000000005"/>
  </r>
  <r>
    <n v="1246"/>
    <x v="92"/>
    <n v="6"/>
    <x v="6"/>
    <s v="123 6th Street"/>
    <x v="5"/>
    <x v="5"/>
    <n v="99999"/>
    <s v="USA"/>
    <x v="4"/>
    <x v="2"/>
    <n v="41859"/>
    <s v="Shipping Company C"/>
    <s v="Francisco Pérez-Olaeta"/>
    <s v="123 6th Street"/>
    <x v="5"/>
    <s v="WI"/>
    <n v="99999"/>
    <s v="USA"/>
    <s v="Check"/>
    <x v="7"/>
    <x v="3"/>
    <n v="12.75"/>
    <n v="72"/>
    <x v="195"/>
    <n v="89.046000000000006"/>
  </r>
  <r>
    <n v="1248"/>
    <x v="96"/>
    <n v="4"/>
    <x v="1"/>
    <s v="123 4th Street"/>
    <x v="1"/>
    <x v="1"/>
    <n v="99999"/>
    <s v="USA"/>
    <x v="1"/>
    <x v="1"/>
    <n v="41857"/>
    <s v="Shipping Company A"/>
    <s v="Christina Lee"/>
    <s v="123 4th Street"/>
    <x v="1"/>
    <s v="NY"/>
    <n v="99999"/>
    <s v="USA"/>
    <s v="Credit Card"/>
    <x v="23"/>
    <x v="6"/>
    <n v="81"/>
    <n v="32"/>
    <x v="196"/>
    <n v="251.42399999999998"/>
  </r>
  <r>
    <n v="1249"/>
    <x v="96"/>
    <n v="4"/>
    <x v="1"/>
    <s v="123 4th Street"/>
    <x v="1"/>
    <x v="1"/>
    <n v="99999"/>
    <s v="USA"/>
    <x v="1"/>
    <x v="1"/>
    <n v="41857"/>
    <s v="Shipping Company A"/>
    <s v="Christina Lee"/>
    <s v="123 4th Street"/>
    <x v="1"/>
    <s v="NY"/>
    <n v="99999"/>
    <s v="USA"/>
    <s v="Credit Card"/>
    <x v="24"/>
    <x v="14"/>
    <n v="7"/>
    <n v="76"/>
    <x v="197"/>
    <n v="53.732000000000006"/>
  </r>
  <r>
    <n v="1250"/>
    <x v="97"/>
    <n v="10"/>
    <x v="8"/>
    <s v="123 10th Street"/>
    <x v="7"/>
    <x v="7"/>
    <n v="99999"/>
    <s v="USA"/>
    <x v="6"/>
    <x v="1"/>
    <n v="41894"/>
    <s v="Shipping Company A"/>
    <s v="Roland Wacker"/>
    <s v="123 10th Street"/>
    <x v="7"/>
    <s v="IL"/>
    <n v="99999"/>
    <s v="USA"/>
    <m/>
    <x v="6"/>
    <x v="2"/>
    <n v="9.1999999999999993"/>
    <n v="83"/>
    <x v="198"/>
    <n v="74.832799999999992"/>
  </r>
  <r>
    <n v="1251"/>
    <x v="98"/>
    <n v="11"/>
    <x v="10"/>
    <s v="123 11th Street"/>
    <x v="9"/>
    <x v="9"/>
    <n v="99999"/>
    <s v="USA"/>
    <x v="5"/>
    <x v="3"/>
    <m/>
    <s v="Shipping Company C"/>
    <s v="Peter Krschne"/>
    <s v="123 11th Street"/>
    <x v="9"/>
    <s v="FL"/>
    <n v="99999"/>
    <s v="USA"/>
    <m/>
    <x v="1"/>
    <x v="1"/>
    <n v="3.5"/>
    <n v="91"/>
    <x v="199"/>
    <n v="31.213000000000001"/>
  </r>
  <r>
    <n v="1252"/>
    <x v="98"/>
    <n v="11"/>
    <x v="10"/>
    <s v="123 11th Street"/>
    <x v="9"/>
    <x v="9"/>
    <n v="99999"/>
    <s v="USA"/>
    <x v="5"/>
    <x v="3"/>
    <m/>
    <s v="Shipping Company C"/>
    <s v="Peter Krschne"/>
    <s v="123 11th Street"/>
    <x v="9"/>
    <s v="FL"/>
    <n v="99999"/>
    <s v="USA"/>
    <m/>
    <x v="10"/>
    <x v="0"/>
    <n v="2.99"/>
    <n v="64"/>
    <x v="200"/>
    <n v="19.518720000000002"/>
  </r>
  <r>
    <n v="1253"/>
    <x v="99"/>
    <n v="1"/>
    <x v="11"/>
    <s v="123 1st Street"/>
    <x v="10"/>
    <x v="10"/>
    <n v="99999"/>
    <s v="USA"/>
    <x v="2"/>
    <x v="2"/>
    <m/>
    <m/>
    <s v="Anna Bedecs"/>
    <s v="123 1st Street"/>
    <x v="10"/>
    <s v="WA"/>
    <n v="99999"/>
    <s v="USA"/>
    <m/>
    <x v="4"/>
    <x v="0"/>
    <n v="18"/>
    <n v="58"/>
    <x v="137"/>
    <n v="103.35600000000001"/>
  </r>
  <r>
    <n v="1254"/>
    <x v="99"/>
    <n v="1"/>
    <x v="11"/>
    <s v="123 1st Street"/>
    <x v="10"/>
    <x v="10"/>
    <n v="99999"/>
    <s v="USA"/>
    <x v="2"/>
    <x v="2"/>
    <m/>
    <m/>
    <s v="Anna Bedecs"/>
    <s v="123 1st Street"/>
    <x v="10"/>
    <s v="WA"/>
    <n v="99999"/>
    <s v="USA"/>
    <m/>
    <x v="5"/>
    <x v="0"/>
    <n v="46"/>
    <n v="97"/>
    <x v="201"/>
    <n v="464.04800000000006"/>
  </r>
  <r>
    <n v="1255"/>
    <x v="99"/>
    <n v="1"/>
    <x v="11"/>
    <s v="123 1st Street"/>
    <x v="10"/>
    <x v="10"/>
    <n v="99999"/>
    <s v="USA"/>
    <x v="2"/>
    <x v="2"/>
    <m/>
    <m/>
    <s v="Anna Bedecs"/>
    <s v="123 1st Street"/>
    <x v="10"/>
    <s v="WA"/>
    <n v="99999"/>
    <s v="USA"/>
    <m/>
    <x v="10"/>
    <x v="0"/>
    <n v="2.99"/>
    <n v="14"/>
    <x v="202"/>
    <n v="4.35344"/>
  </r>
  <r>
    <n v="1256"/>
    <x v="100"/>
    <n v="28"/>
    <x v="7"/>
    <s v="789 28th Street"/>
    <x v="6"/>
    <x v="6"/>
    <n v="99999"/>
    <s v="USA"/>
    <x v="5"/>
    <x v="3"/>
    <d v="2014-09-30T00:00:00"/>
    <s v="Shipping Company C"/>
    <s v="Amritansh Raghav"/>
    <s v="789 28th Street"/>
    <x v="6"/>
    <s v="TN"/>
    <n v="99999"/>
    <s v="USA"/>
    <s v="Credit Card"/>
    <x v="8"/>
    <x v="4"/>
    <n v="9.65"/>
    <n v="68"/>
    <x v="203"/>
    <n v="64.307600000000008"/>
  </r>
  <r>
    <n v="1257"/>
    <x v="100"/>
    <n v="28"/>
    <x v="7"/>
    <s v="789 28th Street"/>
    <x v="6"/>
    <x v="6"/>
    <n v="99999"/>
    <s v="USA"/>
    <x v="5"/>
    <x v="3"/>
    <n v="41912"/>
    <s v="Shipping Company C"/>
    <s v="Amritansh Raghav"/>
    <s v="789 28th Street"/>
    <x v="6"/>
    <s v="TN"/>
    <n v="99999"/>
    <s v="USA"/>
    <s v="Credit Card"/>
    <x v="13"/>
    <x v="8"/>
    <n v="18.399999999999999"/>
    <n v="32"/>
    <x v="204"/>
    <n v="58.879999999999995"/>
  </r>
  <r>
    <n v="1258"/>
    <x v="101"/>
    <n v="9"/>
    <x v="12"/>
    <s v="123 9th Street"/>
    <x v="11"/>
    <x v="11"/>
    <n v="99999"/>
    <s v="USA"/>
    <x v="7"/>
    <x v="0"/>
    <d v="2014-09-11T00:00:00"/>
    <s v="Shipping Company A"/>
    <s v="Sven Mortensen"/>
    <s v="123 9th Street"/>
    <x v="11"/>
    <s v="UT"/>
    <n v="99999"/>
    <s v="USA"/>
    <s v="Check"/>
    <x v="14"/>
    <x v="9"/>
    <n v="19.5"/>
    <n v="48"/>
    <x v="205"/>
    <n v="94.536000000000016"/>
  </r>
  <r>
    <n v="1259"/>
    <x v="101"/>
    <n v="9"/>
    <x v="12"/>
    <s v="123 9th Street"/>
    <x v="11"/>
    <x v="11"/>
    <n v="99999"/>
    <s v="USA"/>
    <x v="7"/>
    <x v="0"/>
    <d v="2014-09-11T00:00:00"/>
    <s v="Shipping Company A"/>
    <s v="Sven Mortensen"/>
    <s v="123 9th Street"/>
    <x v="11"/>
    <s v="UT"/>
    <n v="99999"/>
    <s v="USA"/>
    <s v="Check"/>
    <x v="15"/>
    <x v="10"/>
    <n v="34.799999999999997"/>
    <n v="57"/>
    <x v="206"/>
    <n v="194.39280000000002"/>
  </r>
  <r>
    <n v="1260"/>
    <x v="102"/>
    <n v="6"/>
    <x v="6"/>
    <s v="123 6th Street"/>
    <x v="5"/>
    <x v="5"/>
    <n v="99999"/>
    <s v="USA"/>
    <x v="4"/>
    <x v="2"/>
    <d v="2014-09-08T00:00:00"/>
    <s v="Shipping Company B"/>
    <s v="Francisco Pérez-Olaeta"/>
    <s v="123 6th Street"/>
    <x v="5"/>
    <s v="WI"/>
    <n v="99999"/>
    <s v="USA"/>
    <s v="Credit Card"/>
    <x v="0"/>
    <x v="0"/>
    <n v="14"/>
    <n v="67"/>
    <x v="207"/>
    <n v="98.490000000000009"/>
  </r>
  <r>
    <n v="1261"/>
    <x v="103"/>
    <n v="8"/>
    <x v="3"/>
    <s v="123 8th Street"/>
    <x v="2"/>
    <x v="2"/>
    <n v="99999"/>
    <s v="USA"/>
    <x v="2"/>
    <x v="2"/>
    <n v="41892"/>
    <s v="Shipping Company B"/>
    <s v="Elizabeth Andersen"/>
    <s v="123 8th Street"/>
    <x v="2"/>
    <s v="OR"/>
    <n v="99999"/>
    <s v="USA"/>
    <s v="Check"/>
    <x v="9"/>
    <x v="5"/>
    <n v="40"/>
    <n v="48"/>
    <x v="208"/>
    <n v="188.16"/>
  </r>
  <r>
    <n v="1262"/>
    <x v="103"/>
    <n v="8"/>
    <x v="3"/>
    <s v="123 8th Street"/>
    <x v="2"/>
    <x v="2"/>
    <n v="99999"/>
    <s v="USA"/>
    <x v="2"/>
    <x v="2"/>
    <n v="41892"/>
    <s v="Shipping Company B"/>
    <s v="Elizabeth Andersen"/>
    <s v="123 8th Street"/>
    <x v="2"/>
    <s v="OR"/>
    <n v="99999"/>
    <s v="USA"/>
    <s v="Check"/>
    <x v="6"/>
    <x v="2"/>
    <n v="9.1999999999999993"/>
    <n v="77"/>
    <x v="209"/>
    <n v="72.256799999999998"/>
  </r>
  <r>
    <n v="1263"/>
    <x v="104"/>
    <n v="25"/>
    <x v="13"/>
    <s v="789 25th Street"/>
    <x v="7"/>
    <x v="7"/>
    <n v="99999"/>
    <s v="USA"/>
    <x v="6"/>
    <x v="1"/>
    <n v="41909"/>
    <s v="Shipping Company A"/>
    <s v="John Rodman"/>
    <s v="789 25th Street"/>
    <x v="7"/>
    <s v="IL"/>
    <n v="99999"/>
    <s v="USA"/>
    <s v="Cash"/>
    <x v="21"/>
    <x v="2"/>
    <n v="10"/>
    <n v="94"/>
    <x v="210"/>
    <n v="97.76"/>
  </r>
  <r>
    <n v="1264"/>
    <x v="105"/>
    <n v="26"/>
    <x v="14"/>
    <s v="789 26th Street"/>
    <x v="9"/>
    <x v="9"/>
    <n v="99999"/>
    <s v="USA"/>
    <x v="5"/>
    <x v="3"/>
    <n v="41910"/>
    <s v="Shipping Company C"/>
    <s v="Run Liu"/>
    <s v="789 26th Street"/>
    <x v="9"/>
    <s v="FL"/>
    <n v="99999"/>
    <s v="USA"/>
    <s v="Credit Card"/>
    <x v="22"/>
    <x v="13"/>
    <n v="21.35"/>
    <n v="54"/>
    <x v="211"/>
    <n v="121.05450000000003"/>
  </r>
  <r>
    <n v="1265"/>
    <x v="105"/>
    <n v="26"/>
    <x v="14"/>
    <s v="789 26th Street"/>
    <x v="9"/>
    <x v="9"/>
    <n v="99999"/>
    <s v="USA"/>
    <x v="5"/>
    <x v="3"/>
    <n v="41910"/>
    <s v="Shipping Company C"/>
    <s v="Run Liu"/>
    <s v="789 26th Street"/>
    <x v="9"/>
    <s v="FL"/>
    <n v="99999"/>
    <s v="USA"/>
    <s v="Credit Card"/>
    <x v="8"/>
    <x v="4"/>
    <n v="9.65"/>
    <n v="43"/>
    <x v="84"/>
    <n v="40.250150000000005"/>
  </r>
  <r>
    <n v="1266"/>
    <x v="105"/>
    <n v="26"/>
    <x v="14"/>
    <s v="789 26th Street"/>
    <x v="9"/>
    <x v="9"/>
    <n v="99999"/>
    <s v="USA"/>
    <x v="5"/>
    <x v="3"/>
    <d v="2014-09-28T00:00:00"/>
    <s v="Shipping Company C"/>
    <s v="Run Liu"/>
    <s v="789 26th Street"/>
    <x v="9"/>
    <s v="FL"/>
    <n v="99999"/>
    <s v="USA"/>
    <s v="Credit Card"/>
    <x v="13"/>
    <x v="8"/>
    <n v="18.399999999999999"/>
    <n v="71"/>
    <x v="143"/>
    <n v="134.55919999999998"/>
  </r>
  <r>
    <n v="1267"/>
    <x v="106"/>
    <n v="29"/>
    <x v="4"/>
    <s v="789 29th Street"/>
    <x v="3"/>
    <x v="3"/>
    <n v="99999"/>
    <s v="USA"/>
    <x v="3"/>
    <x v="0"/>
    <d v="2014-10-01T00:00:00"/>
    <s v="Shipping Company B"/>
    <s v="Soo Jung Lee"/>
    <s v="789 29th Street"/>
    <x v="3"/>
    <s v="CO"/>
    <n v="99999"/>
    <s v="USA"/>
    <s v="Check"/>
    <x v="0"/>
    <x v="0"/>
    <n v="14"/>
    <n v="50"/>
    <x v="212"/>
    <n v="67.2"/>
  </r>
  <r>
    <n v="1268"/>
    <x v="102"/>
    <n v="6"/>
    <x v="6"/>
    <s v="123 6th Street"/>
    <x v="5"/>
    <x v="5"/>
    <n v="99999"/>
    <s v="USA"/>
    <x v="4"/>
    <x v="2"/>
    <d v="2014-09-08T00:00:00"/>
    <s v="Shipping Company C"/>
    <s v="Francisco Pérez-Olaeta"/>
    <s v="123 6th Street"/>
    <x v="5"/>
    <s v="WI"/>
    <n v="99999"/>
    <s v="USA"/>
    <s v="Check"/>
    <x v="7"/>
    <x v="3"/>
    <n v="12.75"/>
    <n v="96"/>
    <x v="146"/>
    <n v="119.952"/>
  </r>
  <r>
    <n v="1270"/>
    <x v="107"/>
    <n v="4"/>
    <x v="1"/>
    <s v="123 4th Street"/>
    <x v="1"/>
    <x v="1"/>
    <n v="99999"/>
    <s v="USA"/>
    <x v="1"/>
    <x v="1"/>
    <d v="2014-09-06T00:00:00"/>
    <s v="Shipping Company A"/>
    <s v="Christina Lee"/>
    <s v="123 4th Street"/>
    <x v="1"/>
    <s v="NY"/>
    <n v="99999"/>
    <s v="USA"/>
    <s v="Credit Card"/>
    <x v="23"/>
    <x v="6"/>
    <n v="81"/>
    <n v="54"/>
    <x v="213"/>
    <n v="437.40000000000003"/>
  </r>
  <r>
    <n v="1271"/>
    <x v="107"/>
    <n v="4"/>
    <x v="1"/>
    <s v="123 4th Street"/>
    <x v="1"/>
    <x v="1"/>
    <n v="99999"/>
    <s v="USA"/>
    <x v="1"/>
    <x v="1"/>
    <d v="2014-09-06T00:00:00"/>
    <s v="Shipping Company A"/>
    <s v="Christina Lee"/>
    <s v="123 4th Street"/>
    <x v="1"/>
    <s v="NY"/>
    <n v="99999"/>
    <s v="USA"/>
    <s v="Credit Card"/>
    <x v="24"/>
    <x v="14"/>
    <n v="7"/>
    <n v="39"/>
    <x v="214"/>
    <n v="27.3"/>
  </r>
  <r>
    <n v="1273"/>
    <x v="103"/>
    <n v="8"/>
    <x v="3"/>
    <s v="123 8th Street"/>
    <x v="2"/>
    <x v="2"/>
    <n v="99999"/>
    <s v="USA"/>
    <x v="2"/>
    <x v="2"/>
    <d v="2014-09-10T00:00:00"/>
    <s v="Shipping Company C"/>
    <s v="Elizabeth Andersen"/>
    <s v="123 8th Street"/>
    <x v="2"/>
    <s v="OR"/>
    <n v="99999"/>
    <s v="USA"/>
    <s v="Credit Card"/>
    <x v="15"/>
    <x v="10"/>
    <n v="34.799999999999997"/>
    <n v="63"/>
    <x v="59"/>
    <n v="230.202"/>
  </r>
  <r>
    <n v="1276"/>
    <x v="108"/>
    <n v="3"/>
    <x v="5"/>
    <s v="123 3rd Street"/>
    <x v="4"/>
    <x v="4"/>
    <n v="99999"/>
    <s v="USA"/>
    <x v="0"/>
    <x v="0"/>
    <d v="2014-09-05T00:00:00"/>
    <s v="Shipping Company B"/>
    <s v="Thomas Axerr"/>
    <s v="123 3rd Street"/>
    <x v="4"/>
    <s v="CA"/>
    <n v="99999"/>
    <s v="USA"/>
    <s v="Cash"/>
    <x v="16"/>
    <x v="7"/>
    <n v="10"/>
    <n v="71"/>
    <x v="215"/>
    <n v="73.13"/>
  </r>
  <r>
    <n v="1277"/>
    <x v="108"/>
    <n v="3"/>
    <x v="5"/>
    <s v="123 3rd Street"/>
    <x v="4"/>
    <x v="4"/>
    <n v="99999"/>
    <s v="USA"/>
    <x v="0"/>
    <x v="0"/>
    <d v="2014-09-05T00:00:00"/>
    <s v="Shipping Company B"/>
    <s v="Thomas Axerr"/>
    <s v="123 3rd Street"/>
    <x v="4"/>
    <s v="CA"/>
    <n v="99999"/>
    <s v="USA"/>
    <s v="Cash"/>
    <x v="9"/>
    <x v="5"/>
    <n v="40"/>
    <n v="88"/>
    <x v="216"/>
    <n v="366.08000000000004"/>
  </r>
  <r>
    <n v="1281"/>
    <x v="97"/>
    <n v="10"/>
    <x v="8"/>
    <s v="123 10th Street"/>
    <x v="7"/>
    <x v="7"/>
    <n v="99999"/>
    <s v="USA"/>
    <x v="6"/>
    <x v="1"/>
    <d v="2014-09-12T00:00:00"/>
    <s v="Shipping Company B"/>
    <s v="Roland Wacker"/>
    <s v="123 10th Street"/>
    <x v="7"/>
    <s v="IL"/>
    <n v="99999"/>
    <s v="USA"/>
    <s v="Credit Card"/>
    <x v="18"/>
    <x v="1"/>
    <n v="10"/>
    <n v="59"/>
    <x v="217"/>
    <n v="59.59"/>
  </r>
  <r>
    <n v="1282"/>
    <x v="109"/>
    <n v="6"/>
    <x v="6"/>
    <s v="123 6th Street"/>
    <x v="5"/>
    <x v="5"/>
    <n v="99999"/>
    <s v="USA"/>
    <x v="4"/>
    <x v="2"/>
    <d v="2014-10-08T00:00:00"/>
    <s v="Shipping Company B"/>
    <s v="Francisco Pérez-Olaeta"/>
    <s v="123 6th Street"/>
    <x v="5"/>
    <s v="WI"/>
    <n v="99999"/>
    <s v="USA"/>
    <s v="Credit Card"/>
    <x v="9"/>
    <x v="5"/>
    <n v="40"/>
    <n v="94"/>
    <x v="218"/>
    <n v="376"/>
  </r>
  <r>
    <n v="1283"/>
    <x v="110"/>
    <n v="28"/>
    <x v="7"/>
    <s v="789 28th Street"/>
    <x v="6"/>
    <x v="6"/>
    <n v="99999"/>
    <s v="USA"/>
    <x v="5"/>
    <x v="3"/>
    <d v="2014-10-30T00:00:00"/>
    <s v="Shipping Company C"/>
    <s v="Amritansh Raghav"/>
    <s v="789 28th Street"/>
    <x v="6"/>
    <s v="TN"/>
    <n v="99999"/>
    <s v="USA"/>
    <s v="Check"/>
    <x v="5"/>
    <x v="0"/>
    <n v="46"/>
    <n v="86"/>
    <x v="177"/>
    <n v="379.77600000000001"/>
  </r>
  <r>
    <n v="1284"/>
    <x v="111"/>
    <n v="8"/>
    <x v="3"/>
    <s v="123 8th Street"/>
    <x v="2"/>
    <x v="2"/>
    <n v="99999"/>
    <s v="USA"/>
    <x v="2"/>
    <x v="2"/>
    <d v="2014-10-10T00:00:00"/>
    <s v="Shipping Company C"/>
    <s v="Elizabeth Andersen"/>
    <s v="123 8th Street"/>
    <x v="2"/>
    <s v="OR"/>
    <n v="99999"/>
    <s v="USA"/>
    <s v="Check"/>
    <x v="7"/>
    <x v="3"/>
    <n v="12.75"/>
    <n v="61"/>
    <x v="219"/>
    <n v="78.552750000000003"/>
  </r>
  <r>
    <n v="1285"/>
    <x v="112"/>
    <n v="10"/>
    <x v="8"/>
    <s v="123 10th Street"/>
    <x v="7"/>
    <x v="7"/>
    <n v="99999"/>
    <s v="USA"/>
    <x v="6"/>
    <x v="1"/>
    <d v="2014-10-12T00:00:00"/>
    <s v="Shipping Company B"/>
    <s v="Roland Wacker"/>
    <s v="123 10th Street"/>
    <x v="7"/>
    <s v="IL"/>
    <n v="99999"/>
    <s v="USA"/>
    <s v="Credit Card"/>
    <x v="10"/>
    <x v="0"/>
    <n v="2.99"/>
    <n v="32"/>
    <x v="220"/>
    <n v="9.7593600000000009"/>
  </r>
  <r>
    <n v="1286"/>
    <x v="113"/>
    <n v="7"/>
    <x v="9"/>
    <s v="123 7th Street"/>
    <x v="8"/>
    <x v="8"/>
    <n v="99999"/>
    <s v="USA"/>
    <x v="2"/>
    <x v="2"/>
    <m/>
    <m/>
    <s v="Ming-Yang Xie"/>
    <s v="123 7th Street"/>
    <x v="8"/>
    <s v="ID"/>
    <n v="99999"/>
    <s v="USA"/>
    <m/>
    <x v="5"/>
    <x v="0"/>
    <n v="46"/>
    <n v="62"/>
    <x v="221"/>
    <n v="290.904"/>
  </r>
  <r>
    <n v="1287"/>
    <x v="112"/>
    <n v="10"/>
    <x v="8"/>
    <s v="123 10th Street"/>
    <x v="7"/>
    <x v="7"/>
    <n v="99999"/>
    <s v="USA"/>
    <x v="6"/>
    <x v="1"/>
    <d v="2014-10-12T00:00:00"/>
    <s v="Shipping Company A"/>
    <s v="Roland Wacker"/>
    <s v="123 10th Street"/>
    <x v="7"/>
    <s v="IL"/>
    <n v="99999"/>
    <s v="USA"/>
    <m/>
    <x v="11"/>
    <x v="6"/>
    <n v="25"/>
    <n v="60"/>
    <x v="222"/>
    <n v="154.5"/>
  </r>
  <r>
    <n v="1288"/>
    <x v="112"/>
    <n v="10"/>
    <x v="8"/>
    <s v="123 10th Street"/>
    <x v="7"/>
    <x v="7"/>
    <n v="99999"/>
    <s v="USA"/>
    <x v="6"/>
    <x v="1"/>
    <d v="2014-10-12T00:00:00"/>
    <s v="Shipping Company A"/>
    <s v="Roland Wacker"/>
    <s v="123 10th Street"/>
    <x v="7"/>
    <s v="IL"/>
    <n v="99999"/>
    <s v="USA"/>
    <m/>
    <x v="12"/>
    <x v="7"/>
    <n v="22"/>
    <n v="51"/>
    <x v="223"/>
    <n v="109.956"/>
  </r>
  <r>
    <n v="1289"/>
    <x v="112"/>
    <n v="10"/>
    <x v="8"/>
    <s v="123 10th Street"/>
    <x v="7"/>
    <x v="7"/>
    <n v="99999"/>
    <s v="USA"/>
    <x v="6"/>
    <x v="1"/>
    <d v="2014-10-12T00:00:00"/>
    <s v="Shipping Company A"/>
    <s v="Roland Wacker"/>
    <s v="123 10th Street"/>
    <x v="7"/>
    <s v="IL"/>
    <n v="99999"/>
    <s v="USA"/>
    <m/>
    <x v="6"/>
    <x v="2"/>
    <n v="9.1999999999999993"/>
    <n v="49"/>
    <x v="224"/>
    <n v="44.629199999999997"/>
  </r>
  <r>
    <n v="1290"/>
    <x v="114"/>
    <n v="11"/>
    <x v="10"/>
    <s v="123 11th Street"/>
    <x v="9"/>
    <x v="9"/>
    <n v="99999"/>
    <s v="USA"/>
    <x v="5"/>
    <x v="3"/>
    <m/>
    <s v="Shipping Company C"/>
    <s v="Peter Krschne"/>
    <s v="123 11th Street"/>
    <x v="9"/>
    <s v="FL"/>
    <n v="99999"/>
    <s v="USA"/>
    <m/>
    <x v="1"/>
    <x v="1"/>
    <n v="3.5"/>
    <n v="20"/>
    <x v="225"/>
    <n v="6.93"/>
  </r>
  <r>
    <n v="1291"/>
    <x v="114"/>
    <n v="11"/>
    <x v="10"/>
    <s v="123 11th Street"/>
    <x v="9"/>
    <x v="9"/>
    <n v="99999"/>
    <s v="USA"/>
    <x v="5"/>
    <x v="3"/>
    <m/>
    <s v="Shipping Company C"/>
    <s v="Peter Krschne"/>
    <s v="123 11th Street"/>
    <x v="9"/>
    <s v="FL"/>
    <n v="99999"/>
    <s v="USA"/>
    <m/>
    <x v="10"/>
    <x v="0"/>
    <n v="2.99"/>
    <n v="49"/>
    <x v="20"/>
    <n v="14.651000000000003"/>
  </r>
  <r>
    <n v="1292"/>
    <x v="115"/>
    <n v="1"/>
    <x v="11"/>
    <s v="123 1st Street"/>
    <x v="10"/>
    <x v="10"/>
    <n v="99999"/>
    <s v="USA"/>
    <x v="2"/>
    <x v="2"/>
    <m/>
    <m/>
    <s v="Anna Bedecs"/>
    <s v="123 1st Street"/>
    <x v="10"/>
    <s v="WA"/>
    <n v="99999"/>
    <s v="USA"/>
    <m/>
    <x v="4"/>
    <x v="0"/>
    <n v="18"/>
    <n v="22"/>
    <x v="226"/>
    <n v="38.015999999999998"/>
  </r>
  <r>
    <n v="1293"/>
    <x v="115"/>
    <n v="1"/>
    <x v="11"/>
    <s v="123 1st Street"/>
    <x v="10"/>
    <x v="10"/>
    <n v="99999"/>
    <s v="USA"/>
    <x v="2"/>
    <x v="2"/>
    <m/>
    <m/>
    <s v="Anna Bedecs"/>
    <s v="123 1st Street"/>
    <x v="10"/>
    <s v="WA"/>
    <n v="99999"/>
    <s v="USA"/>
    <m/>
    <x v="5"/>
    <x v="0"/>
    <n v="46"/>
    <n v="73"/>
    <x v="227"/>
    <n v="339.15800000000002"/>
  </r>
  <r>
    <n v="1294"/>
    <x v="115"/>
    <n v="1"/>
    <x v="11"/>
    <s v="123 1st Street"/>
    <x v="10"/>
    <x v="10"/>
    <n v="99999"/>
    <s v="USA"/>
    <x v="2"/>
    <x v="2"/>
    <m/>
    <m/>
    <s v="Anna Bedecs"/>
    <s v="123 1st Street"/>
    <x v="10"/>
    <s v="WA"/>
    <n v="99999"/>
    <s v="USA"/>
    <m/>
    <x v="10"/>
    <x v="0"/>
    <n v="2.99"/>
    <n v="85"/>
    <x v="228"/>
    <n v="24.652550000000002"/>
  </r>
  <r>
    <n v="1295"/>
    <x v="110"/>
    <n v="28"/>
    <x v="7"/>
    <s v="789 28th Street"/>
    <x v="6"/>
    <x v="6"/>
    <n v="99999"/>
    <s v="USA"/>
    <x v="5"/>
    <x v="3"/>
    <d v="2014-10-30T00:00:00"/>
    <s v="Shipping Company C"/>
    <s v="Amritansh Raghav"/>
    <s v="789 28th Street"/>
    <x v="6"/>
    <s v="TN"/>
    <n v="99999"/>
    <s v="USA"/>
    <s v="Credit Card"/>
    <x v="8"/>
    <x v="4"/>
    <n v="9.65"/>
    <n v="44"/>
    <x v="229"/>
    <n v="44.158400000000007"/>
  </r>
  <r>
    <n v="1296"/>
    <x v="110"/>
    <n v="28"/>
    <x v="7"/>
    <s v="789 28th Street"/>
    <x v="6"/>
    <x v="6"/>
    <n v="99999"/>
    <s v="USA"/>
    <x v="5"/>
    <x v="3"/>
    <d v="2014-10-30T00:00:00"/>
    <s v="Shipping Company C"/>
    <s v="Amritansh Raghav"/>
    <s v="789 28th Street"/>
    <x v="6"/>
    <s v="TN"/>
    <n v="99999"/>
    <s v="USA"/>
    <s v="Credit Card"/>
    <x v="13"/>
    <x v="8"/>
    <n v="18.399999999999999"/>
    <n v="24"/>
    <x v="230"/>
    <n v="42.835199999999993"/>
  </r>
  <r>
    <n v="1297"/>
    <x v="116"/>
    <n v="9"/>
    <x v="12"/>
    <s v="123 9th Street"/>
    <x v="11"/>
    <x v="11"/>
    <n v="99999"/>
    <s v="USA"/>
    <x v="7"/>
    <x v="0"/>
    <d v="2014-10-11T00:00:00"/>
    <s v="Shipping Company A"/>
    <s v="Sven Mortensen"/>
    <s v="123 9th Street"/>
    <x v="11"/>
    <s v="UT"/>
    <n v="99999"/>
    <s v="USA"/>
    <s v="Check"/>
    <x v="14"/>
    <x v="9"/>
    <n v="19.5"/>
    <n v="64"/>
    <x v="231"/>
    <n v="119.80800000000001"/>
  </r>
  <r>
    <n v="1298"/>
    <x v="116"/>
    <n v="9"/>
    <x v="12"/>
    <s v="123 9th Street"/>
    <x v="11"/>
    <x v="11"/>
    <n v="99999"/>
    <s v="USA"/>
    <x v="7"/>
    <x v="0"/>
    <d v="2014-10-11T00:00:00"/>
    <s v="Shipping Company A"/>
    <s v="Sven Mortensen"/>
    <s v="123 9th Street"/>
    <x v="11"/>
    <s v="UT"/>
    <n v="99999"/>
    <s v="USA"/>
    <s v="Check"/>
    <x v="15"/>
    <x v="10"/>
    <n v="34.799999999999997"/>
    <n v="70"/>
    <x v="232"/>
    <n v="246.03600000000003"/>
  </r>
  <r>
    <n v="1299"/>
    <x v="109"/>
    <n v="6"/>
    <x v="6"/>
    <s v="123 6th Street"/>
    <x v="5"/>
    <x v="5"/>
    <n v="99999"/>
    <s v="USA"/>
    <x v="4"/>
    <x v="2"/>
    <d v="2014-10-08T00:00:00"/>
    <s v="Shipping Company B"/>
    <s v="Francisco Pérez-Olaeta"/>
    <s v="123 6th Street"/>
    <x v="5"/>
    <s v="WI"/>
    <n v="99999"/>
    <s v="USA"/>
    <s v="Credit Card"/>
    <x v="0"/>
    <x v="0"/>
    <n v="14"/>
    <n v="98"/>
    <x v="233"/>
    <n v="138.57200000000003"/>
  </r>
  <r>
    <n v="1300"/>
    <x v="111"/>
    <n v="8"/>
    <x v="3"/>
    <s v="123 8th Street"/>
    <x v="2"/>
    <x v="2"/>
    <n v="99999"/>
    <s v="USA"/>
    <x v="2"/>
    <x v="2"/>
    <d v="2014-10-10T00:00:00"/>
    <s v="Shipping Company B"/>
    <s v="Elizabeth Andersen"/>
    <s v="123 8th Street"/>
    <x v="2"/>
    <s v="OR"/>
    <n v="99999"/>
    <s v="USA"/>
    <s v="Check"/>
    <x v="9"/>
    <x v="5"/>
    <n v="40"/>
    <n v="48"/>
    <x v="208"/>
    <n v="188.16"/>
  </r>
  <r>
    <n v="1301"/>
    <x v="111"/>
    <n v="8"/>
    <x v="3"/>
    <s v="123 8th Street"/>
    <x v="2"/>
    <x v="2"/>
    <n v="99999"/>
    <s v="USA"/>
    <x v="2"/>
    <x v="2"/>
    <d v="2014-10-10T00:00:00"/>
    <s v="Shipping Company B"/>
    <s v="Elizabeth Andersen"/>
    <s v="123 8th Street"/>
    <x v="2"/>
    <s v="OR"/>
    <n v="99999"/>
    <s v="USA"/>
    <s v="Check"/>
    <x v="6"/>
    <x v="2"/>
    <n v="9.1999999999999993"/>
    <n v="100"/>
    <x v="234"/>
    <n v="91.08"/>
  </r>
  <r>
    <n v="1302"/>
    <x v="117"/>
    <n v="25"/>
    <x v="13"/>
    <s v="789 25th Street"/>
    <x v="7"/>
    <x v="7"/>
    <n v="99999"/>
    <s v="USA"/>
    <x v="6"/>
    <x v="1"/>
    <d v="2014-10-27T00:00:00"/>
    <s v="Shipping Company A"/>
    <s v="John Rodman"/>
    <s v="789 25th Street"/>
    <x v="7"/>
    <s v="IL"/>
    <n v="99999"/>
    <s v="USA"/>
    <s v="Cash"/>
    <x v="21"/>
    <x v="2"/>
    <n v="10"/>
    <n v="90"/>
    <x v="235"/>
    <n v="87.3"/>
  </r>
  <r>
    <n v="1303"/>
    <x v="118"/>
    <n v="26"/>
    <x v="14"/>
    <s v="789 26th Street"/>
    <x v="9"/>
    <x v="9"/>
    <n v="99999"/>
    <s v="USA"/>
    <x v="5"/>
    <x v="3"/>
    <d v="2014-10-28T00:00:00"/>
    <s v="Shipping Company C"/>
    <s v="Run Liu"/>
    <s v="789 26th Street"/>
    <x v="9"/>
    <s v="FL"/>
    <n v="99999"/>
    <s v="USA"/>
    <s v="Credit Card"/>
    <x v="22"/>
    <x v="13"/>
    <n v="21.35"/>
    <n v="49"/>
    <x v="236"/>
    <n v="102.5227"/>
  </r>
  <r>
    <n v="1304"/>
    <x v="118"/>
    <n v="26"/>
    <x v="14"/>
    <s v="789 26th Street"/>
    <x v="9"/>
    <x v="9"/>
    <n v="99999"/>
    <s v="USA"/>
    <x v="5"/>
    <x v="3"/>
    <d v="2014-10-28T00:00:00"/>
    <s v="Shipping Company C"/>
    <s v="Run Liu"/>
    <s v="789 26th Street"/>
    <x v="9"/>
    <s v="FL"/>
    <n v="99999"/>
    <s v="USA"/>
    <s v="Credit Card"/>
    <x v="8"/>
    <x v="4"/>
    <n v="9.65"/>
    <n v="71"/>
    <x v="237"/>
    <n v="65.7744"/>
  </r>
  <r>
    <n v="1305"/>
    <x v="118"/>
    <n v="26"/>
    <x v="14"/>
    <s v="789 26th Street"/>
    <x v="9"/>
    <x v="9"/>
    <n v="99999"/>
    <s v="USA"/>
    <x v="5"/>
    <x v="3"/>
    <d v="2014-10-28T00:00:00"/>
    <s v="Shipping Company C"/>
    <s v="Run Liu"/>
    <s v="789 26th Street"/>
    <x v="9"/>
    <s v="FL"/>
    <n v="99999"/>
    <s v="USA"/>
    <s v="Credit Card"/>
    <x v="13"/>
    <x v="8"/>
    <n v="18.399999999999999"/>
    <n v="10"/>
    <x v="238"/>
    <n v="19.136000000000003"/>
  </r>
  <r>
    <n v="1306"/>
    <x v="119"/>
    <n v="29"/>
    <x v="4"/>
    <s v="789 29th Street"/>
    <x v="3"/>
    <x v="3"/>
    <n v="99999"/>
    <s v="USA"/>
    <x v="3"/>
    <x v="0"/>
    <d v="2014-10-31T00:00:00"/>
    <s v="Shipping Company B"/>
    <s v="Soo Jung Lee"/>
    <s v="789 29th Street"/>
    <x v="3"/>
    <s v="CO"/>
    <n v="99999"/>
    <s v="USA"/>
    <s v="Check"/>
    <x v="0"/>
    <x v="0"/>
    <n v="14"/>
    <n v="78"/>
    <x v="239"/>
    <n v="112.476"/>
  </r>
  <r>
    <n v="1307"/>
    <x v="109"/>
    <n v="6"/>
    <x v="6"/>
    <s v="123 6th Street"/>
    <x v="5"/>
    <x v="5"/>
    <n v="99999"/>
    <s v="USA"/>
    <x v="4"/>
    <x v="2"/>
    <d v="2014-10-08T00:00:00"/>
    <s v="Shipping Company C"/>
    <s v="Francisco Pérez-Olaeta"/>
    <s v="123 6th Street"/>
    <x v="5"/>
    <s v="WI"/>
    <n v="99999"/>
    <s v="USA"/>
    <s v="Check"/>
    <x v="7"/>
    <x v="3"/>
    <n v="12.75"/>
    <n v="44"/>
    <x v="134"/>
    <n v="53.856000000000002"/>
  </r>
  <r>
    <n v="1309"/>
    <x v="120"/>
    <n v="4"/>
    <x v="1"/>
    <s v="123 4th Street"/>
    <x v="1"/>
    <x v="1"/>
    <n v="99999"/>
    <s v="USA"/>
    <x v="1"/>
    <x v="1"/>
    <d v="2014-10-06T00:00:00"/>
    <s v="Shipping Company A"/>
    <s v="Christina Lee"/>
    <s v="123 4th Street"/>
    <x v="1"/>
    <s v="NY"/>
    <n v="99999"/>
    <s v="USA"/>
    <s v="Credit Card"/>
    <x v="23"/>
    <x v="6"/>
    <n v="81"/>
    <n v="82"/>
    <x v="240"/>
    <n v="697.41000000000008"/>
  </r>
  <r>
    <n v="1310"/>
    <x v="120"/>
    <n v="4"/>
    <x v="1"/>
    <s v="123 4th Street"/>
    <x v="1"/>
    <x v="1"/>
    <n v="99999"/>
    <s v="USA"/>
    <x v="1"/>
    <x v="1"/>
    <d v="2014-10-06T00:00:00"/>
    <s v="Shipping Company A"/>
    <s v="Christina Lee"/>
    <s v="123 4th Street"/>
    <x v="1"/>
    <s v="NY"/>
    <n v="99999"/>
    <s v="USA"/>
    <s v="Credit Card"/>
    <x v="24"/>
    <x v="14"/>
    <n v="7"/>
    <n v="29"/>
    <x v="241"/>
    <n v="20.3"/>
  </r>
  <r>
    <n v="1312"/>
    <x v="111"/>
    <n v="8"/>
    <x v="3"/>
    <s v="123 8th Street"/>
    <x v="2"/>
    <x v="2"/>
    <n v="99999"/>
    <s v="USA"/>
    <x v="2"/>
    <x v="2"/>
    <d v="2014-10-10T00:00:00"/>
    <s v="Shipping Company C"/>
    <s v="Elizabeth Andersen"/>
    <s v="123 8th Street"/>
    <x v="2"/>
    <s v="OR"/>
    <n v="99999"/>
    <s v="USA"/>
    <s v="Credit Card"/>
    <x v="15"/>
    <x v="10"/>
    <n v="34.799999999999997"/>
    <n v="93"/>
    <x v="242"/>
    <n v="313.93079999999998"/>
  </r>
  <r>
    <n v="1315"/>
    <x v="121"/>
    <n v="3"/>
    <x v="5"/>
    <s v="123 3rd Street"/>
    <x v="4"/>
    <x v="4"/>
    <n v="99999"/>
    <s v="USA"/>
    <x v="0"/>
    <x v="0"/>
    <d v="2014-10-05T00:00:00"/>
    <s v="Shipping Company B"/>
    <s v="Thomas Axerr"/>
    <s v="123 3rd Street"/>
    <x v="4"/>
    <s v="CA"/>
    <n v="99999"/>
    <s v="USA"/>
    <s v="Cash"/>
    <x v="16"/>
    <x v="7"/>
    <n v="10"/>
    <n v="11"/>
    <x v="243"/>
    <n v="11.440000000000001"/>
  </r>
  <r>
    <n v="1316"/>
    <x v="121"/>
    <n v="3"/>
    <x v="5"/>
    <s v="123 3rd Street"/>
    <x v="4"/>
    <x v="4"/>
    <n v="99999"/>
    <s v="USA"/>
    <x v="0"/>
    <x v="0"/>
    <d v="2014-10-05T00:00:00"/>
    <s v="Shipping Company B"/>
    <s v="Thomas Axerr"/>
    <s v="123 3rd Street"/>
    <x v="4"/>
    <s v="CA"/>
    <n v="99999"/>
    <s v="USA"/>
    <s v="Cash"/>
    <x v="9"/>
    <x v="5"/>
    <n v="40"/>
    <n v="91"/>
    <x v="157"/>
    <n v="364"/>
  </r>
  <r>
    <n v="1320"/>
    <x v="112"/>
    <n v="10"/>
    <x v="8"/>
    <s v="123 10th Street"/>
    <x v="7"/>
    <x v="7"/>
    <n v="99999"/>
    <s v="USA"/>
    <x v="6"/>
    <x v="1"/>
    <d v="2014-10-12T00:00:00"/>
    <s v="Shipping Company B"/>
    <s v="Roland Wacker"/>
    <s v="123 10th Street"/>
    <x v="7"/>
    <s v="IL"/>
    <n v="99999"/>
    <s v="USA"/>
    <s v="Credit Card"/>
    <x v="18"/>
    <x v="1"/>
    <n v="10"/>
    <n v="12"/>
    <x v="244"/>
    <n v="12.36"/>
  </r>
  <r>
    <n v="1322"/>
    <x v="112"/>
    <n v="10"/>
    <x v="8"/>
    <s v="123 10th Street"/>
    <x v="7"/>
    <x v="7"/>
    <n v="99999"/>
    <s v="USA"/>
    <x v="6"/>
    <x v="1"/>
    <m/>
    <s v="Shipping Company A"/>
    <s v="Roland Wacker"/>
    <s v="123 10th Street"/>
    <x v="7"/>
    <s v="IL"/>
    <n v="99999"/>
    <s v="USA"/>
    <m/>
    <x v="1"/>
    <x v="1"/>
    <n v="3.5"/>
    <n v="78"/>
    <x v="214"/>
    <n v="27.3"/>
  </r>
  <r>
    <n v="1323"/>
    <x v="114"/>
    <n v="11"/>
    <x v="10"/>
    <s v="123 11th Street"/>
    <x v="9"/>
    <x v="9"/>
    <n v="99999"/>
    <s v="USA"/>
    <x v="5"/>
    <x v="3"/>
    <m/>
    <s v="Shipping Company C"/>
    <s v="Peter Krschne"/>
    <s v="123 11th Street"/>
    <x v="9"/>
    <s v="FL"/>
    <n v="99999"/>
    <s v="USA"/>
    <m/>
    <x v="9"/>
    <x v="5"/>
    <n v="40"/>
    <n v="60"/>
    <x v="245"/>
    <n v="228"/>
  </r>
  <r>
    <n v="1324"/>
    <x v="115"/>
    <n v="1"/>
    <x v="11"/>
    <s v="123 1st Street"/>
    <x v="10"/>
    <x v="10"/>
    <n v="99999"/>
    <s v="USA"/>
    <x v="2"/>
    <x v="2"/>
    <m/>
    <s v="Shipping Company C"/>
    <s v="Anna Bedecs"/>
    <s v="123 1st Street"/>
    <x v="10"/>
    <s v="WA"/>
    <n v="99999"/>
    <s v="USA"/>
    <m/>
    <x v="13"/>
    <x v="8"/>
    <n v="18.399999999999999"/>
    <n v="23"/>
    <x v="246"/>
    <n v="43.589600000000004"/>
  </r>
  <r>
    <n v="1325"/>
    <x v="110"/>
    <n v="28"/>
    <x v="7"/>
    <s v="789 28th Street"/>
    <x v="6"/>
    <x v="6"/>
    <n v="99999"/>
    <s v="USA"/>
    <x v="5"/>
    <x v="3"/>
    <d v="2014-10-30T00:00:00"/>
    <s v="Shipping Company C"/>
    <s v="Amritansh Raghav"/>
    <s v="789 28th Street"/>
    <x v="6"/>
    <s v="TN"/>
    <n v="99999"/>
    <s v="USA"/>
    <s v="Credit Card"/>
    <x v="5"/>
    <x v="0"/>
    <n v="46"/>
    <n v="34"/>
    <x v="247"/>
    <n v="157.964"/>
  </r>
  <r>
    <n v="1326"/>
    <x v="116"/>
    <n v="9"/>
    <x v="12"/>
    <s v="123 9th Street"/>
    <x v="11"/>
    <x v="11"/>
    <n v="99999"/>
    <s v="USA"/>
    <x v="7"/>
    <x v="0"/>
    <d v="2014-10-11T00:00:00"/>
    <s v="Shipping Company A"/>
    <s v="Sven Mortensen"/>
    <s v="123 9th Street"/>
    <x v="11"/>
    <s v="UT"/>
    <n v="99999"/>
    <s v="USA"/>
    <s v="Check"/>
    <x v="8"/>
    <x v="4"/>
    <n v="9.65"/>
    <n v="89"/>
    <x v="248"/>
    <n v="86.743850000000009"/>
  </r>
  <r>
    <n v="1327"/>
    <x v="109"/>
    <n v="6"/>
    <x v="6"/>
    <s v="123 6th Street"/>
    <x v="5"/>
    <x v="5"/>
    <n v="99999"/>
    <s v="USA"/>
    <x v="4"/>
    <x v="2"/>
    <d v="2014-10-08T00:00:00"/>
    <s v="Shipping Company B"/>
    <s v="Francisco Pérez-Olaeta"/>
    <s v="123 6th Street"/>
    <x v="5"/>
    <s v="WI"/>
    <n v="99999"/>
    <s v="USA"/>
    <s v="Credit Card"/>
    <x v="7"/>
    <x v="3"/>
    <n v="12.75"/>
    <n v="82"/>
    <x v="249"/>
    <n v="103.50450000000001"/>
  </r>
  <r>
    <n v="1328"/>
    <x v="111"/>
    <n v="8"/>
    <x v="3"/>
    <s v="123 8th Street"/>
    <x v="2"/>
    <x v="2"/>
    <n v="99999"/>
    <s v="USA"/>
    <x v="2"/>
    <x v="2"/>
    <d v="2014-10-10T00:00:00"/>
    <s v="Shipping Company B"/>
    <s v="Elizabeth Andersen"/>
    <s v="123 8th Street"/>
    <x v="2"/>
    <s v="OR"/>
    <n v="99999"/>
    <s v="USA"/>
    <s v="Check"/>
    <x v="7"/>
    <x v="3"/>
    <n v="12.75"/>
    <n v="43"/>
    <x v="250"/>
    <n v="52.631999999999998"/>
  </r>
  <r>
    <n v="1329"/>
    <x v="122"/>
    <n v="10"/>
    <x v="8"/>
    <s v="123 10th Street"/>
    <x v="7"/>
    <x v="7"/>
    <n v="99999"/>
    <s v="USA"/>
    <x v="6"/>
    <x v="1"/>
    <d v="2014-11-12T00:00:00"/>
    <s v="Shipping Company A"/>
    <s v="Roland Wacker"/>
    <s v="123 10th Street"/>
    <x v="7"/>
    <s v="IL"/>
    <n v="99999"/>
    <s v="USA"/>
    <m/>
    <x v="12"/>
    <x v="7"/>
    <n v="22"/>
    <n v="96"/>
    <x v="251"/>
    <n v="221.76000000000002"/>
  </r>
  <r>
    <n v="1330"/>
    <x v="122"/>
    <n v="10"/>
    <x v="8"/>
    <s v="123 10th Street"/>
    <x v="7"/>
    <x v="7"/>
    <n v="99999"/>
    <s v="USA"/>
    <x v="6"/>
    <x v="1"/>
    <d v="2014-11-12T00:00:00"/>
    <s v="Shipping Company A"/>
    <s v="Roland Wacker"/>
    <s v="123 10th Street"/>
    <x v="7"/>
    <s v="IL"/>
    <n v="99999"/>
    <s v="USA"/>
    <m/>
    <x v="6"/>
    <x v="2"/>
    <n v="9.1999999999999993"/>
    <n v="34"/>
    <x v="252"/>
    <n v="31.279999999999998"/>
  </r>
  <r>
    <n v="1331"/>
    <x v="123"/>
    <n v="11"/>
    <x v="10"/>
    <s v="123 11th Street"/>
    <x v="9"/>
    <x v="9"/>
    <n v="99999"/>
    <s v="USA"/>
    <x v="5"/>
    <x v="3"/>
    <m/>
    <s v="Shipping Company C"/>
    <s v="Peter Krschne"/>
    <s v="123 11th Street"/>
    <x v="9"/>
    <s v="FL"/>
    <n v="99999"/>
    <s v="USA"/>
    <m/>
    <x v="1"/>
    <x v="1"/>
    <n v="3.5"/>
    <n v="42"/>
    <x v="253"/>
    <n v="15.141000000000002"/>
  </r>
  <r>
    <n v="1332"/>
    <x v="123"/>
    <n v="11"/>
    <x v="10"/>
    <s v="123 11th Street"/>
    <x v="9"/>
    <x v="9"/>
    <n v="99999"/>
    <s v="USA"/>
    <x v="5"/>
    <x v="3"/>
    <m/>
    <s v="Shipping Company C"/>
    <s v="Peter Krschne"/>
    <s v="123 11th Street"/>
    <x v="9"/>
    <s v="FL"/>
    <n v="99999"/>
    <s v="USA"/>
    <m/>
    <x v="10"/>
    <x v="0"/>
    <n v="2.99"/>
    <n v="100"/>
    <x v="254"/>
    <n v="30.498000000000001"/>
  </r>
  <r>
    <n v="1333"/>
    <x v="124"/>
    <n v="1"/>
    <x v="11"/>
    <s v="123 1st Street"/>
    <x v="10"/>
    <x v="10"/>
    <n v="99999"/>
    <s v="USA"/>
    <x v="2"/>
    <x v="2"/>
    <m/>
    <m/>
    <s v="Anna Bedecs"/>
    <s v="123 1st Street"/>
    <x v="10"/>
    <s v="WA"/>
    <n v="99999"/>
    <s v="USA"/>
    <m/>
    <x v="4"/>
    <x v="0"/>
    <n v="18"/>
    <n v="42"/>
    <x v="21"/>
    <n v="76.356000000000009"/>
  </r>
  <r>
    <n v="1334"/>
    <x v="124"/>
    <n v="1"/>
    <x v="11"/>
    <s v="123 1st Street"/>
    <x v="10"/>
    <x v="10"/>
    <n v="99999"/>
    <s v="USA"/>
    <x v="2"/>
    <x v="2"/>
    <m/>
    <m/>
    <s v="Anna Bedecs"/>
    <s v="123 1st Street"/>
    <x v="10"/>
    <s v="WA"/>
    <n v="99999"/>
    <s v="USA"/>
    <m/>
    <x v="5"/>
    <x v="0"/>
    <n v="46"/>
    <n v="16"/>
    <x v="129"/>
    <n v="70.656000000000006"/>
  </r>
  <r>
    <n v="1335"/>
    <x v="124"/>
    <n v="1"/>
    <x v="11"/>
    <s v="123 1st Street"/>
    <x v="10"/>
    <x v="10"/>
    <n v="99999"/>
    <s v="USA"/>
    <x v="2"/>
    <x v="2"/>
    <m/>
    <m/>
    <s v="Anna Bedecs"/>
    <s v="123 1st Street"/>
    <x v="10"/>
    <s v="WA"/>
    <n v="99999"/>
    <s v="USA"/>
    <m/>
    <x v="10"/>
    <x v="0"/>
    <n v="2.99"/>
    <n v="22"/>
    <x v="255"/>
    <n v="6.3806599999999998"/>
  </r>
  <r>
    <n v="1336"/>
    <x v="125"/>
    <n v="28"/>
    <x v="7"/>
    <s v="789 28th Street"/>
    <x v="6"/>
    <x v="6"/>
    <n v="99999"/>
    <s v="USA"/>
    <x v="5"/>
    <x v="3"/>
    <d v="2014-11-30T00:00:00"/>
    <s v="Shipping Company C"/>
    <s v="Amritansh Raghav"/>
    <s v="789 28th Street"/>
    <x v="6"/>
    <s v="TN"/>
    <n v="99999"/>
    <s v="USA"/>
    <s v="Credit Card"/>
    <x v="8"/>
    <x v="4"/>
    <n v="9.65"/>
    <n v="46"/>
    <x v="256"/>
    <n v="45.721700000000006"/>
  </r>
  <r>
    <n v="1337"/>
    <x v="125"/>
    <n v="28"/>
    <x v="7"/>
    <s v="789 28th Street"/>
    <x v="6"/>
    <x v="6"/>
    <n v="99999"/>
    <s v="USA"/>
    <x v="5"/>
    <x v="3"/>
    <n v="41973"/>
    <s v="Shipping Company C"/>
    <s v="Amritansh Raghav"/>
    <s v="789 28th Street"/>
    <x v="6"/>
    <s v="TN"/>
    <n v="99999"/>
    <s v="USA"/>
    <s v="Credit Card"/>
    <x v="13"/>
    <x v="8"/>
    <n v="18.399999999999999"/>
    <n v="100"/>
    <x v="257"/>
    <n v="184"/>
  </r>
  <r>
    <n v="1338"/>
    <x v="126"/>
    <n v="9"/>
    <x v="12"/>
    <s v="123 9th Street"/>
    <x v="11"/>
    <x v="11"/>
    <n v="99999"/>
    <s v="USA"/>
    <x v="7"/>
    <x v="0"/>
    <n v="41954"/>
    <s v="Shipping Company A"/>
    <s v="Sven Mortensen"/>
    <s v="123 9th Street"/>
    <x v="11"/>
    <s v="UT"/>
    <n v="99999"/>
    <s v="USA"/>
    <s v="Check"/>
    <x v="14"/>
    <x v="9"/>
    <n v="19.5"/>
    <n v="87"/>
    <x v="258"/>
    <n v="174.73950000000002"/>
  </r>
  <r>
    <n v="1339"/>
    <x v="126"/>
    <n v="9"/>
    <x v="12"/>
    <s v="123 9th Street"/>
    <x v="11"/>
    <x v="11"/>
    <n v="99999"/>
    <s v="USA"/>
    <x v="7"/>
    <x v="0"/>
    <n v="41954"/>
    <s v="Shipping Company A"/>
    <s v="Sven Mortensen"/>
    <s v="123 9th Street"/>
    <x v="11"/>
    <s v="UT"/>
    <n v="99999"/>
    <s v="USA"/>
    <s v="Check"/>
    <x v="15"/>
    <x v="10"/>
    <n v="34.799999999999997"/>
    <n v="58"/>
    <x v="259"/>
    <n v="205.8768"/>
  </r>
  <r>
    <n v="1340"/>
    <x v="127"/>
    <n v="6"/>
    <x v="6"/>
    <s v="123 6th Street"/>
    <x v="5"/>
    <x v="5"/>
    <n v="99999"/>
    <s v="USA"/>
    <x v="4"/>
    <x v="2"/>
    <n v="41951"/>
    <s v="Shipping Company B"/>
    <s v="Francisco Pérez-Olaeta"/>
    <s v="123 6th Street"/>
    <x v="5"/>
    <s v="WI"/>
    <n v="99999"/>
    <s v="USA"/>
    <s v="Credit Card"/>
    <x v="0"/>
    <x v="0"/>
    <n v="14"/>
    <n v="85"/>
    <x v="260"/>
    <n v="120.19"/>
  </r>
  <r>
    <n v="1341"/>
    <x v="128"/>
    <n v="8"/>
    <x v="3"/>
    <s v="123 8th Street"/>
    <x v="2"/>
    <x v="2"/>
    <n v="99999"/>
    <s v="USA"/>
    <x v="2"/>
    <x v="2"/>
    <n v="41953"/>
    <s v="Shipping Company B"/>
    <s v="Elizabeth Andersen"/>
    <s v="123 8th Street"/>
    <x v="2"/>
    <s v="OR"/>
    <n v="99999"/>
    <s v="USA"/>
    <s v="Check"/>
    <x v="9"/>
    <x v="5"/>
    <n v="40"/>
    <n v="28"/>
    <x v="139"/>
    <n v="110.88"/>
  </r>
  <r>
    <n v="1342"/>
    <x v="128"/>
    <n v="8"/>
    <x v="3"/>
    <s v="123 8th Street"/>
    <x v="2"/>
    <x v="2"/>
    <n v="99999"/>
    <s v="USA"/>
    <x v="2"/>
    <x v="2"/>
    <d v="2014-11-10T00:00:00"/>
    <s v="Shipping Company B"/>
    <s v="Elizabeth Andersen"/>
    <s v="123 8th Street"/>
    <x v="2"/>
    <s v="OR"/>
    <n v="99999"/>
    <s v="USA"/>
    <s v="Check"/>
    <x v="6"/>
    <x v="2"/>
    <n v="9.1999999999999993"/>
    <n v="19"/>
    <x v="261"/>
    <n v="17.130400000000002"/>
  </r>
  <r>
    <n v="1343"/>
    <x v="129"/>
    <n v="25"/>
    <x v="13"/>
    <s v="789 25th Street"/>
    <x v="7"/>
    <x v="7"/>
    <n v="99999"/>
    <s v="USA"/>
    <x v="6"/>
    <x v="1"/>
    <d v="2014-11-27T00:00:00"/>
    <s v="Shipping Company A"/>
    <s v="John Rodman"/>
    <s v="789 25th Street"/>
    <x v="7"/>
    <s v="IL"/>
    <n v="99999"/>
    <s v="USA"/>
    <s v="Cash"/>
    <x v="21"/>
    <x v="2"/>
    <n v="10"/>
    <n v="99"/>
    <x v="82"/>
    <n v="102.96000000000001"/>
  </r>
  <r>
    <n v="1344"/>
    <x v="130"/>
    <n v="26"/>
    <x v="14"/>
    <s v="789 26th Street"/>
    <x v="9"/>
    <x v="9"/>
    <n v="99999"/>
    <s v="USA"/>
    <x v="5"/>
    <x v="3"/>
    <d v="2014-11-28T00:00:00"/>
    <s v="Shipping Company C"/>
    <s v="Run Liu"/>
    <s v="789 26th Street"/>
    <x v="9"/>
    <s v="FL"/>
    <n v="99999"/>
    <s v="USA"/>
    <s v="Credit Card"/>
    <x v="22"/>
    <x v="13"/>
    <n v="21.35"/>
    <n v="69"/>
    <x v="262"/>
    <n v="153.20760000000004"/>
  </r>
  <r>
    <n v="1345"/>
    <x v="130"/>
    <n v="26"/>
    <x v="14"/>
    <s v="789 26th Street"/>
    <x v="9"/>
    <x v="9"/>
    <n v="99999"/>
    <s v="USA"/>
    <x v="5"/>
    <x v="3"/>
    <d v="2014-11-28T00:00:00"/>
    <s v="Shipping Company C"/>
    <s v="Run Liu"/>
    <s v="789 26th Street"/>
    <x v="9"/>
    <s v="FL"/>
    <n v="99999"/>
    <s v="USA"/>
    <s v="Credit Card"/>
    <x v="8"/>
    <x v="4"/>
    <n v="9.65"/>
    <n v="37"/>
    <x v="263"/>
    <n v="33.919750000000001"/>
  </r>
  <r>
    <n v="1346"/>
    <x v="130"/>
    <n v="26"/>
    <x v="14"/>
    <s v="789 26th Street"/>
    <x v="9"/>
    <x v="9"/>
    <n v="99999"/>
    <s v="USA"/>
    <x v="5"/>
    <x v="3"/>
    <d v="2014-11-28T00:00:00"/>
    <s v="Shipping Company C"/>
    <s v="Run Liu"/>
    <s v="789 26th Street"/>
    <x v="9"/>
    <s v="FL"/>
    <n v="99999"/>
    <s v="USA"/>
    <s v="Credit Card"/>
    <x v="13"/>
    <x v="8"/>
    <n v="18.399999999999999"/>
    <n v="64"/>
    <x v="107"/>
    <n v="118.93759999999999"/>
  </r>
  <r>
    <n v="1347"/>
    <x v="131"/>
    <n v="29"/>
    <x v="4"/>
    <s v="789 29th Street"/>
    <x v="3"/>
    <x v="3"/>
    <n v="99999"/>
    <s v="USA"/>
    <x v="3"/>
    <x v="0"/>
    <d v="2014-12-01T00:00:00"/>
    <s v="Shipping Company B"/>
    <s v="Soo Jung Lee"/>
    <s v="789 29th Street"/>
    <x v="3"/>
    <s v="CO"/>
    <n v="99999"/>
    <s v="USA"/>
    <s v="Check"/>
    <x v="0"/>
    <x v="0"/>
    <n v="14"/>
    <n v="38"/>
    <x v="197"/>
    <n v="55.328000000000003"/>
  </r>
  <r>
    <n v="1348"/>
    <x v="127"/>
    <n v="6"/>
    <x v="6"/>
    <s v="123 6th Street"/>
    <x v="5"/>
    <x v="5"/>
    <n v="99999"/>
    <s v="USA"/>
    <x v="4"/>
    <x v="2"/>
    <d v="2014-11-08T00:00:00"/>
    <s v="Shipping Company C"/>
    <s v="Francisco Pérez-Olaeta"/>
    <s v="123 6th Street"/>
    <x v="5"/>
    <s v="WI"/>
    <n v="99999"/>
    <s v="USA"/>
    <s v="Check"/>
    <x v="7"/>
    <x v="3"/>
    <n v="12.75"/>
    <n v="15"/>
    <x v="264"/>
    <n v="18.55125"/>
  </r>
  <r>
    <n v="1350"/>
    <x v="132"/>
    <n v="4"/>
    <x v="1"/>
    <s v="123 4th Street"/>
    <x v="1"/>
    <x v="1"/>
    <n v="99999"/>
    <s v="USA"/>
    <x v="1"/>
    <x v="1"/>
    <d v="2014-11-06T00:00:00"/>
    <s v="Shipping Company A"/>
    <s v="Christina Lee"/>
    <s v="123 4th Street"/>
    <x v="1"/>
    <s v="NY"/>
    <n v="99999"/>
    <s v="USA"/>
    <s v="Credit Card"/>
    <x v="23"/>
    <x v="6"/>
    <n v="81"/>
    <n v="52"/>
    <x v="265"/>
    <n v="412.77600000000001"/>
  </r>
  <r>
    <n v="1351"/>
    <x v="132"/>
    <n v="4"/>
    <x v="1"/>
    <s v="123 4th Street"/>
    <x v="1"/>
    <x v="1"/>
    <n v="99999"/>
    <s v="USA"/>
    <x v="1"/>
    <x v="1"/>
    <d v="2014-11-06T00:00:00"/>
    <s v="Shipping Company A"/>
    <s v="Christina Lee"/>
    <s v="123 4th Street"/>
    <x v="1"/>
    <s v="NY"/>
    <n v="99999"/>
    <s v="USA"/>
    <s v="Credit Card"/>
    <x v="24"/>
    <x v="14"/>
    <n v="7"/>
    <n v="37"/>
    <x v="58"/>
    <n v="25.382000000000001"/>
  </r>
  <r>
    <n v="1353"/>
    <x v="128"/>
    <n v="8"/>
    <x v="3"/>
    <s v="123 8th Street"/>
    <x v="2"/>
    <x v="2"/>
    <n v="99999"/>
    <s v="USA"/>
    <x v="2"/>
    <x v="2"/>
    <d v="2014-11-10T00:00:00"/>
    <s v="Shipping Company C"/>
    <s v="Elizabeth Andersen"/>
    <s v="123 8th Street"/>
    <x v="2"/>
    <s v="OR"/>
    <n v="99999"/>
    <s v="USA"/>
    <s v="Credit Card"/>
    <x v="15"/>
    <x v="10"/>
    <n v="34.799999999999997"/>
    <n v="24"/>
    <x v="266"/>
    <n v="80.179199999999994"/>
  </r>
  <r>
    <n v="1356"/>
    <x v="133"/>
    <n v="3"/>
    <x v="5"/>
    <s v="123 3rd Street"/>
    <x v="4"/>
    <x v="4"/>
    <n v="99999"/>
    <s v="USA"/>
    <x v="0"/>
    <x v="0"/>
    <d v="2014-11-05T00:00:00"/>
    <s v="Shipping Company B"/>
    <s v="Thomas Axerr"/>
    <s v="123 3rd Street"/>
    <x v="4"/>
    <s v="CA"/>
    <n v="99999"/>
    <s v="USA"/>
    <s v="Cash"/>
    <x v="16"/>
    <x v="7"/>
    <n v="10"/>
    <n v="36"/>
    <x v="267"/>
    <n v="37.08"/>
  </r>
  <r>
    <n v="1357"/>
    <x v="133"/>
    <n v="3"/>
    <x v="5"/>
    <s v="123 3rd Street"/>
    <x v="4"/>
    <x v="4"/>
    <n v="99999"/>
    <s v="USA"/>
    <x v="0"/>
    <x v="0"/>
    <d v="2014-11-05T00:00:00"/>
    <s v="Shipping Company B"/>
    <s v="Thomas Axerr"/>
    <s v="123 3rd Street"/>
    <x v="4"/>
    <s v="CA"/>
    <n v="99999"/>
    <s v="USA"/>
    <s v="Cash"/>
    <x v="9"/>
    <x v="5"/>
    <n v="40"/>
    <n v="24"/>
    <x v="268"/>
    <n v="96"/>
  </r>
  <r>
    <n v="1361"/>
    <x v="122"/>
    <n v="10"/>
    <x v="8"/>
    <s v="123 10th Street"/>
    <x v="7"/>
    <x v="7"/>
    <n v="99999"/>
    <s v="USA"/>
    <x v="6"/>
    <x v="1"/>
    <d v="2014-11-12T00:00:00"/>
    <s v="Shipping Company B"/>
    <s v="Roland Wacker"/>
    <s v="123 10th Street"/>
    <x v="7"/>
    <s v="IL"/>
    <n v="99999"/>
    <s v="USA"/>
    <s v="Credit Card"/>
    <x v="18"/>
    <x v="1"/>
    <n v="10"/>
    <n v="20"/>
    <x v="269"/>
    <n v="20"/>
  </r>
  <r>
    <n v="1363"/>
    <x v="122"/>
    <n v="10"/>
    <x v="8"/>
    <s v="123 10th Street"/>
    <x v="7"/>
    <x v="7"/>
    <n v="99999"/>
    <s v="USA"/>
    <x v="6"/>
    <x v="1"/>
    <m/>
    <s v="Shipping Company A"/>
    <s v="Roland Wacker"/>
    <s v="123 10th Street"/>
    <x v="7"/>
    <s v="IL"/>
    <n v="99999"/>
    <s v="USA"/>
    <m/>
    <x v="1"/>
    <x v="1"/>
    <n v="3.5"/>
    <n v="11"/>
    <x v="4"/>
    <n v="3.7345000000000002"/>
  </r>
  <r>
    <n v="1364"/>
    <x v="123"/>
    <n v="11"/>
    <x v="10"/>
    <s v="123 11th Street"/>
    <x v="9"/>
    <x v="9"/>
    <n v="99999"/>
    <s v="USA"/>
    <x v="5"/>
    <x v="3"/>
    <m/>
    <s v="Shipping Company C"/>
    <s v="Peter Krschne"/>
    <s v="123 11th Street"/>
    <x v="9"/>
    <s v="FL"/>
    <n v="99999"/>
    <s v="USA"/>
    <m/>
    <x v="9"/>
    <x v="5"/>
    <n v="40"/>
    <n v="78"/>
    <x v="189"/>
    <n v="299.52"/>
  </r>
  <r>
    <n v="1365"/>
    <x v="124"/>
    <n v="1"/>
    <x v="11"/>
    <s v="123 1st Street"/>
    <x v="10"/>
    <x v="10"/>
    <n v="99999"/>
    <s v="USA"/>
    <x v="2"/>
    <x v="2"/>
    <m/>
    <s v="Shipping Company C"/>
    <s v="Anna Bedecs"/>
    <s v="123 1st Street"/>
    <x v="10"/>
    <s v="WA"/>
    <n v="99999"/>
    <s v="USA"/>
    <m/>
    <x v="13"/>
    <x v="8"/>
    <n v="18.399999999999999"/>
    <n v="76"/>
    <x v="270"/>
    <n v="144.0352"/>
  </r>
  <r>
    <n v="1366"/>
    <x v="125"/>
    <n v="28"/>
    <x v="7"/>
    <s v="789 28th Street"/>
    <x v="6"/>
    <x v="6"/>
    <n v="99999"/>
    <s v="USA"/>
    <x v="5"/>
    <x v="3"/>
    <d v="2014-11-30T00:00:00"/>
    <s v="Shipping Company C"/>
    <s v="Amritansh Raghav"/>
    <s v="789 28th Street"/>
    <x v="6"/>
    <s v="TN"/>
    <n v="99999"/>
    <s v="USA"/>
    <s v="Credit Card"/>
    <x v="5"/>
    <x v="0"/>
    <n v="46"/>
    <n v="57"/>
    <x v="271"/>
    <n v="272.68799999999999"/>
  </r>
  <r>
    <n v="1367"/>
    <x v="126"/>
    <n v="9"/>
    <x v="12"/>
    <s v="123 9th Street"/>
    <x v="11"/>
    <x v="11"/>
    <n v="99999"/>
    <s v="USA"/>
    <x v="7"/>
    <x v="0"/>
    <d v="2014-11-11T00:00:00"/>
    <s v="Shipping Company A"/>
    <s v="Sven Mortensen"/>
    <s v="123 9th Street"/>
    <x v="11"/>
    <s v="UT"/>
    <n v="99999"/>
    <s v="USA"/>
    <s v="Check"/>
    <x v="8"/>
    <x v="4"/>
    <n v="9.65"/>
    <n v="14"/>
    <x v="272"/>
    <n v="12.9696"/>
  </r>
  <r>
    <n v="1368"/>
    <x v="134"/>
    <n v="27"/>
    <x v="0"/>
    <s v="789 27th Street"/>
    <x v="0"/>
    <x v="0"/>
    <n v="99999"/>
    <s v="USA"/>
    <x v="0"/>
    <x v="0"/>
    <d v="2014-12-29T00:00:00"/>
    <s v="Shipping Company B"/>
    <s v="Karen Toh"/>
    <s v="789 27th Street"/>
    <x v="0"/>
    <s v="NV"/>
    <n v="99999"/>
    <s v="USA"/>
    <s v="Check"/>
    <x v="0"/>
    <x v="0"/>
    <n v="14"/>
    <n v="14"/>
    <x v="273"/>
    <n v="19.796000000000003"/>
  </r>
  <r>
    <n v="1369"/>
    <x v="134"/>
    <n v="27"/>
    <x v="0"/>
    <s v="789 27th Street"/>
    <x v="0"/>
    <x v="0"/>
    <n v="99999"/>
    <s v="USA"/>
    <x v="0"/>
    <x v="0"/>
    <d v="2014-12-29T00:00:00"/>
    <s v="Shipping Company B"/>
    <s v="Karen Toh"/>
    <s v="789 27th Street"/>
    <x v="0"/>
    <s v="NV"/>
    <n v="99999"/>
    <s v="USA"/>
    <s v="Check"/>
    <x v="1"/>
    <x v="1"/>
    <n v="3.5"/>
    <n v="70"/>
    <x v="274"/>
    <n v="25.234999999999999"/>
  </r>
  <r>
    <n v="1370"/>
    <x v="135"/>
    <n v="4"/>
    <x v="1"/>
    <s v="123 4th Street"/>
    <x v="1"/>
    <x v="1"/>
    <n v="99999"/>
    <s v="USA"/>
    <x v="1"/>
    <x v="1"/>
    <d v="2014-12-06T00:00:00"/>
    <s v="Shipping Company A"/>
    <s v="Christina Lee"/>
    <s v="123 4th Street"/>
    <x v="1"/>
    <s v="NY"/>
    <n v="99999"/>
    <s v="USA"/>
    <s v="Credit Card"/>
    <x v="2"/>
    <x v="1"/>
    <n v="30"/>
    <n v="100"/>
    <x v="275"/>
    <n v="291"/>
  </r>
  <r>
    <n v="1371"/>
    <x v="135"/>
    <n v="4"/>
    <x v="1"/>
    <s v="123 4th Street"/>
    <x v="1"/>
    <x v="1"/>
    <n v="99999"/>
    <s v="USA"/>
    <x v="1"/>
    <x v="1"/>
    <d v="2014-12-06T00:00:00"/>
    <s v="Shipping Company A"/>
    <s v="Christina Lee"/>
    <s v="123 4th Street"/>
    <x v="1"/>
    <s v="NY"/>
    <n v="99999"/>
    <s v="USA"/>
    <s v="Credit Card"/>
    <x v="3"/>
    <x v="1"/>
    <n v="53"/>
    <n v="27"/>
    <x v="276"/>
    <n v="143.1"/>
  </r>
  <r>
    <n v="1372"/>
    <x v="135"/>
    <n v="4"/>
    <x v="1"/>
    <s v="123 4th Street"/>
    <x v="1"/>
    <x v="1"/>
    <n v="99999"/>
    <s v="USA"/>
    <x v="1"/>
    <x v="1"/>
    <d v="2014-12-06T00:00:00"/>
    <s v="Shipping Company A"/>
    <s v="Christina Lee"/>
    <s v="123 4th Street"/>
    <x v="1"/>
    <s v="NY"/>
    <n v="99999"/>
    <s v="USA"/>
    <s v="Credit Card"/>
    <x v="1"/>
    <x v="1"/>
    <n v="3.5"/>
    <n v="70"/>
    <x v="274"/>
    <n v="24.009999999999998"/>
  </r>
  <r>
    <n v="1373"/>
    <x v="136"/>
    <n v="12"/>
    <x v="2"/>
    <s v="123 12th Street"/>
    <x v="0"/>
    <x v="0"/>
    <n v="99999"/>
    <s v="USA"/>
    <x v="0"/>
    <x v="0"/>
    <d v="2014-12-14T00:00:00"/>
    <s v="Shipping Company B"/>
    <s v="John Edwards"/>
    <s v="123 12th Street"/>
    <x v="0"/>
    <s v="NV"/>
    <n v="99999"/>
    <s v="USA"/>
    <s v="Credit Card"/>
    <x v="4"/>
    <x v="0"/>
    <n v="18"/>
    <n v="57"/>
    <x v="277"/>
    <n v="102.60000000000001"/>
  </r>
  <r>
    <n v="1374"/>
    <x v="136"/>
    <n v="12"/>
    <x v="2"/>
    <s v="123 12th Street"/>
    <x v="0"/>
    <x v="0"/>
    <n v="99999"/>
    <s v="USA"/>
    <x v="0"/>
    <x v="0"/>
    <d v="2014-12-14T00:00:00"/>
    <s v="Shipping Company B"/>
    <s v="John Edwards"/>
    <s v="123 12th Street"/>
    <x v="0"/>
    <s v="NV"/>
    <n v="99999"/>
    <s v="USA"/>
    <s v="Credit Card"/>
    <x v="5"/>
    <x v="0"/>
    <n v="46"/>
    <n v="83"/>
    <x v="278"/>
    <n v="374.16399999999999"/>
  </r>
  <r>
    <n v="1375"/>
    <x v="137"/>
    <n v="8"/>
    <x v="3"/>
    <s v="123 8th Street"/>
    <x v="2"/>
    <x v="2"/>
    <n v="99999"/>
    <s v="USA"/>
    <x v="2"/>
    <x v="2"/>
    <d v="2014-12-10T00:00:00"/>
    <s v="Shipping Company C"/>
    <s v="Elizabeth Andersen"/>
    <s v="123 8th Street"/>
    <x v="2"/>
    <s v="OR"/>
    <n v="99999"/>
    <s v="USA"/>
    <s v="Credit Card"/>
    <x v="6"/>
    <x v="2"/>
    <n v="9.1999999999999993"/>
    <n v="76"/>
    <x v="279"/>
    <n v="67.123199999999997"/>
  </r>
  <r>
    <n v="1376"/>
    <x v="135"/>
    <n v="4"/>
    <x v="1"/>
    <s v="123 4th Street"/>
    <x v="1"/>
    <x v="1"/>
    <n v="99999"/>
    <s v="USA"/>
    <x v="1"/>
    <x v="1"/>
    <n v="41979"/>
    <s v="Shipping Company C"/>
    <s v="Christina Lee"/>
    <s v="123 4th Street"/>
    <x v="1"/>
    <s v="NY"/>
    <n v="99999"/>
    <s v="USA"/>
    <s v="Check"/>
    <x v="6"/>
    <x v="2"/>
    <n v="9.1999999999999993"/>
    <n v="80"/>
    <x v="129"/>
    <n v="72.864000000000004"/>
  </r>
  <r>
    <n v="1377"/>
    <x v="138"/>
    <n v="29"/>
    <x v="4"/>
    <s v="789 29th Street"/>
    <x v="3"/>
    <x v="3"/>
    <n v="99999"/>
    <s v="USA"/>
    <x v="3"/>
    <x v="0"/>
    <n v="42004"/>
    <s v="Shipping Company B"/>
    <s v="Soo Jung Lee"/>
    <s v="789 29th Street"/>
    <x v="3"/>
    <s v="CO"/>
    <n v="99999"/>
    <s v="USA"/>
    <s v="Check"/>
    <x v="7"/>
    <x v="3"/>
    <n v="12.75"/>
    <n v="47"/>
    <x v="13"/>
    <n v="59.325750000000006"/>
  </r>
  <r>
    <n v="1378"/>
    <x v="139"/>
    <n v="3"/>
    <x v="5"/>
    <s v="123 3rd Street"/>
    <x v="4"/>
    <x v="4"/>
    <n v="99999"/>
    <s v="USA"/>
    <x v="0"/>
    <x v="0"/>
    <n v="41978"/>
    <s v="Shipping Company B"/>
    <s v="Thomas Axerr"/>
    <s v="123 3rd Street"/>
    <x v="4"/>
    <s v="CA"/>
    <n v="99999"/>
    <s v="USA"/>
    <s v="Cash"/>
    <x v="8"/>
    <x v="4"/>
    <n v="9.65"/>
    <n v="96"/>
    <x v="280"/>
    <n v="94.492800000000017"/>
  </r>
  <r>
    <n v="1379"/>
    <x v="140"/>
    <n v="6"/>
    <x v="6"/>
    <s v="123 6th Street"/>
    <x v="5"/>
    <x v="5"/>
    <n v="99999"/>
    <s v="USA"/>
    <x v="4"/>
    <x v="2"/>
    <n v="41981"/>
    <s v="Shipping Company B"/>
    <s v="Francisco Pérez-Olaeta"/>
    <s v="123 6th Street"/>
    <x v="5"/>
    <s v="WI"/>
    <n v="99999"/>
    <s v="USA"/>
    <s v="Credit Card"/>
    <x v="9"/>
    <x v="5"/>
    <n v="40"/>
    <n v="32"/>
    <x v="11"/>
    <n v="134.4"/>
  </r>
  <r>
    <n v="1380"/>
    <x v="141"/>
    <n v="28"/>
    <x v="7"/>
    <s v="789 28th Street"/>
    <x v="6"/>
    <x v="6"/>
    <n v="99999"/>
    <s v="USA"/>
    <x v="5"/>
    <x v="3"/>
    <d v="2014-12-30T00:00:00"/>
    <s v="Shipping Company C"/>
    <s v="Amritansh Raghav"/>
    <s v="789 28th Street"/>
    <x v="6"/>
    <s v="TN"/>
    <n v="99999"/>
    <s v="USA"/>
    <s v="Check"/>
    <x v="5"/>
    <x v="0"/>
    <n v="46"/>
    <n v="16"/>
    <x v="129"/>
    <n v="73.600000000000009"/>
  </r>
  <r>
    <n v="1381"/>
    <x v="137"/>
    <n v="8"/>
    <x v="3"/>
    <s v="123 8th Street"/>
    <x v="2"/>
    <x v="2"/>
    <n v="99999"/>
    <s v="USA"/>
    <x v="2"/>
    <x v="2"/>
    <d v="2014-12-10T00:00:00"/>
    <s v="Shipping Company C"/>
    <s v="Elizabeth Andersen"/>
    <s v="123 8th Street"/>
    <x v="2"/>
    <s v="OR"/>
    <n v="99999"/>
    <s v="USA"/>
    <s v="Check"/>
    <x v="7"/>
    <x v="3"/>
    <n v="12.75"/>
    <n v="41"/>
    <x v="87"/>
    <n v="51.229500000000002"/>
  </r>
  <r>
    <n v="1382"/>
    <x v="142"/>
    <n v="10"/>
    <x v="8"/>
    <s v="123 10th Street"/>
    <x v="7"/>
    <x v="7"/>
    <n v="99999"/>
    <s v="USA"/>
    <x v="6"/>
    <x v="1"/>
    <d v="2014-12-12T00:00:00"/>
    <s v="Shipping Company B"/>
    <s v="Roland Wacker"/>
    <s v="123 10th Street"/>
    <x v="7"/>
    <s v="IL"/>
    <n v="99999"/>
    <s v="USA"/>
    <s v="Credit Card"/>
    <x v="10"/>
    <x v="0"/>
    <n v="2.99"/>
    <n v="41"/>
    <x v="281"/>
    <n v="12.871950000000002"/>
  </r>
  <r>
    <n v="1383"/>
    <x v="143"/>
    <n v="7"/>
    <x v="9"/>
    <s v="123 7th Street"/>
    <x v="8"/>
    <x v="8"/>
    <n v="99999"/>
    <s v="USA"/>
    <x v="2"/>
    <x v="2"/>
    <m/>
    <m/>
    <s v="Ming-Yang Xie"/>
    <s v="123 7th Street"/>
    <x v="8"/>
    <s v="ID"/>
    <n v="99999"/>
    <s v="USA"/>
    <m/>
    <x v="5"/>
    <x v="0"/>
    <n v="46"/>
    <n v="41"/>
    <x v="282"/>
    <n v="194.25800000000004"/>
  </r>
  <r>
    <n v="1384"/>
    <x v="142"/>
    <n v="10"/>
    <x v="8"/>
    <s v="123 10th Street"/>
    <x v="7"/>
    <x v="7"/>
    <n v="99999"/>
    <s v="USA"/>
    <x v="6"/>
    <x v="1"/>
    <d v="2014-12-12T00:00:00"/>
    <s v="Shipping Company A"/>
    <s v="Roland Wacker"/>
    <s v="123 10th Street"/>
    <x v="7"/>
    <s v="IL"/>
    <n v="99999"/>
    <s v="USA"/>
    <m/>
    <x v="11"/>
    <x v="6"/>
    <n v="25"/>
    <n v="94"/>
    <x v="283"/>
    <n v="235"/>
  </r>
  <r>
    <n v="1385"/>
    <x v="142"/>
    <n v="10"/>
    <x v="8"/>
    <s v="123 10th Street"/>
    <x v="7"/>
    <x v="7"/>
    <n v="99999"/>
    <s v="USA"/>
    <x v="6"/>
    <x v="1"/>
    <d v="2014-12-12T00:00:00"/>
    <s v="Shipping Company A"/>
    <s v="Roland Wacker"/>
    <s v="123 10th Street"/>
    <x v="7"/>
    <s v="IL"/>
    <n v="99999"/>
    <s v="USA"/>
    <m/>
    <x v="12"/>
    <x v="7"/>
    <n v="22"/>
    <n v="20"/>
    <x v="284"/>
    <n v="46.2"/>
  </r>
  <r>
    <n v="1386"/>
    <x v="142"/>
    <n v="10"/>
    <x v="8"/>
    <s v="123 10th Street"/>
    <x v="7"/>
    <x v="7"/>
    <n v="99999"/>
    <s v="USA"/>
    <x v="6"/>
    <x v="1"/>
    <n v="41985"/>
    <s v="Shipping Company A"/>
    <s v="Roland Wacker"/>
    <s v="123 10th Street"/>
    <x v="7"/>
    <s v="IL"/>
    <n v="99999"/>
    <s v="USA"/>
    <m/>
    <x v="6"/>
    <x v="2"/>
    <n v="9.1999999999999993"/>
    <n v="13"/>
    <x v="285"/>
    <n v="12.438400000000001"/>
  </r>
  <r>
    <n v="1387"/>
    <x v="144"/>
    <n v="11"/>
    <x v="10"/>
    <s v="123 11th Street"/>
    <x v="9"/>
    <x v="9"/>
    <n v="99999"/>
    <s v="USA"/>
    <x v="5"/>
    <x v="3"/>
    <m/>
    <s v="Shipping Company C"/>
    <s v="Peter Krschne"/>
    <s v="123 11th Street"/>
    <x v="9"/>
    <s v="FL"/>
    <n v="99999"/>
    <s v="USA"/>
    <m/>
    <x v="1"/>
    <x v="1"/>
    <n v="3.5"/>
    <n v="74"/>
    <x v="58"/>
    <n v="26.936000000000003"/>
  </r>
  <r>
    <n v="1388"/>
    <x v="144"/>
    <n v="11"/>
    <x v="10"/>
    <s v="123 11th Street"/>
    <x v="9"/>
    <x v="9"/>
    <n v="99999"/>
    <s v="USA"/>
    <x v="5"/>
    <x v="3"/>
    <m/>
    <s v="Shipping Company C"/>
    <s v="Peter Krschne"/>
    <s v="123 11th Street"/>
    <x v="9"/>
    <s v="FL"/>
    <n v="99999"/>
    <s v="USA"/>
    <m/>
    <x v="10"/>
    <x v="0"/>
    <n v="2.99"/>
    <n v="53"/>
    <x v="286"/>
    <n v="16.005470000000003"/>
  </r>
  <r>
    <n v="1389"/>
    <x v="145"/>
    <n v="1"/>
    <x v="11"/>
    <s v="123 1st Street"/>
    <x v="10"/>
    <x v="10"/>
    <n v="99999"/>
    <s v="USA"/>
    <x v="2"/>
    <x v="2"/>
    <m/>
    <m/>
    <s v="Anna Bedecs"/>
    <s v="123 1st Street"/>
    <x v="10"/>
    <s v="WA"/>
    <n v="99999"/>
    <s v="USA"/>
    <m/>
    <x v="4"/>
    <x v="0"/>
    <n v="18"/>
    <n v="99"/>
    <x v="287"/>
    <n v="174.63600000000002"/>
  </r>
  <r>
    <n v="1390"/>
    <x v="145"/>
    <n v="1"/>
    <x v="11"/>
    <s v="123 1st Street"/>
    <x v="10"/>
    <x v="10"/>
    <n v="99999"/>
    <s v="USA"/>
    <x v="2"/>
    <x v="2"/>
    <m/>
    <m/>
    <s v="Anna Bedecs"/>
    <s v="123 1st Street"/>
    <x v="10"/>
    <s v="WA"/>
    <n v="99999"/>
    <s v="USA"/>
    <m/>
    <x v="5"/>
    <x v="0"/>
    <n v="46"/>
    <n v="89"/>
    <x v="288"/>
    <n v="388.93"/>
  </r>
  <r>
    <n v="1391"/>
    <x v="145"/>
    <n v="1"/>
    <x v="11"/>
    <s v="123 1st Street"/>
    <x v="10"/>
    <x v="10"/>
    <n v="99999"/>
    <s v="USA"/>
    <x v="2"/>
    <x v="2"/>
    <m/>
    <m/>
    <s v="Anna Bedecs"/>
    <s v="123 1st Street"/>
    <x v="10"/>
    <s v="WA"/>
    <n v="99999"/>
    <s v="USA"/>
    <m/>
    <x v="10"/>
    <x v="0"/>
    <n v="2.99"/>
    <n v="64"/>
    <x v="200"/>
    <n v="19.518720000000002"/>
  </r>
  <r>
    <n v="1392"/>
    <x v="141"/>
    <n v="28"/>
    <x v="7"/>
    <s v="789 28th Street"/>
    <x v="6"/>
    <x v="6"/>
    <n v="99999"/>
    <s v="USA"/>
    <x v="5"/>
    <x v="3"/>
    <d v="2014-12-30T00:00:00"/>
    <s v="Shipping Company C"/>
    <s v="Amritansh Raghav"/>
    <s v="789 28th Street"/>
    <x v="6"/>
    <s v="TN"/>
    <n v="99999"/>
    <s v="USA"/>
    <s v="Credit Card"/>
    <x v="8"/>
    <x v="4"/>
    <n v="9.65"/>
    <n v="98"/>
    <x v="289"/>
    <n v="96.461400000000012"/>
  </r>
  <r>
    <n v="1393"/>
    <x v="141"/>
    <n v="28"/>
    <x v="7"/>
    <s v="789 28th Street"/>
    <x v="6"/>
    <x v="6"/>
    <n v="99999"/>
    <s v="USA"/>
    <x v="5"/>
    <x v="3"/>
    <d v="2014-12-30T00:00:00"/>
    <s v="Shipping Company C"/>
    <s v="Amritansh Raghav"/>
    <s v="789 28th Street"/>
    <x v="6"/>
    <s v="TN"/>
    <n v="99999"/>
    <s v="USA"/>
    <s v="Credit Card"/>
    <x v="13"/>
    <x v="8"/>
    <n v="18.399999999999999"/>
    <n v="86"/>
    <x v="290"/>
    <n v="155.0752"/>
  </r>
  <r>
    <n v="1394"/>
    <x v="146"/>
    <n v="9"/>
    <x v="12"/>
    <s v="123 9th Street"/>
    <x v="11"/>
    <x v="11"/>
    <n v="99999"/>
    <s v="USA"/>
    <x v="7"/>
    <x v="0"/>
    <d v="2014-12-11T00:00:00"/>
    <s v="Shipping Company A"/>
    <s v="Sven Mortensen"/>
    <s v="123 9th Street"/>
    <x v="11"/>
    <s v="UT"/>
    <n v="99999"/>
    <s v="USA"/>
    <s v="Check"/>
    <x v="14"/>
    <x v="9"/>
    <n v="19.5"/>
    <n v="20"/>
    <x v="291"/>
    <n v="40.950000000000003"/>
  </r>
  <r>
    <n v="1395"/>
    <x v="146"/>
    <n v="9"/>
    <x v="12"/>
    <s v="123 9th Street"/>
    <x v="11"/>
    <x v="11"/>
    <n v="99999"/>
    <s v="USA"/>
    <x v="7"/>
    <x v="0"/>
    <d v="2014-12-11T00:00:00"/>
    <s v="Shipping Company A"/>
    <s v="Sven Mortensen"/>
    <s v="123 9th Street"/>
    <x v="11"/>
    <s v="UT"/>
    <n v="99999"/>
    <s v="USA"/>
    <s v="Check"/>
    <x v="15"/>
    <x v="10"/>
    <n v="34.799999999999997"/>
    <n v="69"/>
    <x v="292"/>
    <n v="240.12"/>
  </r>
  <r>
    <n v="1396"/>
    <x v="140"/>
    <n v="6"/>
    <x v="6"/>
    <s v="123 6th Street"/>
    <x v="5"/>
    <x v="5"/>
    <n v="99999"/>
    <s v="USA"/>
    <x v="4"/>
    <x v="2"/>
    <d v="2014-12-08T00:00:00"/>
    <s v="Shipping Company B"/>
    <s v="Francisco Pérez-Olaeta"/>
    <s v="123 6th Street"/>
    <x v="5"/>
    <s v="WI"/>
    <n v="99999"/>
    <s v="USA"/>
    <s v="Credit Card"/>
    <x v="0"/>
    <x v="0"/>
    <n v="14"/>
    <n v="68"/>
    <x v="293"/>
    <n v="91.391999999999996"/>
  </r>
  <r>
    <n v="1397"/>
    <x v="137"/>
    <n v="8"/>
    <x v="3"/>
    <s v="123 8th Street"/>
    <x v="2"/>
    <x v="2"/>
    <n v="99999"/>
    <s v="USA"/>
    <x v="2"/>
    <x v="2"/>
    <d v="2014-12-10T00:00:00"/>
    <s v="Shipping Company B"/>
    <s v="Elizabeth Andersen"/>
    <s v="123 8th Street"/>
    <x v="2"/>
    <s v="OR"/>
    <n v="99999"/>
    <s v="USA"/>
    <s v="Check"/>
    <x v="9"/>
    <x v="5"/>
    <n v="40"/>
    <n v="52"/>
    <x v="294"/>
    <n v="203.84"/>
  </r>
  <r>
    <n v="1398"/>
    <x v="137"/>
    <n v="8"/>
    <x v="3"/>
    <s v="123 8th Street"/>
    <x v="2"/>
    <x v="2"/>
    <n v="99999"/>
    <s v="USA"/>
    <x v="2"/>
    <x v="2"/>
    <d v="2014-12-10T00:00:00"/>
    <s v="Shipping Company B"/>
    <s v="Elizabeth Andersen"/>
    <s v="123 8th Street"/>
    <x v="2"/>
    <s v="OR"/>
    <n v="99999"/>
    <s v="USA"/>
    <s v="Check"/>
    <x v="6"/>
    <x v="2"/>
    <n v="9.1999999999999993"/>
    <n v="40"/>
    <x v="295"/>
    <n v="38.640000000000008"/>
  </r>
  <r>
    <n v="1399"/>
    <x v="147"/>
    <n v="25"/>
    <x v="13"/>
    <s v="789 25th Street"/>
    <x v="7"/>
    <x v="7"/>
    <n v="99999"/>
    <s v="USA"/>
    <x v="6"/>
    <x v="1"/>
    <d v="2014-12-27T00:00:00"/>
    <s v="Shipping Company A"/>
    <s v="John Rodman"/>
    <s v="789 25th Street"/>
    <x v="7"/>
    <s v="IL"/>
    <n v="99999"/>
    <s v="USA"/>
    <s v="Cash"/>
    <x v="21"/>
    <x v="2"/>
    <n v="10"/>
    <n v="100"/>
    <x v="116"/>
    <n v="98"/>
  </r>
  <r>
    <n v="1400"/>
    <x v="148"/>
    <n v="26"/>
    <x v="14"/>
    <s v="789 26th Street"/>
    <x v="9"/>
    <x v="9"/>
    <n v="99999"/>
    <s v="USA"/>
    <x v="5"/>
    <x v="3"/>
    <d v="2014-12-28T00:00:00"/>
    <s v="Shipping Company C"/>
    <s v="Run Liu"/>
    <s v="789 26th Street"/>
    <x v="9"/>
    <s v="FL"/>
    <n v="99999"/>
    <s v="USA"/>
    <s v="Credit Card"/>
    <x v="22"/>
    <x v="13"/>
    <n v="21.35"/>
    <n v="88"/>
    <x v="296"/>
    <n v="184.12240000000003"/>
  </r>
  <r>
    <n v="1401"/>
    <x v="148"/>
    <n v="26"/>
    <x v="14"/>
    <s v="789 26th Street"/>
    <x v="9"/>
    <x v="9"/>
    <n v="99999"/>
    <s v="USA"/>
    <x v="5"/>
    <x v="3"/>
    <d v="2014-12-28T00:00:00"/>
    <s v="Shipping Company C"/>
    <s v="Run Liu"/>
    <s v="789 26th Street"/>
    <x v="9"/>
    <s v="FL"/>
    <n v="99999"/>
    <s v="USA"/>
    <s v="Credit Card"/>
    <x v="8"/>
    <x v="4"/>
    <n v="9.65"/>
    <n v="46"/>
    <x v="256"/>
    <n v="42.614400000000003"/>
  </r>
  <r>
    <n v="1402"/>
    <x v="148"/>
    <n v="26"/>
    <x v="14"/>
    <s v="789 26th Street"/>
    <x v="9"/>
    <x v="9"/>
    <n v="99999"/>
    <s v="USA"/>
    <x v="5"/>
    <x v="3"/>
    <d v="2014-12-28T00:00:00"/>
    <s v="Shipping Company C"/>
    <s v="Run Liu"/>
    <s v="789 26th Street"/>
    <x v="9"/>
    <s v="FL"/>
    <n v="99999"/>
    <s v="USA"/>
    <s v="Credit Card"/>
    <x v="13"/>
    <x v="8"/>
    <n v="18.399999999999999"/>
    <n v="93"/>
    <x v="297"/>
    <n v="167.69759999999999"/>
  </r>
  <r>
    <n v="1403"/>
    <x v="138"/>
    <n v="29"/>
    <x v="4"/>
    <s v="789 29th Street"/>
    <x v="3"/>
    <x v="3"/>
    <n v="99999"/>
    <s v="USA"/>
    <x v="3"/>
    <x v="0"/>
    <d v="2014-12-31T00:00:00"/>
    <s v="Shipping Company B"/>
    <s v="Soo Jung Lee"/>
    <s v="789 29th Street"/>
    <x v="3"/>
    <s v="CO"/>
    <n v="99999"/>
    <s v="USA"/>
    <s v="Check"/>
    <x v="0"/>
    <x v="0"/>
    <n v="14"/>
    <n v="96"/>
    <x v="298"/>
    <n v="141.12"/>
  </r>
  <r>
    <n v="1404"/>
    <x v="140"/>
    <n v="6"/>
    <x v="6"/>
    <s v="123 6th Street"/>
    <x v="5"/>
    <x v="5"/>
    <n v="99999"/>
    <s v="USA"/>
    <x v="4"/>
    <x v="2"/>
    <d v="2014-12-08T00:00:00"/>
    <s v="Shipping Company C"/>
    <s v="Francisco Pérez-Olaeta"/>
    <s v="123 6th Street"/>
    <x v="5"/>
    <s v="WI"/>
    <n v="99999"/>
    <s v="USA"/>
    <s v="Check"/>
    <x v="7"/>
    <x v="3"/>
    <n v="12.75"/>
    <n v="12"/>
    <x v="299"/>
    <n v="16.065000000000001"/>
  </r>
  <r>
    <n v="1406"/>
    <x v="135"/>
    <n v="4"/>
    <x v="1"/>
    <s v="123 4th Street"/>
    <x v="1"/>
    <x v="1"/>
    <n v="99999"/>
    <s v="USA"/>
    <x v="1"/>
    <x v="1"/>
    <d v="2014-12-06T00:00:00"/>
    <s v="Shipping Company A"/>
    <s v="Christina Lee"/>
    <s v="123 4th Street"/>
    <x v="1"/>
    <s v="NY"/>
    <n v="99999"/>
    <s v="USA"/>
    <s v="Credit Card"/>
    <x v="23"/>
    <x v="6"/>
    <n v="81"/>
    <n v="38"/>
    <x v="300"/>
    <n v="292.41000000000003"/>
  </r>
  <r>
    <n v="1407"/>
    <x v="135"/>
    <n v="4"/>
    <x v="1"/>
    <s v="123 4th Street"/>
    <x v="1"/>
    <x v="1"/>
    <n v="99999"/>
    <s v="USA"/>
    <x v="1"/>
    <x v="1"/>
    <d v="2014-12-06T00:00:00"/>
    <s v="Shipping Company A"/>
    <s v="Christina Lee"/>
    <s v="123 4th Street"/>
    <x v="1"/>
    <s v="NY"/>
    <n v="99999"/>
    <s v="USA"/>
    <s v="Credit Card"/>
    <x v="24"/>
    <x v="14"/>
    <n v="7"/>
    <n v="42"/>
    <x v="108"/>
    <n v="29.106000000000002"/>
  </r>
  <r>
    <n v="1409"/>
    <x v="137"/>
    <n v="8"/>
    <x v="3"/>
    <s v="123 8th Street"/>
    <x v="2"/>
    <x v="2"/>
    <n v="99999"/>
    <s v="USA"/>
    <x v="2"/>
    <x v="2"/>
    <d v="2014-12-10T00:00:00"/>
    <s v="Shipping Company C"/>
    <s v="Elizabeth Andersen"/>
    <s v="123 8th Street"/>
    <x v="2"/>
    <s v="OR"/>
    <n v="99999"/>
    <s v="USA"/>
    <s v="Credit Card"/>
    <x v="15"/>
    <x v="10"/>
    <n v="34.799999999999997"/>
    <n v="100"/>
    <x v="301"/>
    <n v="344.52"/>
  </r>
  <r>
    <n v="1412"/>
    <x v="139"/>
    <n v="3"/>
    <x v="5"/>
    <s v="123 3rd Street"/>
    <x v="4"/>
    <x v="4"/>
    <n v="99999"/>
    <s v="USA"/>
    <x v="0"/>
    <x v="0"/>
    <d v="2014-12-05T00:00:00"/>
    <s v="Shipping Company B"/>
    <s v="Thomas Axerr"/>
    <s v="123 3rd Street"/>
    <x v="4"/>
    <s v="CA"/>
    <n v="99999"/>
    <s v="USA"/>
    <s v="Cash"/>
    <x v="16"/>
    <x v="7"/>
    <n v="10"/>
    <n v="89"/>
    <x v="302"/>
    <n v="87.22"/>
  </r>
  <r>
    <n v="1413"/>
    <x v="139"/>
    <n v="3"/>
    <x v="5"/>
    <s v="123 3rd Street"/>
    <x v="4"/>
    <x v="4"/>
    <n v="99999"/>
    <s v="USA"/>
    <x v="0"/>
    <x v="0"/>
    <d v="2014-12-05T00:00:00"/>
    <s v="Shipping Company B"/>
    <s v="Thomas Axerr"/>
    <s v="123 3rd Street"/>
    <x v="4"/>
    <s v="CA"/>
    <n v="99999"/>
    <s v="USA"/>
    <s v="Cash"/>
    <x v="9"/>
    <x v="5"/>
    <n v="40"/>
    <n v="12"/>
    <x v="60"/>
    <n v="46.56"/>
  </r>
  <r>
    <n v="1417"/>
    <x v="142"/>
    <n v="10"/>
    <x v="8"/>
    <s v="123 10th Street"/>
    <x v="7"/>
    <x v="7"/>
    <n v="99999"/>
    <s v="USA"/>
    <x v="6"/>
    <x v="1"/>
    <d v="2014-12-12T00:00:00"/>
    <s v="Shipping Company B"/>
    <s v="Roland Wacker"/>
    <s v="123 10th Street"/>
    <x v="7"/>
    <s v="IL"/>
    <n v="99999"/>
    <s v="USA"/>
    <s v="Credit Card"/>
    <x v="18"/>
    <x v="1"/>
    <n v="10"/>
    <n v="97"/>
    <x v="303"/>
    <n v="100.88000000000001"/>
  </r>
  <r>
    <n v="1419"/>
    <x v="142"/>
    <n v="10"/>
    <x v="8"/>
    <s v="123 10th Street"/>
    <x v="7"/>
    <x v="7"/>
    <n v="99999"/>
    <s v="USA"/>
    <x v="6"/>
    <x v="1"/>
    <m/>
    <s v="Shipping Company A"/>
    <s v="Roland Wacker"/>
    <s v="123 10th Street"/>
    <x v="7"/>
    <s v="IL"/>
    <n v="99999"/>
    <s v="USA"/>
    <m/>
    <x v="1"/>
    <x v="1"/>
    <n v="3.5"/>
    <n v="53"/>
    <x v="304"/>
    <n v="17.622499999999999"/>
  </r>
  <r>
    <n v="1420"/>
    <x v="144"/>
    <n v="11"/>
    <x v="10"/>
    <s v="123 11th Street"/>
    <x v="9"/>
    <x v="9"/>
    <n v="99999"/>
    <s v="USA"/>
    <x v="5"/>
    <x v="3"/>
    <m/>
    <s v="Shipping Company C"/>
    <s v="Peter Krschne"/>
    <s v="123 11th Street"/>
    <x v="9"/>
    <s v="FL"/>
    <n v="99999"/>
    <s v="USA"/>
    <m/>
    <x v="9"/>
    <x v="5"/>
    <n v="40"/>
    <n v="61"/>
    <x v="305"/>
    <n v="248.88"/>
  </r>
  <r>
    <n v="1421"/>
    <x v="145"/>
    <n v="1"/>
    <x v="11"/>
    <s v="123 1st Street"/>
    <x v="10"/>
    <x v="10"/>
    <n v="99999"/>
    <s v="USA"/>
    <x v="2"/>
    <x v="2"/>
    <m/>
    <s v="Shipping Company C"/>
    <s v="Anna Bedecs"/>
    <s v="123 1st Street"/>
    <x v="10"/>
    <s v="WA"/>
    <n v="99999"/>
    <s v="USA"/>
    <m/>
    <x v="13"/>
    <x v="8"/>
    <n v="18.399999999999999"/>
    <n v="45"/>
    <x v="306"/>
    <n v="81.143999999999991"/>
  </r>
  <r>
    <n v="1422"/>
    <x v="141"/>
    <n v="28"/>
    <x v="7"/>
    <s v="789 28th Street"/>
    <x v="6"/>
    <x v="6"/>
    <n v="99999"/>
    <s v="USA"/>
    <x v="5"/>
    <x v="3"/>
    <d v="2014-12-30T00:00:00"/>
    <s v="Shipping Company C"/>
    <s v="Amritansh Raghav"/>
    <s v="789 28th Street"/>
    <x v="6"/>
    <s v="TN"/>
    <n v="99999"/>
    <s v="USA"/>
    <s v="Credit Card"/>
    <x v="5"/>
    <x v="0"/>
    <n v="46"/>
    <n v="43"/>
    <x v="307"/>
    <n v="197.8"/>
  </r>
  <r>
    <n v="1423"/>
    <x v="146"/>
    <n v="9"/>
    <x v="12"/>
    <s v="123 9th Street"/>
    <x v="11"/>
    <x v="11"/>
    <n v="99999"/>
    <s v="USA"/>
    <x v="7"/>
    <x v="0"/>
    <d v="2014-12-11T00:00:00"/>
    <s v="Shipping Company A"/>
    <s v="Sven Mortensen"/>
    <s v="123 9th Street"/>
    <x v="11"/>
    <s v="UT"/>
    <n v="99999"/>
    <s v="USA"/>
    <s v="Check"/>
    <x v="8"/>
    <x v="4"/>
    <n v="9.65"/>
    <n v="18"/>
    <x v="308"/>
    <n v="16.5015"/>
  </r>
  <r>
    <n v="1424"/>
    <x v="140"/>
    <n v="6"/>
    <x v="6"/>
    <s v="123 6th Street"/>
    <x v="5"/>
    <x v="5"/>
    <n v="99999"/>
    <s v="USA"/>
    <x v="4"/>
    <x v="2"/>
    <d v="2014-12-08T00:00:00"/>
    <s v="Shipping Company B"/>
    <s v="Francisco Pérez-Olaeta"/>
    <s v="123 6th Street"/>
    <x v="5"/>
    <s v="WI"/>
    <n v="99999"/>
    <s v="USA"/>
    <s v="Credit Card"/>
    <x v="7"/>
    <x v="3"/>
    <n v="12.75"/>
    <n v="41"/>
    <x v="87"/>
    <n v="50.706750000000007"/>
  </r>
  <r>
    <n v="1425"/>
    <x v="137"/>
    <n v="8"/>
    <x v="3"/>
    <s v="123 8th Street"/>
    <x v="2"/>
    <x v="2"/>
    <n v="99999"/>
    <s v="USA"/>
    <x v="2"/>
    <x v="2"/>
    <n v="41983"/>
    <s v="Shipping Company B"/>
    <s v="Elizabeth Andersen"/>
    <s v="123 8th Street"/>
    <x v="2"/>
    <s v="OR"/>
    <n v="99999"/>
    <s v="USA"/>
    <s v="Check"/>
    <x v="7"/>
    <x v="3"/>
    <n v="12.75"/>
    <n v="19"/>
    <x v="109"/>
    <n v="23.982750000000003"/>
  </r>
  <r>
    <n v="1426"/>
    <x v="147"/>
    <n v="25"/>
    <x v="13"/>
    <s v="789 25th Street"/>
    <x v="7"/>
    <x v="7"/>
    <n v="99999"/>
    <s v="USA"/>
    <x v="6"/>
    <x v="1"/>
    <n v="42000"/>
    <s v="Shipping Company A"/>
    <s v="John Rodman"/>
    <s v="789 25th Street"/>
    <x v="7"/>
    <s v="IL"/>
    <n v="99999"/>
    <s v="USA"/>
    <s v="Cash"/>
    <x v="12"/>
    <x v="7"/>
    <n v="22"/>
    <n v="65"/>
    <x v="309"/>
    <n v="138.71"/>
  </r>
  <r>
    <n v="1427"/>
    <x v="148"/>
    <n v="26"/>
    <x v="14"/>
    <s v="789 26th Street"/>
    <x v="9"/>
    <x v="9"/>
    <n v="99999"/>
    <s v="USA"/>
    <x v="5"/>
    <x v="3"/>
    <n v="42001"/>
    <s v="Shipping Company C"/>
    <s v="Run Liu"/>
    <s v="789 26th Street"/>
    <x v="9"/>
    <s v="FL"/>
    <n v="99999"/>
    <s v="USA"/>
    <s v="Credit Card"/>
    <x v="11"/>
    <x v="6"/>
    <n v="25"/>
    <n v="13"/>
    <x v="310"/>
    <n v="32.174999999999997"/>
  </r>
  <r>
    <n v="1428"/>
    <x v="138"/>
    <n v="29"/>
    <x v="4"/>
    <s v="789 29th Street"/>
    <x v="3"/>
    <x v="3"/>
    <n v="99999"/>
    <s v="USA"/>
    <x v="3"/>
    <x v="0"/>
    <n v="42004"/>
    <s v="Shipping Company B"/>
    <s v="Soo Jung Lee"/>
    <s v="789 29th Street"/>
    <x v="3"/>
    <s v="CO"/>
    <n v="99999"/>
    <s v="USA"/>
    <s v="Check"/>
    <x v="19"/>
    <x v="12"/>
    <n v="39"/>
    <n v="54"/>
    <x v="311"/>
    <n v="214.81200000000004"/>
  </r>
  <r>
    <n v="1429"/>
    <x v="140"/>
    <n v="6"/>
    <x v="6"/>
    <s v="123 6th Street"/>
    <x v="5"/>
    <x v="5"/>
    <n v="99999"/>
    <s v="USA"/>
    <x v="4"/>
    <x v="2"/>
    <d v="2014-12-08T00:00:00"/>
    <s v="Shipping Company C"/>
    <s v="Francisco Pérez-Olaeta"/>
    <s v="123 6th Street"/>
    <x v="5"/>
    <s v="WI"/>
    <n v="99999"/>
    <s v="USA"/>
    <s v="Check"/>
    <x v="2"/>
    <x v="1"/>
    <n v="30"/>
    <n v="33"/>
    <x v="82"/>
    <n v="95.039999999999992"/>
  </r>
  <r>
    <n v="1430"/>
    <x v="140"/>
    <n v="6"/>
    <x v="6"/>
    <s v="123 6th Street"/>
    <x v="5"/>
    <x v="5"/>
    <n v="99999"/>
    <s v="USA"/>
    <x v="4"/>
    <x v="2"/>
    <d v="2014-12-08T00:00:00"/>
    <s v="Shipping Company C"/>
    <s v="Francisco Pérez-Olaeta"/>
    <s v="123 6th Street"/>
    <x v="5"/>
    <s v="WI"/>
    <n v="99999"/>
    <s v="USA"/>
    <s v="Check"/>
    <x v="3"/>
    <x v="1"/>
    <n v="53"/>
    <n v="34"/>
    <x v="312"/>
    <n v="185.60600000000002"/>
  </r>
  <r>
    <n v="1431"/>
    <x v="135"/>
    <n v="4"/>
    <x v="1"/>
    <s v="123 4th Street"/>
    <x v="1"/>
    <x v="1"/>
    <n v="99999"/>
    <s v="USA"/>
    <x v="1"/>
    <x v="1"/>
    <m/>
    <m/>
    <s v="Christina Lee"/>
    <s v="123 4th Street"/>
    <x v="1"/>
    <s v="NY"/>
    <n v="99999"/>
    <s v="USA"/>
    <m/>
    <x v="20"/>
    <x v="9"/>
    <n v="38"/>
    <n v="59"/>
    <x v="313"/>
    <n v="226.44200000000001"/>
  </r>
  <r>
    <n v="1432"/>
    <x v="139"/>
    <n v="3"/>
    <x v="5"/>
    <s v="123 3rd Street"/>
    <x v="4"/>
    <x v="4"/>
    <n v="99999"/>
    <s v="USA"/>
    <x v="0"/>
    <x v="0"/>
    <m/>
    <m/>
    <s v="Thomas Axerr"/>
    <s v="123 3rd Street"/>
    <x v="4"/>
    <s v="CA"/>
    <n v="99999"/>
    <s v="USA"/>
    <m/>
    <x v="10"/>
    <x v="0"/>
    <n v="2.99"/>
    <n v="24"/>
    <x v="314"/>
    <n v="7.10424000000000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7B9C81-3871-4FAE-9DF5-388DD8901766}"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B8" firstHeaderRow="1" firstDataRow="1" firstDataCol="1"/>
  <pivotFields count="26">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items count="9">
        <item x="1"/>
        <item x="5"/>
        <item x="3"/>
        <item x="6"/>
        <item x="0"/>
        <item x="4"/>
        <item x="2"/>
        <item x="7"/>
        <item t="default"/>
      </items>
    </pivotField>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6" showAll="0">
      <items count="11">
        <item x="0"/>
        <item x="1"/>
        <item x="2"/>
        <item x="3"/>
        <item x="4"/>
        <item x="5"/>
        <item x="6"/>
        <item x="7"/>
        <item x="8"/>
        <item x="9"/>
        <item t="default"/>
      </items>
    </pivotField>
    <pivotField numFmtId="166" showAll="0"/>
  </pivotFields>
  <rowFields count="1">
    <field x="10"/>
  </rowFields>
  <rowItems count="5">
    <i>
      <x v="1"/>
    </i>
    <i>
      <x/>
    </i>
    <i>
      <x v="2"/>
    </i>
    <i>
      <x v="3"/>
    </i>
    <i t="grand">
      <x/>
    </i>
  </rowItems>
  <colItems count="1">
    <i/>
  </colItems>
  <dataFields count="1">
    <dataField name="Sum of Revenue" fld="24" baseField="0" baseItem="0" numFmtId="167"/>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1"/>
          </reference>
        </references>
      </pivotArea>
    </chartFormat>
    <chartFormat chart="0" format="2">
      <pivotArea type="data" outline="0" fieldPosition="0">
        <references count="2">
          <reference field="4294967294" count="1" selected="0">
            <x v="0"/>
          </reference>
          <reference field="10" count="1" selected="0">
            <x v="0"/>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0" count="1" selected="0">
            <x v="1"/>
          </reference>
        </references>
      </pivotArea>
    </chartFormat>
    <chartFormat chart="4" format="12">
      <pivotArea type="data" outline="0" fieldPosition="0">
        <references count="2">
          <reference field="4294967294" count="1" selected="0">
            <x v="0"/>
          </reference>
          <reference field="10" count="1" selected="0">
            <x v="0"/>
          </reference>
        </references>
      </pivotArea>
    </chartFormat>
    <chartFormat chart="4" format="13">
      <pivotArea type="data" outline="0" fieldPosition="0">
        <references count="2">
          <reference field="4294967294" count="1" selected="0">
            <x v="0"/>
          </reference>
          <reference field="10" count="1" selected="0">
            <x v="2"/>
          </reference>
        </references>
      </pivotArea>
    </chartFormat>
    <chartFormat chart="4" format="14">
      <pivotArea type="data" outline="0" fieldPosition="0">
        <references count="2">
          <reference field="4294967294" count="1" selected="0">
            <x v="0"/>
          </reference>
          <reference field="10" count="1" selected="0">
            <x v="3"/>
          </reference>
        </references>
      </pivotArea>
    </chartFormat>
    <chartFormat chart="8" format="20" series="1">
      <pivotArea type="data" outline="0" fieldPosition="0">
        <references count="1">
          <reference field="4294967294" count="1" selected="0">
            <x v="0"/>
          </reference>
        </references>
      </pivotArea>
    </chartFormat>
    <chartFormat chart="8" format="21">
      <pivotArea type="data" outline="0" fieldPosition="0">
        <references count="2">
          <reference field="4294967294" count="1" selected="0">
            <x v="0"/>
          </reference>
          <reference field="10" count="1" selected="0">
            <x v="1"/>
          </reference>
        </references>
      </pivotArea>
    </chartFormat>
    <chartFormat chart="8" format="22">
      <pivotArea type="data" outline="0" fieldPosition="0">
        <references count="2">
          <reference field="4294967294" count="1" selected="0">
            <x v="0"/>
          </reference>
          <reference field="10" count="1" selected="0">
            <x v="0"/>
          </reference>
        </references>
      </pivotArea>
    </chartFormat>
    <chartFormat chart="8" format="23">
      <pivotArea type="data" outline="0" fieldPosition="0">
        <references count="2">
          <reference field="4294967294" count="1" selected="0">
            <x v="0"/>
          </reference>
          <reference field="10" count="1" selected="0">
            <x v="2"/>
          </reference>
        </references>
      </pivotArea>
    </chartFormat>
    <chartFormat chart="8" format="24">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8758C1-3E96-4424-B078-4FDC39F25714}"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location ref="A3:B12" firstHeaderRow="1" firstDataRow="1" firstDataCol="1"/>
  <pivotFields count="26">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axis="axisRow"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6" showAll="0">
      <items count="11">
        <item x="0"/>
        <item x="1"/>
        <item x="2"/>
        <item x="3"/>
        <item x="4"/>
        <item x="5"/>
        <item x="6"/>
        <item x="7"/>
        <item x="8"/>
        <item x="9"/>
        <item t="default"/>
      </items>
    </pivotField>
    <pivotField numFmtId="166" showAll="0"/>
  </pivotFields>
  <rowFields count="1">
    <field x="9"/>
  </rowFields>
  <rowItems count="9">
    <i>
      <x v="6"/>
    </i>
    <i>
      <x v="1"/>
    </i>
    <i>
      <x/>
    </i>
    <i>
      <x v="4"/>
    </i>
    <i>
      <x v="3"/>
    </i>
    <i>
      <x v="5"/>
    </i>
    <i>
      <x v="7"/>
    </i>
    <i>
      <x v="2"/>
    </i>
    <i t="grand">
      <x/>
    </i>
  </rowItems>
  <colItems count="1">
    <i/>
  </colItems>
  <dataFields count="1">
    <dataField name="Sum of Revenue" fld="24" baseField="0" baseItem="0" numFmtId="167"/>
  </dataFields>
  <chartFormats count="34">
    <chartFormat chart="0" format="0"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0"/>
          </reference>
        </references>
      </pivotArea>
    </chartFormat>
    <chartFormat chart="1" format="10">
      <pivotArea type="data" outline="0" fieldPosition="0">
        <references count="2">
          <reference field="4294967294" count="1" selected="0">
            <x v="0"/>
          </reference>
          <reference field="9" count="1" selected="0">
            <x v="1"/>
          </reference>
        </references>
      </pivotArea>
    </chartFormat>
    <chartFormat chart="1" format="11">
      <pivotArea type="data" outline="0" fieldPosition="0">
        <references count="2">
          <reference field="4294967294" count="1" selected="0">
            <x v="0"/>
          </reference>
          <reference field="9" count="1" selected="0">
            <x v="0"/>
          </reference>
        </references>
      </pivotArea>
    </chartFormat>
    <chartFormat chart="1" format="12">
      <pivotArea type="data" outline="0" fieldPosition="0">
        <references count="2">
          <reference field="4294967294" count="1" selected="0">
            <x v="0"/>
          </reference>
          <reference field="9" count="1" selected="0">
            <x v="4"/>
          </reference>
        </references>
      </pivotArea>
    </chartFormat>
    <chartFormat chart="1" format="13">
      <pivotArea type="data" outline="0" fieldPosition="0">
        <references count="2">
          <reference field="4294967294" count="1" selected="0">
            <x v="0"/>
          </reference>
          <reference field="9" count="1" selected="0">
            <x v="3"/>
          </reference>
        </references>
      </pivotArea>
    </chartFormat>
    <chartFormat chart="1" format="14">
      <pivotArea type="data" outline="0" fieldPosition="0">
        <references count="2">
          <reference field="4294967294" count="1" selected="0">
            <x v="0"/>
          </reference>
          <reference field="9" count="1" selected="0">
            <x v="6"/>
          </reference>
        </references>
      </pivotArea>
    </chartFormat>
    <chartFormat chart="1" format="15">
      <pivotArea type="data" outline="0" fieldPosition="0">
        <references count="2">
          <reference field="4294967294" count="1" selected="0">
            <x v="0"/>
          </reference>
          <reference field="9" count="1" selected="0">
            <x v="5"/>
          </reference>
        </references>
      </pivotArea>
    </chartFormat>
    <chartFormat chart="1" format="16">
      <pivotArea type="data" outline="0" fieldPosition="0">
        <references count="2">
          <reference field="4294967294" count="1" selected="0">
            <x v="0"/>
          </reference>
          <reference field="9" count="1" selected="0">
            <x v="7"/>
          </reference>
        </references>
      </pivotArea>
    </chartFormat>
    <chartFormat chart="1" format="17">
      <pivotArea type="data" outline="0" fieldPosition="0">
        <references count="2">
          <reference field="4294967294" count="1" selected="0">
            <x v="0"/>
          </reference>
          <reference field="9" count="1" selected="0">
            <x v="2"/>
          </reference>
        </references>
      </pivotArea>
    </chartFormat>
    <chartFormat chart="9" format="26" series="1">
      <pivotArea type="data" outline="0" fieldPosition="0">
        <references count="1">
          <reference field="4294967294" count="1" selected="0">
            <x v="0"/>
          </reference>
        </references>
      </pivotArea>
    </chartFormat>
    <chartFormat chart="9" format="27">
      <pivotArea type="data" outline="0" fieldPosition="0">
        <references count="2">
          <reference field="4294967294" count="1" selected="0">
            <x v="0"/>
          </reference>
          <reference field="9" count="1" selected="0">
            <x v="1"/>
          </reference>
        </references>
      </pivotArea>
    </chartFormat>
    <chartFormat chart="9" format="28">
      <pivotArea type="data" outline="0" fieldPosition="0">
        <references count="2">
          <reference field="4294967294" count="1" selected="0">
            <x v="0"/>
          </reference>
          <reference field="9" count="1" selected="0">
            <x v="0"/>
          </reference>
        </references>
      </pivotArea>
    </chartFormat>
    <chartFormat chart="9" format="29">
      <pivotArea type="data" outline="0" fieldPosition="0">
        <references count="2">
          <reference field="4294967294" count="1" selected="0">
            <x v="0"/>
          </reference>
          <reference field="9" count="1" selected="0">
            <x v="4"/>
          </reference>
        </references>
      </pivotArea>
    </chartFormat>
    <chartFormat chart="9" format="30">
      <pivotArea type="data" outline="0" fieldPosition="0">
        <references count="2">
          <reference field="4294967294" count="1" selected="0">
            <x v="0"/>
          </reference>
          <reference field="9" count="1" selected="0">
            <x v="3"/>
          </reference>
        </references>
      </pivotArea>
    </chartFormat>
    <chartFormat chart="9" format="31">
      <pivotArea type="data" outline="0" fieldPosition="0">
        <references count="2">
          <reference field="4294967294" count="1" selected="0">
            <x v="0"/>
          </reference>
          <reference field="9" count="1" selected="0">
            <x v="5"/>
          </reference>
        </references>
      </pivotArea>
    </chartFormat>
    <chartFormat chart="9" format="32">
      <pivotArea type="data" outline="0" fieldPosition="0">
        <references count="2">
          <reference field="4294967294" count="1" selected="0">
            <x v="0"/>
          </reference>
          <reference field="9" count="1" selected="0">
            <x v="7"/>
          </reference>
        </references>
      </pivotArea>
    </chartFormat>
    <chartFormat chart="9" format="33">
      <pivotArea type="data" outline="0" fieldPosition="0">
        <references count="2">
          <reference field="4294967294" count="1" selected="0">
            <x v="0"/>
          </reference>
          <reference field="9" count="1" selected="0">
            <x v="2"/>
          </reference>
        </references>
      </pivotArea>
    </chartFormat>
    <chartFormat chart="12" format="50" series="1">
      <pivotArea type="data" outline="0" fieldPosition="0">
        <references count="1">
          <reference field="4294967294" count="1" selected="0">
            <x v="0"/>
          </reference>
        </references>
      </pivotArea>
    </chartFormat>
    <chartFormat chart="12" format="51">
      <pivotArea type="data" outline="0" fieldPosition="0">
        <references count="2">
          <reference field="4294967294" count="1" selected="0">
            <x v="0"/>
          </reference>
          <reference field="9" count="1" selected="0">
            <x v="1"/>
          </reference>
        </references>
      </pivotArea>
    </chartFormat>
    <chartFormat chart="12" format="52">
      <pivotArea type="data" outline="0" fieldPosition="0">
        <references count="2">
          <reference field="4294967294" count="1" selected="0">
            <x v="0"/>
          </reference>
          <reference field="9" count="1" selected="0">
            <x v="0"/>
          </reference>
        </references>
      </pivotArea>
    </chartFormat>
    <chartFormat chart="12" format="53">
      <pivotArea type="data" outline="0" fieldPosition="0">
        <references count="2">
          <reference field="4294967294" count="1" selected="0">
            <x v="0"/>
          </reference>
          <reference field="9" count="1" selected="0">
            <x v="4"/>
          </reference>
        </references>
      </pivotArea>
    </chartFormat>
    <chartFormat chart="12" format="54">
      <pivotArea type="data" outline="0" fieldPosition="0">
        <references count="2">
          <reference field="4294967294" count="1" selected="0">
            <x v="0"/>
          </reference>
          <reference field="9" count="1" selected="0">
            <x v="3"/>
          </reference>
        </references>
      </pivotArea>
    </chartFormat>
    <chartFormat chart="12" format="55">
      <pivotArea type="data" outline="0" fieldPosition="0">
        <references count="2">
          <reference field="4294967294" count="1" selected="0">
            <x v="0"/>
          </reference>
          <reference field="9" count="1" selected="0">
            <x v="5"/>
          </reference>
        </references>
      </pivotArea>
    </chartFormat>
    <chartFormat chart="12" format="56">
      <pivotArea type="data" outline="0" fieldPosition="0">
        <references count="2">
          <reference field="4294967294" count="1" selected="0">
            <x v="0"/>
          </reference>
          <reference field="9" count="1" selected="0">
            <x v="7"/>
          </reference>
        </references>
      </pivotArea>
    </chartFormat>
    <chartFormat chart="12" format="57">
      <pivotArea type="data" outline="0" fieldPosition="0">
        <references count="2">
          <reference field="4294967294" count="1" selected="0">
            <x v="0"/>
          </reference>
          <reference field="9" count="1" selected="0">
            <x v="2"/>
          </reference>
        </references>
      </pivotArea>
    </chartFormat>
    <chartFormat chart="15" format="58" series="1">
      <pivotArea type="data" outline="0" fieldPosition="0">
        <references count="1">
          <reference field="4294967294" count="1" selected="0">
            <x v="0"/>
          </reference>
        </references>
      </pivotArea>
    </chartFormat>
    <chartFormat chart="15" format="59">
      <pivotArea type="data" outline="0" fieldPosition="0">
        <references count="2">
          <reference field="4294967294" count="1" selected="0">
            <x v="0"/>
          </reference>
          <reference field="9" count="1" selected="0">
            <x v="1"/>
          </reference>
        </references>
      </pivotArea>
    </chartFormat>
    <chartFormat chart="15" format="60">
      <pivotArea type="data" outline="0" fieldPosition="0">
        <references count="2">
          <reference field="4294967294" count="1" selected="0">
            <x v="0"/>
          </reference>
          <reference field="9" count="1" selected="0">
            <x v="0"/>
          </reference>
        </references>
      </pivotArea>
    </chartFormat>
    <chartFormat chart="15" format="61">
      <pivotArea type="data" outline="0" fieldPosition="0">
        <references count="2">
          <reference field="4294967294" count="1" selected="0">
            <x v="0"/>
          </reference>
          <reference field="9" count="1" selected="0">
            <x v="4"/>
          </reference>
        </references>
      </pivotArea>
    </chartFormat>
    <chartFormat chart="15" format="62">
      <pivotArea type="data" outline="0" fieldPosition="0">
        <references count="2">
          <reference field="4294967294" count="1" selected="0">
            <x v="0"/>
          </reference>
          <reference field="9" count="1" selected="0">
            <x v="3"/>
          </reference>
        </references>
      </pivotArea>
    </chartFormat>
    <chartFormat chart="15" format="63">
      <pivotArea type="data" outline="0" fieldPosition="0">
        <references count="2">
          <reference field="4294967294" count="1" selected="0">
            <x v="0"/>
          </reference>
          <reference field="9" count="1" selected="0">
            <x v="5"/>
          </reference>
        </references>
      </pivotArea>
    </chartFormat>
    <chartFormat chart="15" format="64">
      <pivotArea type="data" outline="0" fieldPosition="0">
        <references count="2">
          <reference field="4294967294" count="1" selected="0">
            <x v="0"/>
          </reference>
          <reference field="9" count="1" selected="0">
            <x v="7"/>
          </reference>
        </references>
      </pivotArea>
    </chartFormat>
    <chartFormat chart="15" format="65">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4FB673-408D-4875-AFC4-8F398E5A4D0D}"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B14" firstHeaderRow="1" firstDataRow="1" firstDataCol="1"/>
  <pivotFields count="26">
    <pivotField showAll="0"/>
    <pivotField numFmtId="165" showAll="0">
      <items count="15">
        <item x="0"/>
        <item x="1"/>
        <item x="2"/>
        <item x="3"/>
        <item x="4"/>
        <item x="5"/>
        <item x="6"/>
        <item x="7"/>
        <item x="8"/>
        <item x="9"/>
        <item x="10"/>
        <item x="11"/>
        <item x="12"/>
        <item x="13"/>
        <item t="default"/>
      </items>
    </pivotField>
    <pivotField showAll="0"/>
    <pivotField axis="axisRow" showAll="0" measureFilter="1"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6" showAll="0">
      <items count="11">
        <item x="0"/>
        <item x="1"/>
        <item x="2"/>
        <item x="3"/>
        <item x="4"/>
        <item x="5"/>
        <item x="6"/>
        <item x="7"/>
        <item x="8"/>
        <item x="9"/>
        <item t="default"/>
      </items>
    </pivotField>
    <pivotField numFmtId="166" showAll="0"/>
  </pivotFields>
  <rowFields count="1">
    <field x="3"/>
  </rowFields>
  <rowItems count="11">
    <i>
      <x v="5"/>
    </i>
    <i>
      <x v="8"/>
    </i>
    <i>
      <x v="2"/>
    </i>
    <i>
      <x v="6"/>
    </i>
    <i>
      <x/>
    </i>
    <i>
      <x v="9"/>
    </i>
    <i>
      <x v="10"/>
    </i>
    <i>
      <x v="14"/>
    </i>
    <i>
      <x v="3"/>
    </i>
    <i>
      <x v="11"/>
    </i>
    <i t="grand">
      <x/>
    </i>
  </rowItems>
  <colItems count="1">
    <i/>
  </colItems>
  <dataFields count="1">
    <dataField name="Sum of Revenue" fld="24" baseField="0" baseItem="0" numFmtId="167"/>
  </dataFields>
  <chartFormats count="13">
    <chartFormat chart="0" format="0"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0"/>
          </reference>
        </references>
      </pivotArea>
    </chartFormat>
    <chartFormat chart="6" format="18" series="1">
      <pivotArea type="data" outline="0" fieldPosition="0">
        <references count="1">
          <reference field="4294967294" count="1" selected="0">
            <x v="0"/>
          </reference>
        </references>
      </pivotArea>
    </chartFormat>
    <chartFormat chart="6" format="26">
      <pivotArea type="data" outline="0" fieldPosition="0">
        <references count="2">
          <reference field="4294967294" count="1" selected="0">
            <x v="0"/>
          </reference>
          <reference field="3" count="1" selected="0">
            <x v="5"/>
          </reference>
        </references>
      </pivotArea>
    </chartFormat>
    <chartFormat chart="6" format="27">
      <pivotArea type="data" outline="0" fieldPosition="0">
        <references count="2">
          <reference field="4294967294" count="1" selected="0">
            <x v="0"/>
          </reference>
          <reference field="3" count="1" selected="0">
            <x v="8"/>
          </reference>
        </references>
      </pivotArea>
    </chartFormat>
    <chartFormat chart="6" format="28">
      <pivotArea type="data" outline="0" fieldPosition="0">
        <references count="2">
          <reference field="4294967294" count="1" selected="0">
            <x v="0"/>
          </reference>
          <reference field="3" count="1" selected="0">
            <x v="2"/>
          </reference>
        </references>
      </pivotArea>
    </chartFormat>
    <chartFormat chart="6" format="29">
      <pivotArea type="data" outline="0" fieldPosition="0">
        <references count="2">
          <reference field="4294967294" count="1" selected="0">
            <x v="0"/>
          </reference>
          <reference field="3" count="1" selected="0">
            <x v="6"/>
          </reference>
        </references>
      </pivotArea>
    </chartFormat>
    <chartFormat chart="6" format="30">
      <pivotArea type="data" outline="0" fieldPosition="0">
        <references count="2">
          <reference field="4294967294" count="1" selected="0">
            <x v="0"/>
          </reference>
          <reference field="3" count="1" selected="0">
            <x v="0"/>
          </reference>
        </references>
      </pivotArea>
    </chartFormat>
    <chartFormat chart="6" format="31">
      <pivotArea type="data" outline="0" fieldPosition="0">
        <references count="2">
          <reference field="4294967294" count="1" selected="0">
            <x v="0"/>
          </reference>
          <reference field="3" count="1" selected="0">
            <x v="9"/>
          </reference>
        </references>
      </pivotArea>
    </chartFormat>
    <chartFormat chart="6" format="32">
      <pivotArea type="data" outline="0" fieldPosition="0">
        <references count="2">
          <reference field="4294967294" count="1" selected="0">
            <x v="0"/>
          </reference>
          <reference field="3" count="1" selected="0">
            <x v="10"/>
          </reference>
        </references>
      </pivotArea>
    </chartFormat>
    <chartFormat chart="6" format="33">
      <pivotArea type="data" outline="0" fieldPosition="0">
        <references count="2">
          <reference field="4294967294" count="1" selected="0">
            <x v="0"/>
          </reference>
          <reference field="3" count="1" selected="0">
            <x v="14"/>
          </reference>
        </references>
      </pivotArea>
    </chartFormat>
    <chartFormat chart="6" format="34">
      <pivotArea type="data" outline="0" fieldPosition="0">
        <references count="2">
          <reference field="4294967294" count="1" selected="0">
            <x v="0"/>
          </reference>
          <reference field="3" count="1" selected="0">
            <x v="3"/>
          </reference>
        </references>
      </pivotArea>
    </chartFormat>
    <chartFormat chart="6" format="35">
      <pivotArea type="data" outline="0" fieldPosition="0">
        <references count="2">
          <reference field="4294967294" count="1" selected="0">
            <x v="0"/>
          </reference>
          <reference field="3" count="1" selected="0">
            <x v="11"/>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9F52A6-DF69-48A3-94CB-FA187CF235B3}"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5">
  <location ref="A3:B16" firstHeaderRow="1" firstDataRow="1" firstDataCol="1"/>
  <pivotFields count="26">
    <pivotField showAll="0"/>
    <pivotField axis="axisRow" numFmtId="165" showAll="0">
      <items count="15">
        <item x="0"/>
        <item x="1"/>
        <item x="2"/>
        <item x="3"/>
        <item x="4"/>
        <item x="5"/>
        <item x="6"/>
        <item x="7"/>
        <item x="8"/>
        <item x="9"/>
        <item x="10"/>
        <item x="11"/>
        <item x="12"/>
        <item x="13"/>
        <item t="default"/>
      </items>
    </pivotField>
    <pivotField showAll="0"/>
    <pivotField showAll="0" measureFilter="1"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6" showAll="0">
      <items count="11">
        <item x="0"/>
        <item x="1"/>
        <item x="2"/>
        <item x="3"/>
        <item x="4"/>
        <item x="5"/>
        <item x="6"/>
        <item x="7"/>
        <item x="8"/>
        <item x="9"/>
        <item t="default"/>
      </items>
    </pivotField>
    <pivotField numFmtId="166" showAll="0"/>
  </pivotFields>
  <rowFields count="1">
    <field x="1"/>
  </rowFields>
  <rowItems count="13">
    <i>
      <x v="1"/>
    </i>
    <i>
      <x v="2"/>
    </i>
    <i>
      <x v="3"/>
    </i>
    <i>
      <x v="4"/>
    </i>
    <i>
      <x v="5"/>
    </i>
    <i>
      <x v="6"/>
    </i>
    <i>
      <x v="7"/>
    </i>
    <i>
      <x v="8"/>
    </i>
    <i>
      <x v="9"/>
    </i>
    <i>
      <x v="10"/>
    </i>
    <i>
      <x v="11"/>
    </i>
    <i>
      <x v="12"/>
    </i>
    <i t="grand">
      <x/>
    </i>
  </rowItems>
  <colItems count="1">
    <i/>
  </colItems>
  <dataFields count="1">
    <dataField name="Sum of Revenue" fld="24" baseField="0" baseItem="0" numFmtId="167"/>
  </dataFields>
  <chartFormats count="49">
    <chartFormat chart="0" format="0"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0"/>
          </reference>
        </references>
      </pivotArea>
    </chartFormat>
    <chartFormat chart="6" format="18" series="1">
      <pivotArea type="data" outline="0" fieldPosition="0">
        <references count="1">
          <reference field="4294967294" count="1" selected="0">
            <x v="0"/>
          </reference>
        </references>
      </pivotArea>
    </chartFormat>
    <chartFormat chart="13" format="65" series="1">
      <pivotArea type="data" outline="0" fieldPosition="0">
        <references count="1">
          <reference field="4294967294" count="1" selected="0">
            <x v="0"/>
          </reference>
        </references>
      </pivotArea>
    </chartFormat>
    <chartFormat chart="13" format="66">
      <pivotArea type="data" outline="0" fieldPosition="0">
        <references count="2">
          <reference field="4294967294" count="1" selected="0">
            <x v="0"/>
          </reference>
          <reference field="1" count="1" selected="0">
            <x v="2"/>
          </reference>
        </references>
      </pivotArea>
    </chartFormat>
    <chartFormat chart="13" format="67">
      <pivotArea type="data" outline="0" fieldPosition="0">
        <references count="2">
          <reference field="4294967294" count="1" selected="0">
            <x v="0"/>
          </reference>
          <reference field="1" count="1" selected="0">
            <x v="3"/>
          </reference>
        </references>
      </pivotArea>
    </chartFormat>
    <chartFormat chart="13" format="68">
      <pivotArea type="data" outline="0" fieldPosition="0">
        <references count="2">
          <reference field="4294967294" count="1" selected="0">
            <x v="0"/>
          </reference>
          <reference field="1" count="1" selected="0">
            <x v="4"/>
          </reference>
        </references>
      </pivotArea>
    </chartFormat>
    <chartFormat chart="13" format="69">
      <pivotArea type="data" outline="0" fieldPosition="0">
        <references count="2">
          <reference field="4294967294" count="1" selected="0">
            <x v="0"/>
          </reference>
          <reference field="1" count="1" selected="0">
            <x v="5"/>
          </reference>
        </references>
      </pivotArea>
    </chartFormat>
    <chartFormat chart="13" format="70">
      <pivotArea type="data" outline="0" fieldPosition="0">
        <references count="2">
          <reference field="4294967294" count="1" selected="0">
            <x v="0"/>
          </reference>
          <reference field="1" count="1" selected="0">
            <x v="6"/>
          </reference>
        </references>
      </pivotArea>
    </chartFormat>
    <chartFormat chart="13" format="71">
      <pivotArea type="data" outline="0" fieldPosition="0">
        <references count="2">
          <reference field="4294967294" count="1" selected="0">
            <x v="0"/>
          </reference>
          <reference field="1" count="1" selected="0">
            <x v="7"/>
          </reference>
        </references>
      </pivotArea>
    </chartFormat>
    <chartFormat chart="13" format="72">
      <pivotArea type="data" outline="0" fieldPosition="0">
        <references count="2">
          <reference field="4294967294" count="1" selected="0">
            <x v="0"/>
          </reference>
          <reference field="1" count="1" selected="0">
            <x v="8"/>
          </reference>
        </references>
      </pivotArea>
    </chartFormat>
    <chartFormat chart="13" format="73">
      <pivotArea type="data" outline="0" fieldPosition="0">
        <references count="2">
          <reference field="4294967294" count="1" selected="0">
            <x v="0"/>
          </reference>
          <reference field="1" count="1" selected="0">
            <x v="9"/>
          </reference>
        </references>
      </pivotArea>
    </chartFormat>
    <chartFormat chart="13" format="74">
      <pivotArea type="data" outline="0" fieldPosition="0">
        <references count="2">
          <reference field="4294967294" count="1" selected="0">
            <x v="0"/>
          </reference>
          <reference field="1" count="1" selected="0">
            <x v="10"/>
          </reference>
        </references>
      </pivotArea>
    </chartFormat>
    <chartFormat chart="9" format="75" series="1">
      <pivotArea type="data" outline="0" fieldPosition="0">
        <references count="1">
          <reference field="4294967294" count="1" selected="0">
            <x v="0"/>
          </reference>
        </references>
      </pivotArea>
    </chartFormat>
    <chartFormat chart="9" format="76">
      <pivotArea type="data" outline="0" fieldPosition="0">
        <references count="2">
          <reference field="4294967294" count="1" selected="0">
            <x v="0"/>
          </reference>
          <reference field="1" count="1" selected="0">
            <x v="2"/>
          </reference>
        </references>
      </pivotArea>
    </chartFormat>
    <chartFormat chart="9" format="77">
      <pivotArea type="data" outline="0" fieldPosition="0">
        <references count="2">
          <reference field="4294967294" count="1" selected="0">
            <x v="0"/>
          </reference>
          <reference field="1" count="1" selected="0">
            <x v="3"/>
          </reference>
        </references>
      </pivotArea>
    </chartFormat>
    <chartFormat chart="9" format="78">
      <pivotArea type="data" outline="0" fieldPosition="0">
        <references count="2">
          <reference field="4294967294" count="1" selected="0">
            <x v="0"/>
          </reference>
          <reference field="1" count="1" selected="0">
            <x v="4"/>
          </reference>
        </references>
      </pivotArea>
    </chartFormat>
    <chartFormat chart="9" format="79">
      <pivotArea type="data" outline="0" fieldPosition="0">
        <references count="2">
          <reference field="4294967294" count="1" selected="0">
            <x v="0"/>
          </reference>
          <reference field="1" count="1" selected="0">
            <x v="5"/>
          </reference>
        </references>
      </pivotArea>
    </chartFormat>
    <chartFormat chart="9" format="80">
      <pivotArea type="data" outline="0" fieldPosition="0">
        <references count="2">
          <reference field="4294967294" count="1" selected="0">
            <x v="0"/>
          </reference>
          <reference field="1" count="1" selected="0">
            <x v="6"/>
          </reference>
        </references>
      </pivotArea>
    </chartFormat>
    <chartFormat chart="9" format="81">
      <pivotArea type="data" outline="0" fieldPosition="0">
        <references count="2">
          <reference field="4294967294" count="1" selected="0">
            <x v="0"/>
          </reference>
          <reference field="1" count="1" selected="0">
            <x v="7"/>
          </reference>
        </references>
      </pivotArea>
    </chartFormat>
    <chartFormat chart="9" format="82">
      <pivotArea type="data" outline="0" fieldPosition="0">
        <references count="2">
          <reference field="4294967294" count="1" selected="0">
            <x v="0"/>
          </reference>
          <reference field="1" count="1" selected="0">
            <x v="8"/>
          </reference>
        </references>
      </pivotArea>
    </chartFormat>
    <chartFormat chart="9" format="83">
      <pivotArea type="data" outline="0" fieldPosition="0">
        <references count="2">
          <reference field="4294967294" count="1" selected="0">
            <x v="0"/>
          </reference>
          <reference field="1" count="1" selected="0">
            <x v="9"/>
          </reference>
        </references>
      </pivotArea>
    </chartFormat>
    <chartFormat chart="9" format="84">
      <pivotArea type="data" outline="0" fieldPosition="0">
        <references count="2">
          <reference field="4294967294" count="1" selected="0">
            <x v="0"/>
          </reference>
          <reference field="1" count="1" selected="0">
            <x v="10"/>
          </reference>
        </references>
      </pivotArea>
    </chartFormat>
    <chartFormat chart="19" format="95" series="1">
      <pivotArea type="data" outline="0" fieldPosition="0">
        <references count="1">
          <reference field="4294967294" count="1" selected="0">
            <x v="0"/>
          </reference>
        </references>
      </pivotArea>
    </chartFormat>
    <chartFormat chart="19" format="96">
      <pivotArea type="data" outline="0" fieldPosition="0">
        <references count="2">
          <reference field="4294967294" count="1" selected="0">
            <x v="0"/>
          </reference>
          <reference field="1" count="1" selected="0">
            <x v="3"/>
          </reference>
        </references>
      </pivotArea>
    </chartFormat>
    <chartFormat chart="19" format="97">
      <pivotArea type="data" outline="0" fieldPosition="0">
        <references count="2">
          <reference field="4294967294" count="1" selected="0">
            <x v="0"/>
          </reference>
          <reference field="1" count="1" selected="0">
            <x v="1"/>
          </reference>
        </references>
      </pivotArea>
    </chartFormat>
    <chartFormat chart="19" format="98">
      <pivotArea type="data" outline="0" fieldPosition="0">
        <references count="2">
          <reference field="4294967294" count="1" selected="0">
            <x v="0"/>
          </reference>
          <reference field="1" count="1" selected="0">
            <x v="2"/>
          </reference>
        </references>
      </pivotArea>
    </chartFormat>
    <chartFormat chart="19" format="99">
      <pivotArea type="data" outline="0" fieldPosition="0">
        <references count="2">
          <reference field="4294967294" count="1" selected="0">
            <x v="0"/>
          </reference>
          <reference field="1" count="1" selected="0">
            <x v="4"/>
          </reference>
        </references>
      </pivotArea>
    </chartFormat>
    <chartFormat chart="19" format="100">
      <pivotArea type="data" outline="0" fieldPosition="0">
        <references count="2">
          <reference field="4294967294" count="1" selected="0">
            <x v="0"/>
          </reference>
          <reference field="1" count="1" selected="0">
            <x v="5"/>
          </reference>
        </references>
      </pivotArea>
    </chartFormat>
    <chartFormat chart="19" format="101">
      <pivotArea type="data" outline="0" fieldPosition="0">
        <references count="2">
          <reference field="4294967294" count="1" selected="0">
            <x v="0"/>
          </reference>
          <reference field="1" count="1" selected="0">
            <x v="6"/>
          </reference>
        </references>
      </pivotArea>
    </chartFormat>
    <chartFormat chart="19" format="102">
      <pivotArea type="data" outline="0" fieldPosition="0">
        <references count="2">
          <reference field="4294967294" count="1" selected="0">
            <x v="0"/>
          </reference>
          <reference field="1" count="1" selected="0">
            <x v="7"/>
          </reference>
        </references>
      </pivotArea>
    </chartFormat>
    <chartFormat chart="19" format="103">
      <pivotArea type="data" outline="0" fieldPosition="0">
        <references count="2">
          <reference field="4294967294" count="1" selected="0">
            <x v="0"/>
          </reference>
          <reference field="1" count="1" selected="0">
            <x v="8"/>
          </reference>
        </references>
      </pivotArea>
    </chartFormat>
    <chartFormat chart="19" format="104">
      <pivotArea type="data" outline="0" fieldPosition="0">
        <references count="2">
          <reference field="4294967294" count="1" selected="0">
            <x v="0"/>
          </reference>
          <reference field="1" count="1" selected="0">
            <x v="9"/>
          </reference>
        </references>
      </pivotArea>
    </chartFormat>
    <chartFormat chart="19" format="105">
      <pivotArea type="data" outline="0" fieldPosition="0">
        <references count="2">
          <reference field="4294967294" count="1" selected="0">
            <x v="0"/>
          </reference>
          <reference field="1" count="1" selected="0">
            <x v="10"/>
          </reference>
        </references>
      </pivotArea>
    </chartFormat>
    <chartFormat chart="19" format="106">
      <pivotArea type="data" outline="0" fieldPosition="0">
        <references count="2">
          <reference field="4294967294" count="1" selected="0">
            <x v="0"/>
          </reference>
          <reference field="1" count="1" selected="0">
            <x v="11"/>
          </reference>
        </references>
      </pivotArea>
    </chartFormat>
    <chartFormat chart="19" format="107">
      <pivotArea type="data" outline="0" fieldPosition="0">
        <references count="2">
          <reference field="4294967294" count="1" selected="0">
            <x v="0"/>
          </reference>
          <reference field="1" count="1" selected="0">
            <x v="12"/>
          </reference>
        </references>
      </pivotArea>
    </chartFormat>
    <chartFormat chart="21" format="121" series="1">
      <pivotArea type="data" outline="0" fieldPosition="0">
        <references count="1">
          <reference field="4294967294" count="1" selected="0">
            <x v="0"/>
          </reference>
        </references>
      </pivotArea>
    </chartFormat>
    <chartFormat chart="21" format="122">
      <pivotArea type="data" outline="0" fieldPosition="0">
        <references count="2">
          <reference field="4294967294" count="1" selected="0">
            <x v="0"/>
          </reference>
          <reference field="1" count="1" selected="0">
            <x v="1"/>
          </reference>
        </references>
      </pivotArea>
    </chartFormat>
    <chartFormat chart="21" format="123">
      <pivotArea type="data" outline="0" fieldPosition="0">
        <references count="2">
          <reference field="4294967294" count="1" selected="0">
            <x v="0"/>
          </reference>
          <reference field="1" count="1" selected="0">
            <x v="2"/>
          </reference>
        </references>
      </pivotArea>
    </chartFormat>
    <chartFormat chart="21" format="124">
      <pivotArea type="data" outline="0" fieldPosition="0">
        <references count="2">
          <reference field="4294967294" count="1" selected="0">
            <x v="0"/>
          </reference>
          <reference field="1" count="1" selected="0">
            <x v="3"/>
          </reference>
        </references>
      </pivotArea>
    </chartFormat>
    <chartFormat chart="21" format="125">
      <pivotArea type="data" outline="0" fieldPosition="0">
        <references count="2">
          <reference field="4294967294" count="1" selected="0">
            <x v="0"/>
          </reference>
          <reference field="1" count="1" selected="0">
            <x v="4"/>
          </reference>
        </references>
      </pivotArea>
    </chartFormat>
    <chartFormat chart="21" format="126">
      <pivotArea type="data" outline="0" fieldPosition="0">
        <references count="2">
          <reference field="4294967294" count="1" selected="0">
            <x v="0"/>
          </reference>
          <reference field="1" count="1" selected="0">
            <x v="5"/>
          </reference>
        </references>
      </pivotArea>
    </chartFormat>
    <chartFormat chart="21" format="127">
      <pivotArea type="data" outline="0" fieldPosition="0">
        <references count="2">
          <reference field="4294967294" count="1" selected="0">
            <x v="0"/>
          </reference>
          <reference field="1" count="1" selected="0">
            <x v="6"/>
          </reference>
        </references>
      </pivotArea>
    </chartFormat>
    <chartFormat chart="21" format="128">
      <pivotArea type="data" outline="0" fieldPosition="0">
        <references count="2">
          <reference field="4294967294" count="1" selected="0">
            <x v="0"/>
          </reference>
          <reference field="1" count="1" selected="0">
            <x v="7"/>
          </reference>
        </references>
      </pivotArea>
    </chartFormat>
    <chartFormat chart="21" format="129">
      <pivotArea type="data" outline="0" fieldPosition="0">
        <references count="2">
          <reference field="4294967294" count="1" selected="0">
            <x v="0"/>
          </reference>
          <reference field="1" count="1" selected="0">
            <x v="8"/>
          </reference>
        </references>
      </pivotArea>
    </chartFormat>
    <chartFormat chart="21" format="130">
      <pivotArea type="data" outline="0" fieldPosition="0">
        <references count="2">
          <reference field="4294967294" count="1" selected="0">
            <x v="0"/>
          </reference>
          <reference field="1" count="1" selected="0">
            <x v="9"/>
          </reference>
        </references>
      </pivotArea>
    </chartFormat>
    <chartFormat chart="21" format="131">
      <pivotArea type="data" outline="0" fieldPosition="0">
        <references count="2">
          <reference field="4294967294" count="1" selected="0">
            <x v="0"/>
          </reference>
          <reference field="1" count="1" selected="0">
            <x v="10"/>
          </reference>
        </references>
      </pivotArea>
    </chartFormat>
    <chartFormat chart="21" format="132">
      <pivotArea type="data" outline="0" fieldPosition="0">
        <references count="2">
          <reference field="4294967294" count="1" selected="0">
            <x v="0"/>
          </reference>
          <reference field="1" count="1" selected="0">
            <x v="11"/>
          </reference>
        </references>
      </pivotArea>
    </chartFormat>
    <chartFormat chart="21" format="133">
      <pivotArea type="data" outline="0" fieldPosition="0">
        <references count="2">
          <reference field="4294967294" count="1" selected="0">
            <x v="0"/>
          </reference>
          <reference field="1" count="1" selected="0">
            <x v="12"/>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F283A2-E5E9-4381-962A-977B01951732}"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3:B10" firstHeaderRow="1" firstDataRow="1" firstDataCol="1"/>
  <pivotFields count="26">
    <pivotField showAll="0"/>
    <pivotField numFmtId="165" showAll="0">
      <items count="15">
        <item x="0"/>
        <item x="1"/>
        <item x="2"/>
        <item x="3"/>
        <item x="4"/>
        <item x="5"/>
        <item x="6"/>
        <item x="7"/>
        <item x="8"/>
        <item x="9"/>
        <item x="10"/>
        <item x="11"/>
        <item x="12"/>
        <item x="13"/>
        <item t="default"/>
      </items>
    </pivotField>
    <pivotField showAll="0"/>
    <pivotField showAll="0" measureFilter="1"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axis="axisRow" showAll="0" measureFilter="1" sortType="descending">
      <items count="16">
        <item x="2"/>
        <item x="0"/>
        <item x="3"/>
        <item x="8"/>
        <item x="7"/>
        <item x="10"/>
        <item x="1"/>
        <item x="12"/>
        <item x="14"/>
        <item x="6"/>
        <item x="13"/>
        <item x="9"/>
        <item x="5"/>
        <item x="11"/>
        <item x="4"/>
        <item t="default"/>
      </items>
      <autoSortScope>
        <pivotArea dataOnly="0" outline="0" fieldPosition="0">
          <references count="1">
            <reference field="4294967294" count="1" selected="0">
              <x v="0"/>
            </reference>
          </references>
        </pivotArea>
      </autoSortScope>
    </pivotField>
    <pivotField showAll="0"/>
    <pivotField showAll="0"/>
    <pivotField dataField="1" numFmtId="166" showAll="0">
      <items count="11">
        <item x="0"/>
        <item x="1"/>
        <item x="2"/>
        <item x="3"/>
        <item x="4"/>
        <item x="5"/>
        <item x="6"/>
        <item x="7"/>
        <item x="8"/>
        <item x="9"/>
        <item t="default"/>
      </items>
    </pivotField>
    <pivotField numFmtId="166" showAll="0"/>
  </pivotFields>
  <rowFields count="1">
    <field x="21"/>
  </rowFields>
  <rowItems count="7">
    <i>
      <x v="1"/>
    </i>
    <i>
      <x v="12"/>
    </i>
    <i>
      <x v="9"/>
    </i>
    <i>
      <x v="5"/>
    </i>
    <i>
      <x v="6"/>
    </i>
    <i>
      <x v="3"/>
    </i>
    <i t="grand">
      <x/>
    </i>
  </rowItems>
  <colItems count="1">
    <i/>
  </colItems>
  <dataFields count="1">
    <dataField name="Sum of Revenue" fld="24" baseField="0" baseItem="0" numFmtId="167"/>
  </dataFields>
  <chartFormats count="3">
    <chartFormat chart="0" format="0"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0"/>
          </reference>
        </references>
      </pivotArea>
    </chartFormat>
    <chartFormat chart="6"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21" type="count" evalOrder="-1" id="3" iMeasureFld="0">
      <autoFilter ref="A1">
        <filterColumn colId="0">
          <top10 val="6" filterVal="6"/>
        </filterColumn>
      </autoFilter>
    </filter>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1187DD-F2AF-43F8-8446-ACD7A6267B61}"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3:B16" firstHeaderRow="1" firstDataRow="1" firstDataCol="1"/>
  <pivotFields count="26">
    <pivotField showAll="0"/>
    <pivotField numFmtId="165" showAll="0">
      <items count="15">
        <item x="0"/>
        <item x="1"/>
        <item x="2"/>
        <item x="3"/>
        <item x="4"/>
        <item x="5"/>
        <item x="6"/>
        <item x="7"/>
        <item x="8"/>
        <item x="9"/>
        <item x="10"/>
        <item x="11"/>
        <item x="12"/>
        <item x="13"/>
        <item t="default"/>
      </items>
    </pivotField>
    <pivotField showAll="0"/>
    <pivotField showAll="0" measureFilter="1"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axis="axisRow" showAll="0">
      <items count="13">
        <item x="4"/>
        <item x="3"/>
        <item x="9"/>
        <item x="8"/>
        <item x="7"/>
        <item x="0"/>
        <item x="1"/>
        <item x="2"/>
        <item x="6"/>
        <item x="11"/>
        <item x="10"/>
        <item x="5"/>
        <item t="default"/>
      </items>
    </pivotField>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6" showAll="0">
      <items count="11">
        <item x="0"/>
        <item x="1"/>
        <item x="2"/>
        <item x="3"/>
        <item x="4"/>
        <item x="5"/>
        <item x="6"/>
        <item x="7"/>
        <item x="8"/>
        <item x="9"/>
        <item t="default"/>
      </items>
    </pivotField>
    <pivotField numFmtId="166" showAll="0"/>
  </pivotFields>
  <rowFields count="1">
    <field x="6"/>
  </rowFields>
  <rowItems count="13">
    <i>
      <x/>
    </i>
    <i>
      <x v="1"/>
    </i>
    <i>
      <x v="2"/>
    </i>
    <i>
      <x v="3"/>
    </i>
    <i>
      <x v="4"/>
    </i>
    <i>
      <x v="5"/>
    </i>
    <i>
      <x v="6"/>
    </i>
    <i>
      <x v="7"/>
    </i>
    <i>
      <x v="8"/>
    </i>
    <i>
      <x v="9"/>
    </i>
    <i>
      <x v="10"/>
    </i>
    <i>
      <x v="11"/>
    </i>
    <i t="grand">
      <x/>
    </i>
  </rowItems>
  <colItems count="1">
    <i/>
  </colItems>
  <dataFields count="1">
    <dataField name="Sum of Revenue" fld="24" baseField="0" baseItem="0" numFmtId="167"/>
  </dataFields>
  <chartFormats count="5">
    <chartFormat chart="0" format="0"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0"/>
          </reference>
        </references>
      </pivotArea>
    </chartFormat>
    <chartFormat chart="6" format="18" series="1">
      <pivotArea type="data" outline="0" fieldPosition="0">
        <references count="1">
          <reference field="4294967294" count="1" selected="0">
            <x v="0"/>
          </reference>
        </references>
      </pivotArea>
    </chartFormat>
    <chartFormat chart="9" format="36" series="1">
      <pivotArea type="data" outline="0" fieldPosition="0">
        <references count="1">
          <reference field="4294967294" count="1" selected="0">
            <x v="0"/>
          </reference>
        </references>
      </pivotArea>
    </chartFormat>
    <chartFormat chart="12" format="5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7F4653-D1F8-40C1-899B-328C6C6DA04A}"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3:B9" firstHeaderRow="1" firstDataRow="1" firstDataCol="1"/>
  <pivotFields count="26">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axis="axisRow"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9">
        <item x="1"/>
        <item x="5"/>
        <item x="3"/>
        <item x="6"/>
        <item x="0"/>
        <item x="4"/>
        <item x="2"/>
        <item x="7"/>
        <item t="default"/>
      </items>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6" showAll="0">
      <items count="11">
        <item x="0"/>
        <item x="1"/>
        <item x="2"/>
        <item x="3"/>
        <item x="4"/>
        <item x="5"/>
        <item x="6"/>
        <item x="7"/>
        <item x="8"/>
        <item x="9"/>
        <item t="default"/>
      </items>
    </pivotField>
    <pivotField numFmtId="166" showAll="0"/>
  </pivotFields>
  <rowFields count="1">
    <field x="5"/>
  </rowFields>
  <rowItems count="6">
    <i>
      <x v="8"/>
    </i>
    <i>
      <x v="9"/>
    </i>
    <i>
      <x v="6"/>
    </i>
    <i>
      <x v="5"/>
    </i>
    <i>
      <x v="1"/>
    </i>
    <i t="grand">
      <x/>
    </i>
  </rowItems>
  <colItems count="1">
    <i/>
  </colItems>
  <dataFields count="1">
    <dataField name="Sum of Revenue" fld="24" baseField="0" baseItem="0" numFmtId="167"/>
  </dataFields>
  <chartFormats count="12">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5" count="1" selected="0">
            <x v="9"/>
          </reference>
        </references>
      </pivotArea>
    </chartFormat>
    <chartFormat chart="3" format="11">
      <pivotArea type="data" outline="0" fieldPosition="0">
        <references count="2">
          <reference field="4294967294" count="1" selected="0">
            <x v="0"/>
          </reference>
          <reference field="5" count="1" selected="0">
            <x v="6"/>
          </reference>
        </references>
      </pivotArea>
    </chartFormat>
    <chartFormat chart="3" format="12">
      <pivotArea type="data" outline="0" fieldPosition="0">
        <references count="2">
          <reference field="4294967294" count="1" selected="0">
            <x v="0"/>
          </reference>
          <reference field="5" count="1" selected="0">
            <x v="5"/>
          </reference>
        </references>
      </pivotArea>
    </chartFormat>
    <chartFormat chart="3" format="13">
      <pivotArea type="data" outline="0" fieldPosition="0">
        <references count="2">
          <reference field="4294967294" count="1" selected="0">
            <x v="0"/>
          </reference>
          <reference field="5" count="1" selected="0">
            <x v="1"/>
          </reference>
        </references>
      </pivotArea>
    </chartFormat>
    <chartFormat chart="3" format="14">
      <pivotArea type="data" outline="0" fieldPosition="0">
        <references count="2">
          <reference field="4294967294" count="1" selected="0">
            <x v="0"/>
          </reference>
          <reference field="5" count="1" selected="0">
            <x v="7"/>
          </reference>
        </references>
      </pivotArea>
    </chartFormat>
    <chartFormat chart="9" format="20" series="1">
      <pivotArea type="data" outline="0" fieldPosition="0">
        <references count="1">
          <reference field="4294967294" count="1" selected="0">
            <x v="0"/>
          </reference>
        </references>
      </pivotArea>
    </chartFormat>
    <chartFormat chart="9" format="21">
      <pivotArea type="data" outline="0" fieldPosition="0">
        <references count="2">
          <reference field="4294967294" count="1" selected="0">
            <x v="0"/>
          </reference>
          <reference field="5" count="1" selected="0">
            <x v="9"/>
          </reference>
        </references>
      </pivotArea>
    </chartFormat>
    <chartFormat chart="9" format="22">
      <pivotArea type="data" outline="0" fieldPosition="0">
        <references count="2">
          <reference field="4294967294" count="1" selected="0">
            <x v="0"/>
          </reference>
          <reference field="5" count="1" selected="0">
            <x v="6"/>
          </reference>
        </references>
      </pivotArea>
    </chartFormat>
    <chartFormat chart="9" format="23">
      <pivotArea type="data" outline="0" fieldPosition="0">
        <references count="2">
          <reference field="4294967294" count="1" selected="0">
            <x v="0"/>
          </reference>
          <reference field="5" count="1" selected="0">
            <x v="5"/>
          </reference>
        </references>
      </pivotArea>
    </chartFormat>
    <chartFormat chart="9" format="24">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13BE12E-D0FC-4BB8-89C0-DF748829F0B9}"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9">
  <location ref="A3:B10" firstHeaderRow="1" firstDataRow="1" firstDataCol="1"/>
  <pivotFields count="26">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9">
        <item x="1"/>
        <item x="5"/>
        <item x="3"/>
        <item x="6"/>
        <item x="0"/>
        <item x="4"/>
        <item x="2"/>
        <item x="7"/>
        <item t="default"/>
      </items>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Row"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numFmtId="166" showAll="0">
      <items count="11">
        <item x="0"/>
        <item x="1"/>
        <item x="2"/>
        <item x="3"/>
        <item x="4"/>
        <item x="5"/>
        <item x="6"/>
        <item x="7"/>
        <item x="8"/>
        <item x="9"/>
        <item t="default"/>
      </items>
    </pivotField>
    <pivotField numFmtId="166" showAll="0"/>
  </pivotFields>
  <rowFields count="1">
    <field x="15"/>
  </rowFields>
  <rowItems count="7">
    <i>
      <x v="8"/>
    </i>
    <i>
      <x v="9"/>
    </i>
    <i>
      <x v="6"/>
    </i>
    <i>
      <x v="5"/>
    </i>
    <i>
      <x v="1"/>
    </i>
    <i>
      <x v="7"/>
    </i>
    <i t="grand">
      <x/>
    </i>
  </rowItems>
  <colItems count="1">
    <i/>
  </colItems>
  <dataFields count="1">
    <dataField name="Sum of Revenue" fld="24" baseField="0" baseItem="0" numFmtId="167"/>
  </dataFields>
  <chartFormats count="2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29" series="1">
      <pivotArea type="data" outline="0" fieldPosition="0">
        <references count="1">
          <reference field="4294967294" count="1" selected="0">
            <x v="0"/>
          </reference>
        </references>
      </pivotArea>
    </chartFormat>
    <chartFormat chart="9" format="30">
      <pivotArea type="data" outline="0" fieldPosition="0">
        <references count="2">
          <reference field="4294967294" count="1" selected="0">
            <x v="0"/>
          </reference>
          <reference field="15" count="1" selected="0">
            <x v="9"/>
          </reference>
        </references>
      </pivotArea>
    </chartFormat>
    <chartFormat chart="9" format="31">
      <pivotArea type="data" outline="0" fieldPosition="0">
        <references count="2">
          <reference field="4294967294" count="1" selected="0">
            <x v="0"/>
          </reference>
          <reference field="15" count="1" selected="0">
            <x v="6"/>
          </reference>
        </references>
      </pivotArea>
    </chartFormat>
    <chartFormat chart="9" format="32">
      <pivotArea type="data" outline="0" fieldPosition="0">
        <references count="2">
          <reference field="4294967294" count="1" selected="0">
            <x v="0"/>
          </reference>
          <reference field="15" count="1" selected="0">
            <x v="5"/>
          </reference>
        </references>
      </pivotArea>
    </chartFormat>
    <chartFormat chart="9" format="33">
      <pivotArea type="data" outline="0" fieldPosition="0">
        <references count="2">
          <reference field="4294967294" count="1" selected="0">
            <x v="0"/>
          </reference>
          <reference field="15" count="1" selected="0">
            <x v="1"/>
          </reference>
        </references>
      </pivotArea>
    </chartFormat>
    <chartFormat chart="9" format="34">
      <pivotArea type="data" outline="0" fieldPosition="0">
        <references count="2">
          <reference field="4294967294" count="1" selected="0">
            <x v="0"/>
          </reference>
          <reference field="15" count="1" selected="0">
            <x v="7"/>
          </reference>
        </references>
      </pivotArea>
    </chartFormat>
    <chartFormat chart="4" format="34" series="1">
      <pivotArea type="data" outline="0" fieldPosition="0">
        <references count="1">
          <reference field="4294967294" count="1" selected="0">
            <x v="0"/>
          </reference>
        </references>
      </pivotArea>
    </chartFormat>
    <chartFormat chart="4" format="35">
      <pivotArea type="data" outline="0" fieldPosition="0">
        <references count="2">
          <reference field="4294967294" count="1" selected="0">
            <x v="0"/>
          </reference>
          <reference field="15" count="1" selected="0">
            <x v="9"/>
          </reference>
        </references>
      </pivotArea>
    </chartFormat>
    <chartFormat chart="4" format="36">
      <pivotArea type="data" outline="0" fieldPosition="0">
        <references count="2">
          <reference field="4294967294" count="1" selected="0">
            <x v="0"/>
          </reference>
          <reference field="15" count="1" selected="0">
            <x v="6"/>
          </reference>
        </references>
      </pivotArea>
    </chartFormat>
    <chartFormat chart="4" format="37">
      <pivotArea type="data" outline="0" fieldPosition="0">
        <references count="2">
          <reference field="4294967294" count="1" selected="0">
            <x v="0"/>
          </reference>
          <reference field="15" count="1" selected="0">
            <x v="5"/>
          </reference>
        </references>
      </pivotArea>
    </chartFormat>
    <chartFormat chart="4" format="38">
      <pivotArea type="data" outline="0" fieldPosition="0">
        <references count="2">
          <reference field="4294967294" count="1" selected="0">
            <x v="0"/>
          </reference>
          <reference field="15" count="1" selected="0">
            <x v="1"/>
          </reference>
        </references>
      </pivotArea>
    </chartFormat>
    <chartFormat chart="16" format="39" series="1">
      <pivotArea type="data" outline="0" fieldPosition="0">
        <references count="1">
          <reference field="4294967294" count="1" selected="0">
            <x v="0"/>
          </reference>
        </references>
      </pivotArea>
    </chartFormat>
    <chartFormat chart="16" format="40">
      <pivotArea type="data" outline="0" fieldPosition="0">
        <references count="2">
          <reference field="4294967294" count="1" selected="0">
            <x v="0"/>
          </reference>
          <reference field="15" count="1" selected="0">
            <x v="5"/>
          </reference>
        </references>
      </pivotArea>
    </chartFormat>
    <chartFormat chart="16" format="41">
      <pivotArea type="data" outline="0" fieldPosition="0">
        <references count="2">
          <reference field="4294967294" count="1" selected="0">
            <x v="0"/>
          </reference>
          <reference field="15" count="1" selected="0">
            <x v="6"/>
          </reference>
        </references>
      </pivotArea>
    </chartFormat>
    <chartFormat chart="16" format="42">
      <pivotArea type="data" outline="0" fieldPosition="0">
        <references count="2">
          <reference field="4294967294" count="1" selected="0">
            <x v="0"/>
          </reference>
          <reference field="15" count="1" selected="0">
            <x v="9"/>
          </reference>
        </references>
      </pivotArea>
    </chartFormat>
    <chartFormat chart="16" format="43">
      <pivotArea type="data" outline="0" fieldPosition="0">
        <references count="2">
          <reference field="4294967294" count="1" selected="0">
            <x v="0"/>
          </reference>
          <reference field="15" count="1" selected="0">
            <x v="8"/>
          </reference>
        </references>
      </pivotArea>
    </chartFormat>
    <chartFormat chart="16" format="44">
      <pivotArea type="data" outline="0" fieldPosition="0">
        <references count="2">
          <reference field="4294967294" count="1" selected="0">
            <x v="0"/>
          </reference>
          <reference field="15" count="1" selected="0">
            <x v="7"/>
          </reference>
        </references>
      </pivotArea>
    </chartFormat>
    <chartFormat chart="16" format="45">
      <pivotArea type="data" outline="0" fieldPosition="0">
        <references count="2">
          <reference field="4294967294" count="1" selected="0">
            <x v="0"/>
          </reference>
          <reference field="15" count="1" selected="0">
            <x v="1"/>
          </reference>
        </references>
      </pivotArea>
    </chartFormat>
    <chartFormat chart="18" format="53" series="1">
      <pivotArea type="data" outline="0" fieldPosition="0">
        <references count="1">
          <reference field="4294967294" count="1" selected="0">
            <x v="0"/>
          </reference>
        </references>
      </pivotArea>
    </chartFormat>
    <chartFormat chart="18" format="54">
      <pivotArea type="data" outline="0" fieldPosition="0">
        <references count="2">
          <reference field="4294967294" count="1" selected="0">
            <x v="0"/>
          </reference>
          <reference field="15" count="1" selected="0">
            <x v="8"/>
          </reference>
        </references>
      </pivotArea>
    </chartFormat>
    <chartFormat chart="18" format="55">
      <pivotArea type="data" outline="0" fieldPosition="0">
        <references count="2">
          <reference field="4294967294" count="1" selected="0">
            <x v="0"/>
          </reference>
          <reference field="15" count="1" selected="0">
            <x v="9"/>
          </reference>
        </references>
      </pivotArea>
    </chartFormat>
    <chartFormat chart="18" format="56">
      <pivotArea type="data" outline="0" fieldPosition="0">
        <references count="2">
          <reference field="4294967294" count="1" selected="0">
            <x v="0"/>
          </reference>
          <reference field="15" count="1" selected="0">
            <x v="6"/>
          </reference>
        </references>
      </pivotArea>
    </chartFormat>
    <chartFormat chart="18" format="57">
      <pivotArea type="data" outline="0" fieldPosition="0">
        <references count="2">
          <reference field="4294967294" count="1" selected="0">
            <x v="0"/>
          </reference>
          <reference field="15" count="1" selected="0">
            <x v="5"/>
          </reference>
        </references>
      </pivotArea>
    </chartFormat>
    <chartFormat chart="18" format="58">
      <pivotArea type="data" outline="0" fieldPosition="0">
        <references count="2">
          <reference field="4294967294" count="1" selected="0">
            <x v="0"/>
          </reference>
          <reference field="15" count="1" selected="0">
            <x v="1"/>
          </reference>
        </references>
      </pivotArea>
    </chartFormat>
    <chartFormat chart="18" format="59">
      <pivotArea type="data" outline="0" fieldPosition="0">
        <references count="2">
          <reference field="4294967294" count="1" selected="0">
            <x v="0"/>
          </reference>
          <reference field="15" count="1" selected="0">
            <x v="7"/>
          </reference>
        </references>
      </pivotArea>
    </chartFormat>
  </chartFormats>
  <pivotTableStyleInfo name="PivotStyleLight16" showRowHeaders="1" showColHeaders="1" showRowStripes="0" showColStripes="0" showLastColumn="1"/>
  <filters count="2">
    <filter fld="5" type="count" evalOrder="-1" id="2" iMeasureFld="0">
      <autoFilter ref="A1">
        <filterColumn colId="0">
          <top10 val="5" filterVal="5"/>
        </filterColumn>
      </autoFilter>
    </filter>
    <filter fld="15" type="count" evalOrder="-1" id="3"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BE084B9-4C49-4C38-B5E0-CF4D8F1816ED}"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11" firstHeaderRow="1" firstDataRow="1" firstDataCol="1"/>
  <pivotFields count="26">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items count="9">
        <item x="1"/>
        <item x="5"/>
        <item x="3"/>
        <item x="6"/>
        <item x="0"/>
        <item x="4"/>
        <item x="2"/>
        <item x="7"/>
        <item t="default"/>
      </items>
    </pivotField>
    <pivotField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numFmtId="166" showAll="0">
      <items count="11">
        <item x="0"/>
        <item x="1"/>
        <item x="2"/>
        <item x="3"/>
        <item x="4"/>
        <item x="5"/>
        <item x="6"/>
        <item x="7"/>
        <item x="8"/>
        <item x="9"/>
        <item t="default"/>
      </items>
    </pivotField>
    <pivotField numFmtId="166" showAll="0"/>
  </pivotFields>
  <rowFields count="1">
    <field x="24"/>
  </rowFields>
  <rowItems count="8">
    <i>
      <x v="1"/>
    </i>
    <i>
      <x v="2"/>
    </i>
    <i>
      <x v="3"/>
    </i>
    <i>
      <x v="4"/>
    </i>
    <i>
      <x v="5"/>
    </i>
    <i>
      <x v="7"/>
    </i>
    <i>
      <x v="8"/>
    </i>
    <i t="grand">
      <x/>
    </i>
  </rowItems>
  <colItems count="1">
    <i/>
  </colItems>
  <dataFields count="1">
    <dataField name="Count of Revenue" fld="24" subtotal="count" baseField="0" baseItem="0" numFmtId="4"/>
  </dataFields>
  <formats count="1">
    <format dxfId="0">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24" count="1" selected="0">
            <x v="1"/>
          </reference>
        </references>
      </pivotArea>
    </chartFormat>
    <chartFormat chart="3" format="11">
      <pivotArea type="data" outline="0" fieldPosition="0">
        <references count="2">
          <reference field="4294967294" count="1" selected="0">
            <x v="0"/>
          </reference>
          <reference field="24" count="1" selected="0">
            <x v="2"/>
          </reference>
        </references>
      </pivotArea>
    </chartFormat>
    <chartFormat chart="3" format="12">
      <pivotArea type="data" outline="0" fieldPosition="0">
        <references count="2">
          <reference field="4294967294" count="1" selected="0">
            <x v="0"/>
          </reference>
          <reference field="24" count="1" selected="0">
            <x v="3"/>
          </reference>
        </references>
      </pivotArea>
    </chartFormat>
    <chartFormat chart="3" format="13">
      <pivotArea type="data" outline="0" fieldPosition="0">
        <references count="2">
          <reference field="4294967294" count="1" selected="0">
            <x v="0"/>
          </reference>
          <reference field="24" count="1" selected="0">
            <x v="4"/>
          </reference>
        </references>
      </pivotArea>
    </chartFormat>
    <chartFormat chart="3" format="14">
      <pivotArea type="data" outline="0" fieldPosition="0">
        <references count="2">
          <reference field="4294967294" count="1" selected="0">
            <x v="0"/>
          </reference>
          <reference field="24" count="1" selected="0">
            <x v="5"/>
          </reference>
        </references>
      </pivotArea>
    </chartFormat>
    <chartFormat chart="3" format="15">
      <pivotArea type="data" outline="0" fieldPosition="0">
        <references count="2">
          <reference field="4294967294" count="1" selected="0">
            <x v="0"/>
          </reference>
          <reference field="24" count="1" selected="0">
            <x v="7"/>
          </reference>
        </references>
      </pivotArea>
    </chartFormat>
    <chartFormat chart="3" format="16">
      <pivotArea type="data" outline="0" fieldPosition="0">
        <references count="2">
          <reference field="4294967294" count="1" selected="0">
            <x v="0"/>
          </reference>
          <reference field="2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8A52FD7-71D9-4F94-9F5D-630D48B1FB58}" sourceName="Region">
  <pivotTables>
    <pivotTable tabId="23" name="PivotTable1"/>
    <pivotTable tabId="26" name="PivotTable1"/>
    <pivotTable tabId="24" name="PivotTable1"/>
    <pivotTable tabId="18" name="PivotTable1"/>
    <pivotTable tabId="19" name="PivotTable1"/>
    <pivotTable tabId="25" name="PivotTable1"/>
    <pivotTable tabId="22" name="PivotTable1"/>
    <pivotTable tabId="27" name="PivotTable1"/>
    <pivotTable tabId="28" name="PivotTable1"/>
  </pivotTables>
  <data>
    <tabular pivotCacheId="1284619952">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743867A9-8C20-4E4D-8119-65757A3FDC3D}" sourceName="Salesperson">
  <pivotTables>
    <pivotTable tabId="23" name="PivotTable1"/>
    <pivotTable tabId="26" name="PivotTable1"/>
    <pivotTable tabId="24" name="PivotTable1"/>
    <pivotTable tabId="18" name="PivotTable1"/>
    <pivotTable tabId="19" name="PivotTable1"/>
    <pivotTable tabId="25" name="PivotTable1"/>
    <pivotTable tabId="22" name="PivotTable1"/>
    <pivotTable tabId="27" name="PivotTable1"/>
    <pivotTable tabId="28" name="PivotTable1"/>
  </pivotTables>
  <data>
    <tabular pivotCacheId="1284619952">
      <items count="8">
        <i x="1" s="1"/>
        <i x="5" s="1"/>
        <i x="3" s="1"/>
        <i x="6" s="1"/>
        <i x="0" s="1"/>
        <i x="4" s="1"/>
        <i x="2"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2094ABD8-7482-48BE-9C22-1763A7FA3794}" sourceName="Product Name">
  <pivotTables>
    <pivotTable tabId="26" name="PivotTable1"/>
  </pivotTables>
  <data>
    <tabular pivotCacheId="1284619952">
      <items count="25">
        <i x="18" s="1"/>
        <i x="0" s="1"/>
        <i x="11" s="1"/>
        <i x="12" s="1"/>
        <i x="4" s="1"/>
        <i x="7" s="1"/>
        <i x="6" s="1"/>
        <i x="8" s="1"/>
        <i x="5" s="1"/>
        <i x="13" s="1"/>
        <i x="9" s="1"/>
        <i x="3" s="1"/>
        <i x="2" s="1"/>
        <i x="1" s="1"/>
        <i x="19" s="1"/>
        <i x="20" s="1"/>
        <i x="10" s="1"/>
        <i x="24" s="1"/>
        <i x="23" s="1"/>
        <i x="15" s="1"/>
        <i x="22" s="1"/>
        <i x="14" s="1"/>
        <i x="21" s="1"/>
        <i x="16" s="1"/>
        <i x="1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6731282-F1C3-4763-AAE2-F6D125F0AA0B}" cache="Slicer_Region" caption="Region" columnCount="4" showCaption="0" style="Green Flusterr" rowHeight="244336"/>
  <slicer name="Salesperson 1" xr10:uid="{E236BFA2-A0A8-4521-8118-CF6AA8D1F80B}" cache="Slicer_Salesperson" caption="Salesperson" columnCount="4" showCaption="0" style="Grey Flusterr" rowHeight="24433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3" xr10:uid="{2111CCBF-BC13-4952-AC84-65EE83B4B86C}" cache="Slicer_Salesperson" caption="Salesperson" showCaption="0" style="Green Flusterr" rowHeight="244336"/>
  <slicer name="Product Name 2" xr10:uid="{760D0B5E-EC83-42FA-B13D-F5F8BCAD8E0F}" cache="Slicer_Product_Name" caption="Product" style="Green Flusterr" rowHeight="24433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6.bin"/><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7.bin"/><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8.bin"/><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9.bin"/><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0.bin"/><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1.bin"/><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hyperlink" Target="http://www.excelcampus.com/pivot-tables/pivot-tables-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FC9F2-3CE2-41B3-9651-40F3636B85BA}">
  <sheetPr>
    <tabColor theme="1" tint="0.249977111117893"/>
  </sheetPr>
  <dimension ref="A1:Z370"/>
  <sheetViews>
    <sheetView zoomScale="96" zoomScaleNormal="96" workbookViewId="0">
      <pane ySplit="1" topLeftCell="A109" activePane="bottomLeft" state="frozen"/>
      <selection pane="bottomLeft" activeCell="E10" sqref="E10"/>
    </sheetView>
  </sheetViews>
  <sheetFormatPr defaultRowHeight="15.05" x14ac:dyDescent="0.3"/>
  <cols>
    <col min="1" max="1" width="10.5546875" customWidth="1"/>
    <col min="2" max="2" width="10.6640625" bestFit="1" customWidth="1"/>
    <col min="3" max="3" width="14.109375" bestFit="1" customWidth="1"/>
    <col min="4" max="4" width="15.44140625" bestFit="1" customWidth="1"/>
    <col min="5" max="5" width="14.33203125" bestFit="1" customWidth="1"/>
    <col min="6" max="6" width="12.5546875" bestFit="1" customWidth="1"/>
    <col min="7" max="7" width="5.5546875" bestFit="1" customWidth="1"/>
    <col min="8" max="9" width="15.109375" bestFit="1" customWidth="1"/>
    <col min="10" max="10" width="19.6640625" bestFit="1" customWidth="1"/>
    <col min="11" max="11" width="7.109375" bestFit="1" customWidth="1"/>
    <col min="12" max="12" width="12.88671875" bestFit="1" customWidth="1"/>
    <col min="13" max="13" width="19.44140625" bestFit="1" customWidth="1"/>
    <col min="14" max="14" width="21.5546875" bestFit="1" customWidth="1"/>
    <col min="15" max="15" width="14.33203125" bestFit="1" customWidth="1"/>
    <col min="16" max="16" width="12.5546875" bestFit="1" customWidth="1"/>
    <col min="17" max="17" width="9.88671875" bestFit="1" customWidth="1"/>
    <col min="18" max="19" width="19.5546875" bestFit="1" customWidth="1"/>
    <col min="20" max="20" width="13.6640625" bestFit="1" customWidth="1"/>
    <col min="21" max="21" width="21" bestFit="1" customWidth="1"/>
    <col min="22" max="22" width="25" bestFit="1" customWidth="1"/>
    <col min="23" max="23" width="9.6640625" bestFit="1" customWidth="1"/>
    <col min="24" max="24" width="8.6640625" bestFit="1" customWidth="1"/>
    <col min="25" max="25" width="19.5546875" customWidth="1"/>
    <col min="26" max="26" width="12.44140625" bestFit="1" customWidth="1"/>
  </cols>
  <sheetData>
    <row r="1" spans="1:2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
      <c r="A2">
        <v>1001</v>
      </c>
      <c r="B2" s="2">
        <v>41666</v>
      </c>
      <c r="C2">
        <v>27</v>
      </c>
      <c r="D2" t="s">
        <v>26</v>
      </c>
      <c r="E2" t="s">
        <v>27</v>
      </c>
      <c r="F2" t="s">
        <v>28</v>
      </c>
      <c r="G2" t="s">
        <v>29</v>
      </c>
      <c r="H2">
        <v>99999</v>
      </c>
      <c r="I2" t="s">
        <v>30</v>
      </c>
      <c r="J2" t="s">
        <v>31</v>
      </c>
      <c r="K2" t="s">
        <v>32</v>
      </c>
      <c r="L2" s="2">
        <v>41668</v>
      </c>
      <c r="M2" t="s">
        <v>33</v>
      </c>
      <c r="N2" t="s">
        <v>34</v>
      </c>
      <c r="O2" t="s">
        <v>27</v>
      </c>
      <c r="P2" t="s">
        <v>28</v>
      </c>
      <c r="Q2" t="s">
        <v>29</v>
      </c>
      <c r="R2">
        <v>99999</v>
      </c>
      <c r="S2" t="s">
        <v>30</v>
      </c>
      <c r="T2" t="s">
        <v>35</v>
      </c>
      <c r="U2" t="s">
        <v>36</v>
      </c>
      <c r="V2" t="s">
        <v>37</v>
      </c>
      <c r="W2" s="3">
        <v>14</v>
      </c>
      <c r="X2">
        <v>49</v>
      </c>
      <c r="Y2" s="4">
        <v>686</v>
      </c>
      <c r="Z2" s="3">
        <v>66.542000000000002</v>
      </c>
    </row>
    <row r="3" spans="1:26" x14ac:dyDescent="0.3">
      <c r="A3">
        <v>1002</v>
      </c>
      <c r="B3" s="2">
        <v>41666</v>
      </c>
      <c r="C3">
        <v>27</v>
      </c>
      <c r="D3" t="s">
        <v>26</v>
      </c>
      <c r="E3" t="s">
        <v>27</v>
      </c>
      <c r="F3" t="s">
        <v>28</v>
      </c>
      <c r="G3" t="s">
        <v>29</v>
      </c>
      <c r="H3">
        <v>99999</v>
      </c>
      <c r="I3" t="s">
        <v>30</v>
      </c>
      <c r="J3" t="s">
        <v>31</v>
      </c>
      <c r="K3" t="s">
        <v>32</v>
      </c>
      <c r="L3" s="2">
        <v>41668</v>
      </c>
      <c r="M3" t="s">
        <v>33</v>
      </c>
      <c r="N3" t="s">
        <v>34</v>
      </c>
      <c r="O3" t="s">
        <v>27</v>
      </c>
      <c r="P3" t="s">
        <v>28</v>
      </c>
      <c r="Q3" t="s">
        <v>29</v>
      </c>
      <c r="R3">
        <v>99999</v>
      </c>
      <c r="S3" t="s">
        <v>30</v>
      </c>
      <c r="T3" t="s">
        <v>35</v>
      </c>
      <c r="U3" t="s">
        <v>38</v>
      </c>
      <c r="V3" t="s">
        <v>39</v>
      </c>
      <c r="W3" s="3">
        <v>3.5</v>
      </c>
      <c r="X3">
        <v>47</v>
      </c>
      <c r="Y3" s="4">
        <v>164.5</v>
      </c>
      <c r="Z3" s="3">
        <v>16.6145</v>
      </c>
    </row>
    <row r="4" spans="1:26" x14ac:dyDescent="0.3">
      <c r="A4">
        <v>1003</v>
      </c>
      <c r="B4" s="2">
        <v>41643</v>
      </c>
      <c r="C4">
        <v>4</v>
      </c>
      <c r="D4" t="s">
        <v>40</v>
      </c>
      <c r="E4" t="s">
        <v>41</v>
      </c>
      <c r="F4" t="s">
        <v>42</v>
      </c>
      <c r="G4" t="s">
        <v>43</v>
      </c>
      <c r="H4">
        <v>99999</v>
      </c>
      <c r="I4" t="s">
        <v>30</v>
      </c>
      <c r="J4" t="s">
        <v>44</v>
      </c>
      <c r="K4" t="s">
        <v>45</v>
      </c>
      <c r="L4" s="2">
        <v>41645</v>
      </c>
      <c r="M4" t="s">
        <v>46</v>
      </c>
      <c r="N4" t="s">
        <v>47</v>
      </c>
      <c r="O4" t="s">
        <v>41</v>
      </c>
      <c r="P4" t="s">
        <v>42</v>
      </c>
      <c r="Q4" t="s">
        <v>43</v>
      </c>
      <c r="R4">
        <v>99999</v>
      </c>
      <c r="S4" t="s">
        <v>30</v>
      </c>
      <c r="T4" t="s">
        <v>48</v>
      </c>
      <c r="U4" t="s">
        <v>49</v>
      </c>
      <c r="V4" t="s">
        <v>39</v>
      </c>
      <c r="W4" s="3">
        <v>30</v>
      </c>
      <c r="X4">
        <v>69</v>
      </c>
      <c r="Y4" s="4">
        <v>2070</v>
      </c>
      <c r="Z4" s="3">
        <v>198.72</v>
      </c>
    </row>
    <row r="5" spans="1:26" x14ac:dyDescent="0.3">
      <c r="A5">
        <v>1004</v>
      </c>
      <c r="B5" s="2">
        <v>41643</v>
      </c>
      <c r="C5">
        <v>4</v>
      </c>
      <c r="D5" t="s">
        <v>40</v>
      </c>
      <c r="E5" t="s">
        <v>41</v>
      </c>
      <c r="F5" t="s">
        <v>42</v>
      </c>
      <c r="G5" t="s">
        <v>43</v>
      </c>
      <c r="H5">
        <v>99999</v>
      </c>
      <c r="I5" t="s">
        <v>30</v>
      </c>
      <c r="J5" t="s">
        <v>44</v>
      </c>
      <c r="K5" t="s">
        <v>45</v>
      </c>
      <c r="L5" s="2">
        <v>41645</v>
      </c>
      <c r="M5" t="s">
        <v>46</v>
      </c>
      <c r="N5" t="s">
        <v>47</v>
      </c>
      <c r="O5" t="s">
        <v>41</v>
      </c>
      <c r="P5" t="s">
        <v>42</v>
      </c>
      <c r="Q5" t="s">
        <v>43</v>
      </c>
      <c r="R5">
        <v>99999</v>
      </c>
      <c r="S5" t="s">
        <v>30</v>
      </c>
      <c r="T5" t="s">
        <v>48</v>
      </c>
      <c r="U5" t="s">
        <v>50</v>
      </c>
      <c r="V5" t="s">
        <v>39</v>
      </c>
      <c r="W5" s="3">
        <v>53</v>
      </c>
      <c r="X5">
        <v>89</v>
      </c>
      <c r="Y5" s="4">
        <v>4717</v>
      </c>
      <c r="Z5" s="3">
        <v>448.11500000000001</v>
      </c>
    </row>
    <row r="6" spans="1:26" x14ac:dyDescent="0.3">
      <c r="A6">
        <v>1005</v>
      </c>
      <c r="B6" s="2">
        <v>41643</v>
      </c>
      <c r="C6">
        <v>4</v>
      </c>
      <c r="D6" t="s">
        <v>40</v>
      </c>
      <c r="E6" t="s">
        <v>41</v>
      </c>
      <c r="F6" t="s">
        <v>42</v>
      </c>
      <c r="G6" t="s">
        <v>43</v>
      </c>
      <c r="H6">
        <v>99999</v>
      </c>
      <c r="I6" t="s">
        <v>30</v>
      </c>
      <c r="J6" t="s">
        <v>44</v>
      </c>
      <c r="K6" t="s">
        <v>45</v>
      </c>
      <c r="L6" s="2">
        <v>41645</v>
      </c>
      <c r="M6" t="s">
        <v>46</v>
      </c>
      <c r="N6" t="s">
        <v>47</v>
      </c>
      <c r="O6" t="s">
        <v>41</v>
      </c>
      <c r="P6" t="s">
        <v>42</v>
      </c>
      <c r="Q6" t="s">
        <v>43</v>
      </c>
      <c r="R6">
        <v>99999</v>
      </c>
      <c r="S6" t="s">
        <v>30</v>
      </c>
      <c r="T6" t="s">
        <v>48</v>
      </c>
      <c r="U6" t="s">
        <v>38</v>
      </c>
      <c r="V6" t="s">
        <v>39</v>
      </c>
      <c r="W6" s="3">
        <v>3.5</v>
      </c>
      <c r="X6">
        <v>11</v>
      </c>
      <c r="Y6" s="4">
        <v>38.5</v>
      </c>
      <c r="Z6" s="3">
        <v>3.7345000000000002</v>
      </c>
    </row>
    <row r="7" spans="1:26" x14ac:dyDescent="0.3">
      <c r="A7">
        <v>1006</v>
      </c>
      <c r="B7" s="2">
        <v>41651</v>
      </c>
      <c r="C7">
        <v>12</v>
      </c>
      <c r="D7" t="s">
        <v>51</v>
      </c>
      <c r="E7" t="s">
        <v>52</v>
      </c>
      <c r="F7" t="s">
        <v>28</v>
      </c>
      <c r="G7" t="s">
        <v>29</v>
      </c>
      <c r="H7">
        <v>99999</v>
      </c>
      <c r="I7" t="s">
        <v>30</v>
      </c>
      <c r="J7" t="s">
        <v>31</v>
      </c>
      <c r="K7" t="s">
        <v>32</v>
      </c>
      <c r="L7" s="2">
        <v>41653</v>
      </c>
      <c r="M7" t="s">
        <v>33</v>
      </c>
      <c r="N7" t="s">
        <v>53</v>
      </c>
      <c r="O7" t="s">
        <v>52</v>
      </c>
      <c r="P7" t="s">
        <v>28</v>
      </c>
      <c r="Q7" t="s">
        <v>29</v>
      </c>
      <c r="R7">
        <v>99999</v>
      </c>
      <c r="S7" t="s">
        <v>30</v>
      </c>
      <c r="T7" t="s">
        <v>48</v>
      </c>
      <c r="U7" t="s">
        <v>54</v>
      </c>
      <c r="V7" t="s">
        <v>37</v>
      </c>
      <c r="W7" s="3">
        <v>18</v>
      </c>
      <c r="X7">
        <v>81</v>
      </c>
      <c r="Y7" s="4">
        <v>1458</v>
      </c>
      <c r="Z7" s="3">
        <v>141.42600000000002</v>
      </c>
    </row>
    <row r="8" spans="1:26" x14ac:dyDescent="0.3">
      <c r="A8">
        <v>1007</v>
      </c>
      <c r="B8" s="2">
        <v>41651</v>
      </c>
      <c r="C8">
        <v>12</v>
      </c>
      <c r="D8" t="s">
        <v>51</v>
      </c>
      <c r="E8" t="s">
        <v>52</v>
      </c>
      <c r="F8" t="s">
        <v>28</v>
      </c>
      <c r="G8" t="s">
        <v>29</v>
      </c>
      <c r="H8">
        <v>99999</v>
      </c>
      <c r="I8" t="s">
        <v>30</v>
      </c>
      <c r="J8" t="s">
        <v>31</v>
      </c>
      <c r="K8" t="s">
        <v>32</v>
      </c>
      <c r="L8" s="2">
        <v>41653</v>
      </c>
      <c r="M8" t="s">
        <v>33</v>
      </c>
      <c r="N8" t="s">
        <v>53</v>
      </c>
      <c r="O8" t="s">
        <v>52</v>
      </c>
      <c r="P8" t="s">
        <v>28</v>
      </c>
      <c r="Q8" t="s">
        <v>29</v>
      </c>
      <c r="R8">
        <v>99999</v>
      </c>
      <c r="S8" t="s">
        <v>30</v>
      </c>
      <c r="T8" t="s">
        <v>48</v>
      </c>
      <c r="U8" t="s">
        <v>55</v>
      </c>
      <c r="V8" t="s">
        <v>37</v>
      </c>
      <c r="W8" s="3">
        <v>46</v>
      </c>
      <c r="X8">
        <v>44</v>
      </c>
      <c r="Y8" s="4">
        <v>2024</v>
      </c>
      <c r="Z8" s="3">
        <v>198.352</v>
      </c>
    </row>
    <row r="9" spans="1:26" x14ac:dyDescent="0.3">
      <c r="A9">
        <v>1008</v>
      </c>
      <c r="B9" s="2">
        <v>41647</v>
      </c>
      <c r="C9">
        <v>8</v>
      </c>
      <c r="D9" t="s">
        <v>56</v>
      </c>
      <c r="E9" t="s">
        <v>57</v>
      </c>
      <c r="F9" t="s">
        <v>58</v>
      </c>
      <c r="G9" t="s">
        <v>59</v>
      </c>
      <c r="H9">
        <v>99999</v>
      </c>
      <c r="I9" t="s">
        <v>30</v>
      </c>
      <c r="J9" t="s">
        <v>60</v>
      </c>
      <c r="K9" t="s">
        <v>61</v>
      </c>
      <c r="L9" s="2">
        <v>41649</v>
      </c>
      <c r="M9" t="s">
        <v>62</v>
      </c>
      <c r="N9" t="s">
        <v>63</v>
      </c>
      <c r="O9" t="s">
        <v>57</v>
      </c>
      <c r="P9" t="s">
        <v>58</v>
      </c>
      <c r="Q9" t="s">
        <v>59</v>
      </c>
      <c r="R9">
        <v>99999</v>
      </c>
      <c r="S9" t="s">
        <v>30</v>
      </c>
      <c r="T9" t="s">
        <v>48</v>
      </c>
      <c r="U9" t="s">
        <v>64</v>
      </c>
      <c r="V9" t="s">
        <v>65</v>
      </c>
      <c r="W9" s="3">
        <v>9.1999999999999993</v>
      </c>
      <c r="X9">
        <v>38</v>
      </c>
      <c r="Y9" s="4">
        <v>349.59999999999997</v>
      </c>
      <c r="Z9" s="3">
        <v>36.008800000000001</v>
      </c>
    </row>
    <row r="10" spans="1:26" x14ac:dyDescent="0.3">
      <c r="A10">
        <v>1009</v>
      </c>
      <c r="B10" s="2">
        <v>41643</v>
      </c>
      <c r="C10">
        <v>4</v>
      </c>
      <c r="D10" t="s">
        <v>40</v>
      </c>
      <c r="E10" t="s">
        <v>41</v>
      </c>
      <c r="F10" t="s">
        <v>42</v>
      </c>
      <c r="G10" t="s">
        <v>43</v>
      </c>
      <c r="H10">
        <v>99999</v>
      </c>
      <c r="I10" t="s">
        <v>30</v>
      </c>
      <c r="J10" t="s">
        <v>44</v>
      </c>
      <c r="K10" t="s">
        <v>45</v>
      </c>
      <c r="L10" s="2">
        <v>41645</v>
      </c>
      <c r="M10" t="s">
        <v>62</v>
      </c>
      <c r="N10" t="s">
        <v>47</v>
      </c>
      <c r="O10" t="s">
        <v>41</v>
      </c>
      <c r="P10" t="s">
        <v>42</v>
      </c>
      <c r="Q10" t="s">
        <v>43</v>
      </c>
      <c r="R10">
        <v>99999</v>
      </c>
      <c r="S10" t="s">
        <v>30</v>
      </c>
      <c r="T10" t="s">
        <v>35</v>
      </c>
      <c r="U10" t="s">
        <v>64</v>
      </c>
      <c r="V10" t="s">
        <v>65</v>
      </c>
      <c r="W10" s="3">
        <v>9.1999999999999993</v>
      </c>
      <c r="X10">
        <v>88</v>
      </c>
      <c r="Y10" s="4">
        <v>809.59999999999991</v>
      </c>
      <c r="Z10" s="3">
        <v>79.340799999999987</v>
      </c>
    </row>
    <row r="11" spans="1:26" x14ac:dyDescent="0.3">
      <c r="A11">
        <v>1010</v>
      </c>
      <c r="B11" s="2">
        <v>41668</v>
      </c>
      <c r="C11">
        <v>29</v>
      </c>
      <c r="D11" t="s">
        <v>66</v>
      </c>
      <c r="E11" t="s">
        <v>67</v>
      </c>
      <c r="F11" t="s">
        <v>68</v>
      </c>
      <c r="G11" t="s">
        <v>69</v>
      </c>
      <c r="H11">
        <v>99999</v>
      </c>
      <c r="I11" t="s">
        <v>30</v>
      </c>
      <c r="J11" t="s">
        <v>70</v>
      </c>
      <c r="K11" t="s">
        <v>32</v>
      </c>
      <c r="L11" s="2">
        <v>41670</v>
      </c>
      <c r="M11" t="s">
        <v>33</v>
      </c>
      <c r="N11" t="s">
        <v>71</v>
      </c>
      <c r="O11" t="s">
        <v>67</v>
      </c>
      <c r="P11" t="s">
        <v>68</v>
      </c>
      <c r="Q11" t="s">
        <v>69</v>
      </c>
      <c r="R11">
        <v>99999</v>
      </c>
      <c r="S11" t="s">
        <v>30</v>
      </c>
      <c r="T11" t="s">
        <v>35</v>
      </c>
      <c r="U11" t="s">
        <v>72</v>
      </c>
      <c r="V11" t="s">
        <v>73</v>
      </c>
      <c r="W11" s="3">
        <v>12.75</v>
      </c>
      <c r="X11">
        <v>94</v>
      </c>
      <c r="Y11" s="4">
        <v>1198.5</v>
      </c>
      <c r="Z11" s="3">
        <v>122.24700000000001</v>
      </c>
    </row>
    <row r="12" spans="1:26" x14ac:dyDescent="0.3">
      <c r="A12">
        <v>1011</v>
      </c>
      <c r="B12" s="2">
        <v>41642</v>
      </c>
      <c r="C12">
        <v>3</v>
      </c>
      <c r="D12" t="s">
        <v>74</v>
      </c>
      <c r="E12" t="s">
        <v>75</v>
      </c>
      <c r="F12" t="s">
        <v>76</v>
      </c>
      <c r="G12" t="s">
        <v>77</v>
      </c>
      <c r="H12">
        <v>99999</v>
      </c>
      <c r="I12" t="s">
        <v>30</v>
      </c>
      <c r="J12" t="s">
        <v>31</v>
      </c>
      <c r="K12" t="s">
        <v>32</v>
      </c>
      <c r="L12" s="2">
        <v>41644</v>
      </c>
      <c r="M12" t="s">
        <v>33</v>
      </c>
      <c r="N12" t="s">
        <v>78</v>
      </c>
      <c r="O12" t="s">
        <v>75</v>
      </c>
      <c r="P12" t="s">
        <v>76</v>
      </c>
      <c r="Q12" t="s">
        <v>77</v>
      </c>
      <c r="R12">
        <v>99999</v>
      </c>
      <c r="S12" t="s">
        <v>30</v>
      </c>
      <c r="T12" t="s">
        <v>79</v>
      </c>
      <c r="U12" t="s">
        <v>80</v>
      </c>
      <c r="V12" t="s">
        <v>81</v>
      </c>
      <c r="W12" s="3">
        <v>9.65</v>
      </c>
      <c r="X12">
        <v>91</v>
      </c>
      <c r="Y12" s="4">
        <v>878.15</v>
      </c>
      <c r="Z12" s="3">
        <v>92.205749999999995</v>
      </c>
    </row>
    <row r="13" spans="1:26" x14ac:dyDescent="0.3">
      <c r="A13">
        <v>1012</v>
      </c>
      <c r="B13" s="2">
        <v>41645</v>
      </c>
      <c r="C13">
        <v>6</v>
      </c>
      <c r="D13" t="s">
        <v>82</v>
      </c>
      <c r="E13" t="s">
        <v>83</v>
      </c>
      <c r="F13" t="s">
        <v>84</v>
      </c>
      <c r="G13" t="s">
        <v>85</v>
      </c>
      <c r="H13">
        <v>99999</v>
      </c>
      <c r="I13" t="s">
        <v>30</v>
      </c>
      <c r="J13" t="s">
        <v>86</v>
      </c>
      <c r="K13" t="s">
        <v>61</v>
      </c>
      <c r="L13" s="2">
        <v>41647</v>
      </c>
      <c r="M13" t="s">
        <v>33</v>
      </c>
      <c r="N13" t="s">
        <v>87</v>
      </c>
      <c r="O13" t="s">
        <v>83</v>
      </c>
      <c r="P13" t="s">
        <v>84</v>
      </c>
      <c r="Q13" t="s">
        <v>85</v>
      </c>
      <c r="R13">
        <v>99999</v>
      </c>
      <c r="S13" t="s">
        <v>30</v>
      </c>
      <c r="T13" t="s">
        <v>48</v>
      </c>
      <c r="U13" t="s">
        <v>88</v>
      </c>
      <c r="V13" t="s">
        <v>89</v>
      </c>
      <c r="W13" s="3">
        <v>40</v>
      </c>
      <c r="X13">
        <v>32</v>
      </c>
      <c r="Y13" s="4">
        <v>1280</v>
      </c>
      <c r="Z13" s="3">
        <v>133.12</v>
      </c>
    </row>
    <row r="14" spans="1:26" x14ac:dyDescent="0.3">
      <c r="A14">
        <v>1013</v>
      </c>
      <c r="B14" s="2">
        <v>41667</v>
      </c>
      <c r="C14">
        <v>28</v>
      </c>
      <c r="D14" t="s">
        <v>90</v>
      </c>
      <c r="E14" t="s">
        <v>91</v>
      </c>
      <c r="F14" t="s">
        <v>92</v>
      </c>
      <c r="G14" t="s">
        <v>93</v>
      </c>
      <c r="H14">
        <v>99999</v>
      </c>
      <c r="I14" t="s">
        <v>30</v>
      </c>
      <c r="J14" t="s">
        <v>94</v>
      </c>
      <c r="K14" t="s">
        <v>95</v>
      </c>
      <c r="L14" s="2">
        <v>41669</v>
      </c>
      <c r="M14" t="s">
        <v>62</v>
      </c>
      <c r="N14" t="s">
        <v>96</v>
      </c>
      <c r="O14" t="s">
        <v>91</v>
      </c>
      <c r="P14" t="s">
        <v>92</v>
      </c>
      <c r="Q14" t="s">
        <v>93</v>
      </c>
      <c r="R14">
        <v>99999</v>
      </c>
      <c r="S14" t="s">
        <v>30</v>
      </c>
      <c r="T14" t="s">
        <v>35</v>
      </c>
      <c r="U14" t="s">
        <v>55</v>
      </c>
      <c r="V14" t="s">
        <v>37</v>
      </c>
      <c r="W14" s="3">
        <v>46</v>
      </c>
      <c r="X14">
        <v>55</v>
      </c>
      <c r="Y14" s="4">
        <v>2530</v>
      </c>
      <c r="Z14" s="3">
        <v>253</v>
      </c>
    </row>
    <row r="15" spans="1:26" x14ac:dyDescent="0.3">
      <c r="A15">
        <v>1014</v>
      </c>
      <c r="B15" s="2">
        <v>41647</v>
      </c>
      <c r="C15">
        <v>8</v>
      </c>
      <c r="D15" t="s">
        <v>56</v>
      </c>
      <c r="E15" t="s">
        <v>57</v>
      </c>
      <c r="F15" t="s">
        <v>58</v>
      </c>
      <c r="G15" t="s">
        <v>59</v>
      </c>
      <c r="H15">
        <v>99999</v>
      </c>
      <c r="I15" t="s">
        <v>30</v>
      </c>
      <c r="J15" t="s">
        <v>60</v>
      </c>
      <c r="K15" t="s">
        <v>61</v>
      </c>
      <c r="L15" s="2">
        <v>41649</v>
      </c>
      <c r="M15" t="s">
        <v>62</v>
      </c>
      <c r="N15" t="s">
        <v>63</v>
      </c>
      <c r="O15" t="s">
        <v>57</v>
      </c>
      <c r="P15" t="s">
        <v>58</v>
      </c>
      <c r="Q15" t="s">
        <v>59</v>
      </c>
      <c r="R15">
        <v>99999</v>
      </c>
      <c r="S15" t="s">
        <v>30</v>
      </c>
      <c r="T15" t="s">
        <v>35</v>
      </c>
      <c r="U15" t="s">
        <v>72</v>
      </c>
      <c r="V15" t="s">
        <v>73</v>
      </c>
      <c r="W15" s="3">
        <v>12.75</v>
      </c>
      <c r="X15">
        <v>47</v>
      </c>
      <c r="Y15" s="4">
        <v>599.25</v>
      </c>
      <c r="Z15" s="3">
        <v>61.722750000000005</v>
      </c>
    </row>
    <row r="16" spans="1:26" x14ac:dyDescent="0.3">
      <c r="A16">
        <v>1015</v>
      </c>
      <c r="B16" s="2">
        <v>41649</v>
      </c>
      <c r="C16">
        <v>10</v>
      </c>
      <c r="D16" t="s">
        <v>97</v>
      </c>
      <c r="E16" t="s">
        <v>98</v>
      </c>
      <c r="F16" t="s">
        <v>99</v>
      </c>
      <c r="G16" t="s">
        <v>100</v>
      </c>
      <c r="H16">
        <v>99999</v>
      </c>
      <c r="I16" t="s">
        <v>30</v>
      </c>
      <c r="J16" t="s">
        <v>101</v>
      </c>
      <c r="K16" t="s">
        <v>45</v>
      </c>
      <c r="L16" s="2">
        <v>41651</v>
      </c>
      <c r="M16" t="s">
        <v>33</v>
      </c>
      <c r="N16" t="s">
        <v>102</v>
      </c>
      <c r="O16" t="s">
        <v>98</v>
      </c>
      <c r="P16" t="s">
        <v>99</v>
      </c>
      <c r="Q16" t="s">
        <v>100</v>
      </c>
      <c r="R16">
        <v>99999</v>
      </c>
      <c r="S16" t="s">
        <v>30</v>
      </c>
      <c r="T16" t="s">
        <v>48</v>
      </c>
      <c r="U16" t="s">
        <v>103</v>
      </c>
      <c r="V16" t="s">
        <v>37</v>
      </c>
      <c r="W16" s="3">
        <v>2.99</v>
      </c>
      <c r="X16">
        <v>90</v>
      </c>
      <c r="Y16" s="4">
        <v>269.10000000000002</v>
      </c>
      <c r="Z16" s="3">
        <v>27.717300000000005</v>
      </c>
    </row>
    <row r="17" spans="1:26" x14ac:dyDescent="0.3">
      <c r="A17">
        <v>1016</v>
      </c>
      <c r="B17" s="2">
        <v>41646</v>
      </c>
      <c r="C17">
        <v>7</v>
      </c>
      <c r="D17" t="s">
        <v>104</v>
      </c>
      <c r="E17" t="s">
        <v>105</v>
      </c>
      <c r="F17" t="s">
        <v>106</v>
      </c>
      <c r="G17" t="s">
        <v>107</v>
      </c>
      <c r="H17">
        <v>99999</v>
      </c>
      <c r="I17" t="s">
        <v>30</v>
      </c>
      <c r="J17" t="s">
        <v>60</v>
      </c>
      <c r="K17" t="s">
        <v>61</v>
      </c>
      <c r="N17" t="s">
        <v>108</v>
      </c>
      <c r="O17" t="s">
        <v>105</v>
      </c>
      <c r="P17" t="s">
        <v>106</v>
      </c>
      <c r="Q17" t="s">
        <v>107</v>
      </c>
      <c r="R17">
        <v>99999</v>
      </c>
      <c r="S17" t="s">
        <v>30</v>
      </c>
      <c r="U17" t="s">
        <v>55</v>
      </c>
      <c r="V17" t="s">
        <v>37</v>
      </c>
      <c r="W17" s="3">
        <v>46</v>
      </c>
      <c r="X17">
        <v>24</v>
      </c>
      <c r="Y17" s="4">
        <v>1104</v>
      </c>
      <c r="Z17" s="3">
        <v>110.4</v>
      </c>
    </row>
    <row r="18" spans="1:26" x14ac:dyDescent="0.3">
      <c r="A18">
        <v>1017</v>
      </c>
      <c r="B18" s="2">
        <v>41649</v>
      </c>
      <c r="C18">
        <v>10</v>
      </c>
      <c r="D18" t="s">
        <v>97</v>
      </c>
      <c r="E18" t="s">
        <v>98</v>
      </c>
      <c r="F18" t="s">
        <v>99</v>
      </c>
      <c r="G18" t="s">
        <v>100</v>
      </c>
      <c r="H18">
        <v>99999</v>
      </c>
      <c r="I18" t="s">
        <v>30</v>
      </c>
      <c r="J18" t="s">
        <v>101</v>
      </c>
      <c r="K18" t="s">
        <v>45</v>
      </c>
      <c r="L18" s="2">
        <v>41651</v>
      </c>
      <c r="M18" t="s">
        <v>46</v>
      </c>
      <c r="N18" t="s">
        <v>102</v>
      </c>
      <c r="O18" t="s">
        <v>98</v>
      </c>
      <c r="P18" t="s">
        <v>99</v>
      </c>
      <c r="Q18" t="s">
        <v>100</v>
      </c>
      <c r="R18">
        <v>99999</v>
      </c>
      <c r="S18" t="s">
        <v>30</v>
      </c>
      <c r="U18" t="s">
        <v>109</v>
      </c>
      <c r="V18" t="s">
        <v>110</v>
      </c>
      <c r="W18" s="3">
        <v>25</v>
      </c>
      <c r="X18">
        <v>34</v>
      </c>
      <c r="Y18" s="4">
        <v>850</v>
      </c>
      <c r="Z18" s="3">
        <v>80.75</v>
      </c>
    </row>
    <row r="19" spans="1:26" x14ac:dyDescent="0.3">
      <c r="A19">
        <v>1018</v>
      </c>
      <c r="B19" s="2">
        <v>41649</v>
      </c>
      <c r="C19">
        <v>10</v>
      </c>
      <c r="D19" t="s">
        <v>97</v>
      </c>
      <c r="E19" t="s">
        <v>98</v>
      </c>
      <c r="F19" t="s">
        <v>99</v>
      </c>
      <c r="G19" t="s">
        <v>100</v>
      </c>
      <c r="H19">
        <v>99999</v>
      </c>
      <c r="I19" t="s">
        <v>30</v>
      </c>
      <c r="J19" t="s">
        <v>101</v>
      </c>
      <c r="K19" t="s">
        <v>45</v>
      </c>
      <c r="L19" s="2">
        <v>41651</v>
      </c>
      <c r="M19" t="s">
        <v>46</v>
      </c>
      <c r="N19" t="s">
        <v>102</v>
      </c>
      <c r="O19" t="s">
        <v>98</v>
      </c>
      <c r="P19" t="s">
        <v>99</v>
      </c>
      <c r="Q19" t="s">
        <v>100</v>
      </c>
      <c r="R19">
        <v>99999</v>
      </c>
      <c r="S19" t="s">
        <v>30</v>
      </c>
      <c r="U19" t="s">
        <v>111</v>
      </c>
      <c r="V19" t="s">
        <v>112</v>
      </c>
      <c r="W19" s="3">
        <v>22</v>
      </c>
      <c r="X19">
        <v>17</v>
      </c>
      <c r="Y19" s="4">
        <v>374</v>
      </c>
      <c r="Z19" s="3">
        <v>35.903999999999996</v>
      </c>
    </row>
    <row r="20" spans="1:26" x14ac:dyDescent="0.3">
      <c r="A20">
        <v>1019</v>
      </c>
      <c r="B20" s="2">
        <v>41649</v>
      </c>
      <c r="C20">
        <v>10</v>
      </c>
      <c r="D20" t="s">
        <v>97</v>
      </c>
      <c r="E20" t="s">
        <v>98</v>
      </c>
      <c r="F20" t="s">
        <v>99</v>
      </c>
      <c r="G20" t="s">
        <v>100</v>
      </c>
      <c r="H20">
        <v>99999</v>
      </c>
      <c r="I20" t="s">
        <v>30</v>
      </c>
      <c r="J20" t="s">
        <v>101</v>
      </c>
      <c r="K20" t="s">
        <v>45</v>
      </c>
      <c r="L20" s="2">
        <v>41651</v>
      </c>
      <c r="M20" t="s">
        <v>46</v>
      </c>
      <c r="N20" t="s">
        <v>102</v>
      </c>
      <c r="O20" t="s">
        <v>98</v>
      </c>
      <c r="P20" t="s">
        <v>99</v>
      </c>
      <c r="Q20" t="s">
        <v>100</v>
      </c>
      <c r="R20">
        <v>99999</v>
      </c>
      <c r="S20" t="s">
        <v>30</v>
      </c>
      <c r="U20" t="s">
        <v>64</v>
      </c>
      <c r="V20" t="s">
        <v>65</v>
      </c>
      <c r="W20" s="3">
        <v>9.1999999999999993</v>
      </c>
      <c r="X20">
        <v>44</v>
      </c>
      <c r="Y20" s="4">
        <v>404.79999999999995</v>
      </c>
      <c r="Z20" s="3">
        <v>42.099199999999996</v>
      </c>
    </row>
    <row r="21" spans="1:26" x14ac:dyDescent="0.3">
      <c r="A21">
        <v>1020</v>
      </c>
      <c r="B21" s="2">
        <v>41650</v>
      </c>
      <c r="C21">
        <v>11</v>
      </c>
      <c r="D21" t="s">
        <v>113</v>
      </c>
      <c r="E21" t="s">
        <v>114</v>
      </c>
      <c r="F21" t="s">
        <v>115</v>
      </c>
      <c r="G21" t="s">
        <v>116</v>
      </c>
      <c r="H21">
        <v>99999</v>
      </c>
      <c r="I21" t="s">
        <v>30</v>
      </c>
      <c r="J21" t="s">
        <v>94</v>
      </c>
      <c r="K21" t="s">
        <v>95</v>
      </c>
      <c r="M21" t="s">
        <v>62</v>
      </c>
      <c r="N21" t="s">
        <v>117</v>
      </c>
      <c r="O21" t="s">
        <v>114</v>
      </c>
      <c r="P21" t="s">
        <v>115</v>
      </c>
      <c r="Q21" t="s">
        <v>116</v>
      </c>
      <c r="R21">
        <v>99999</v>
      </c>
      <c r="S21" t="s">
        <v>30</v>
      </c>
      <c r="U21" t="s">
        <v>38</v>
      </c>
      <c r="V21" t="s">
        <v>39</v>
      </c>
      <c r="W21" s="3">
        <v>3.5</v>
      </c>
      <c r="X21">
        <v>81</v>
      </c>
      <c r="Y21" s="4">
        <v>283.5</v>
      </c>
      <c r="Z21" s="3">
        <v>27.499500000000001</v>
      </c>
    </row>
    <row r="22" spans="1:26" x14ac:dyDescent="0.3">
      <c r="A22">
        <v>1021</v>
      </c>
      <c r="B22" s="2">
        <v>41650</v>
      </c>
      <c r="C22">
        <v>11</v>
      </c>
      <c r="D22" t="s">
        <v>113</v>
      </c>
      <c r="E22" t="s">
        <v>114</v>
      </c>
      <c r="F22" t="s">
        <v>115</v>
      </c>
      <c r="G22" t="s">
        <v>116</v>
      </c>
      <c r="H22">
        <v>99999</v>
      </c>
      <c r="I22" t="s">
        <v>30</v>
      </c>
      <c r="J22" t="s">
        <v>94</v>
      </c>
      <c r="K22" t="s">
        <v>95</v>
      </c>
      <c r="M22" t="s">
        <v>62</v>
      </c>
      <c r="N22" t="s">
        <v>117</v>
      </c>
      <c r="O22" t="s">
        <v>114</v>
      </c>
      <c r="P22" t="s">
        <v>115</v>
      </c>
      <c r="Q22" t="s">
        <v>116</v>
      </c>
      <c r="R22">
        <v>99999</v>
      </c>
      <c r="S22" t="s">
        <v>30</v>
      </c>
      <c r="U22" t="s">
        <v>103</v>
      </c>
      <c r="V22" t="s">
        <v>37</v>
      </c>
      <c r="W22" s="3">
        <v>2.99</v>
      </c>
      <c r="X22">
        <v>49</v>
      </c>
      <c r="Y22" s="4">
        <v>146.51000000000002</v>
      </c>
      <c r="Z22" s="3">
        <v>15.090530000000005</v>
      </c>
    </row>
    <row r="23" spans="1:26" x14ac:dyDescent="0.3">
      <c r="A23">
        <v>1022</v>
      </c>
      <c r="B23" s="2">
        <v>41640</v>
      </c>
      <c r="C23">
        <v>1</v>
      </c>
      <c r="D23" t="s">
        <v>118</v>
      </c>
      <c r="E23" t="s">
        <v>119</v>
      </c>
      <c r="F23" t="s">
        <v>120</v>
      </c>
      <c r="G23" t="s">
        <v>121</v>
      </c>
      <c r="H23">
        <v>99999</v>
      </c>
      <c r="I23" t="s">
        <v>30</v>
      </c>
      <c r="J23" t="s">
        <v>60</v>
      </c>
      <c r="K23" t="s">
        <v>61</v>
      </c>
      <c r="N23" t="s">
        <v>122</v>
      </c>
      <c r="O23" t="s">
        <v>119</v>
      </c>
      <c r="P23" t="s">
        <v>120</v>
      </c>
      <c r="Q23" t="s">
        <v>121</v>
      </c>
      <c r="R23">
        <v>99999</v>
      </c>
      <c r="S23" t="s">
        <v>30</v>
      </c>
      <c r="U23" t="s">
        <v>54</v>
      </c>
      <c r="V23" t="s">
        <v>37</v>
      </c>
      <c r="W23" s="3">
        <v>18</v>
      </c>
      <c r="X23">
        <v>42</v>
      </c>
      <c r="Y23" s="4">
        <v>756</v>
      </c>
      <c r="Z23" s="3">
        <v>75.600000000000009</v>
      </c>
    </row>
    <row r="24" spans="1:26" x14ac:dyDescent="0.3">
      <c r="A24">
        <v>1023</v>
      </c>
      <c r="B24" s="2">
        <v>41640</v>
      </c>
      <c r="C24">
        <v>1</v>
      </c>
      <c r="D24" t="s">
        <v>118</v>
      </c>
      <c r="E24" t="s">
        <v>119</v>
      </c>
      <c r="F24" t="s">
        <v>120</v>
      </c>
      <c r="G24" t="s">
        <v>121</v>
      </c>
      <c r="H24">
        <v>99999</v>
      </c>
      <c r="I24" t="s">
        <v>30</v>
      </c>
      <c r="J24" t="s">
        <v>60</v>
      </c>
      <c r="K24" t="s">
        <v>61</v>
      </c>
      <c r="N24" t="s">
        <v>122</v>
      </c>
      <c r="O24" t="s">
        <v>119</v>
      </c>
      <c r="P24" t="s">
        <v>120</v>
      </c>
      <c r="Q24" t="s">
        <v>121</v>
      </c>
      <c r="R24">
        <v>99999</v>
      </c>
      <c r="S24" t="s">
        <v>30</v>
      </c>
      <c r="U24" t="s">
        <v>55</v>
      </c>
      <c r="V24" t="s">
        <v>37</v>
      </c>
      <c r="W24" s="3">
        <v>46</v>
      </c>
      <c r="X24">
        <v>58</v>
      </c>
      <c r="Y24" s="4">
        <v>2668</v>
      </c>
      <c r="Z24" s="3">
        <v>269.46800000000002</v>
      </c>
    </row>
    <row r="25" spans="1:26" x14ac:dyDescent="0.3">
      <c r="A25">
        <v>1024</v>
      </c>
      <c r="B25" s="2">
        <v>41640</v>
      </c>
      <c r="C25">
        <v>1</v>
      </c>
      <c r="D25" t="s">
        <v>118</v>
      </c>
      <c r="E25" t="s">
        <v>119</v>
      </c>
      <c r="F25" t="s">
        <v>120</v>
      </c>
      <c r="G25" t="s">
        <v>121</v>
      </c>
      <c r="H25">
        <v>99999</v>
      </c>
      <c r="I25" t="s">
        <v>30</v>
      </c>
      <c r="J25" t="s">
        <v>60</v>
      </c>
      <c r="K25" t="s">
        <v>61</v>
      </c>
      <c r="N25" t="s">
        <v>122</v>
      </c>
      <c r="O25" t="s">
        <v>119</v>
      </c>
      <c r="P25" t="s">
        <v>120</v>
      </c>
      <c r="Q25" t="s">
        <v>121</v>
      </c>
      <c r="R25">
        <v>99999</v>
      </c>
      <c r="S25" t="s">
        <v>30</v>
      </c>
      <c r="U25" t="s">
        <v>103</v>
      </c>
      <c r="V25" t="s">
        <v>37</v>
      </c>
      <c r="W25" s="3">
        <v>2.99</v>
      </c>
      <c r="X25">
        <v>67</v>
      </c>
      <c r="Y25" s="4">
        <v>200.33</v>
      </c>
      <c r="Z25" s="3">
        <v>20.033000000000001</v>
      </c>
    </row>
    <row r="26" spans="1:26" x14ac:dyDescent="0.3">
      <c r="A26">
        <v>1025</v>
      </c>
      <c r="B26" s="2">
        <v>41667</v>
      </c>
      <c r="C26">
        <v>28</v>
      </c>
      <c r="D26" t="s">
        <v>90</v>
      </c>
      <c r="E26" t="s">
        <v>91</v>
      </c>
      <c r="F26" t="s">
        <v>92</v>
      </c>
      <c r="G26" t="s">
        <v>93</v>
      </c>
      <c r="H26">
        <v>99999</v>
      </c>
      <c r="I26" t="s">
        <v>30</v>
      </c>
      <c r="J26" t="s">
        <v>94</v>
      </c>
      <c r="K26" t="s">
        <v>95</v>
      </c>
      <c r="L26" s="2">
        <v>41669</v>
      </c>
      <c r="M26" t="s">
        <v>62</v>
      </c>
      <c r="N26" t="s">
        <v>96</v>
      </c>
      <c r="O26" t="s">
        <v>91</v>
      </c>
      <c r="P26" t="s">
        <v>92</v>
      </c>
      <c r="Q26" t="s">
        <v>93</v>
      </c>
      <c r="R26">
        <v>99999</v>
      </c>
      <c r="S26" t="s">
        <v>30</v>
      </c>
      <c r="T26" t="s">
        <v>48</v>
      </c>
      <c r="U26" t="s">
        <v>80</v>
      </c>
      <c r="V26" t="s">
        <v>81</v>
      </c>
      <c r="W26" s="3">
        <v>9.65</v>
      </c>
      <c r="X26">
        <v>100</v>
      </c>
      <c r="Y26" s="4">
        <v>965</v>
      </c>
      <c r="Z26" s="3">
        <v>93.605000000000004</v>
      </c>
    </row>
    <row r="27" spans="1:26" x14ac:dyDescent="0.3">
      <c r="A27">
        <v>1026</v>
      </c>
      <c r="B27" s="2">
        <v>41667</v>
      </c>
      <c r="C27">
        <v>28</v>
      </c>
      <c r="D27" t="s">
        <v>90</v>
      </c>
      <c r="E27" t="s">
        <v>91</v>
      </c>
      <c r="F27" t="s">
        <v>92</v>
      </c>
      <c r="G27" t="s">
        <v>93</v>
      </c>
      <c r="H27">
        <v>99999</v>
      </c>
      <c r="I27" t="s">
        <v>30</v>
      </c>
      <c r="J27" t="s">
        <v>94</v>
      </c>
      <c r="K27" t="s">
        <v>95</v>
      </c>
      <c r="L27" s="2">
        <v>41669</v>
      </c>
      <c r="M27" t="s">
        <v>62</v>
      </c>
      <c r="N27" t="s">
        <v>96</v>
      </c>
      <c r="O27" t="s">
        <v>91</v>
      </c>
      <c r="P27" t="s">
        <v>92</v>
      </c>
      <c r="Q27" t="s">
        <v>93</v>
      </c>
      <c r="R27">
        <v>99999</v>
      </c>
      <c r="S27" t="s">
        <v>30</v>
      </c>
      <c r="T27" t="s">
        <v>48</v>
      </c>
      <c r="U27" t="s">
        <v>123</v>
      </c>
      <c r="V27" t="s">
        <v>124</v>
      </c>
      <c r="W27" s="3">
        <v>18.399999999999999</v>
      </c>
      <c r="X27">
        <v>63</v>
      </c>
      <c r="Y27" s="4">
        <v>1159.1999999999998</v>
      </c>
      <c r="Z27" s="3">
        <v>114.76079999999999</v>
      </c>
    </row>
    <row r="28" spans="1:26" x14ac:dyDescent="0.3">
      <c r="A28">
        <v>1027</v>
      </c>
      <c r="B28" s="2">
        <v>41648</v>
      </c>
      <c r="C28">
        <v>9</v>
      </c>
      <c r="D28" t="s">
        <v>125</v>
      </c>
      <c r="E28" t="s">
        <v>126</v>
      </c>
      <c r="F28" t="s">
        <v>127</v>
      </c>
      <c r="G28" t="s">
        <v>128</v>
      </c>
      <c r="H28">
        <v>99999</v>
      </c>
      <c r="I28" t="s">
        <v>30</v>
      </c>
      <c r="J28" t="s">
        <v>129</v>
      </c>
      <c r="K28" t="s">
        <v>32</v>
      </c>
      <c r="L28" s="2">
        <v>41650</v>
      </c>
      <c r="M28" t="s">
        <v>46</v>
      </c>
      <c r="N28" t="s">
        <v>130</v>
      </c>
      <c r="O28" t="s">
        <v>126</v>
      </c>
      <c r="P28" t="s">
        <v>127</v>
      </c>
      <c r="Q28" t="s">
        <v>128</v>
      </c>
      <c r="R28">
        <v>99999</v>
      </c>
      <c r="S28" t="s">
        <v>30</v>
      </c>
      <c r="T28" t="s">
        <v>35</v>
      </c>
      <c r="U28" t="s">
        <v>131</v>
      </c>
      <c r="V28" t="s">
        <v>132</v>
      </c>
      <c r="W28" s="3">
        <v>19.5</v>
      </c>
      <c r="X28">
        <v>57</v>
      </c>
      <c r="Y28" s="4">
        <v>1111.5</v>
      </c>
      <c r="Z28" s="3">
        <v>110.0385</v>
      </c>
    </row>
    <row r="29" spans="1:26" x14ac:dyDescent="0.3">
      <c r="A29">
        <v>1028</v>
      </c>
      <c r="B29" s="2">
        <v>41648</v>
      </c>
      <c r="C29">
        <v>9</v>
      </c>
      <c r="D29" t="s">
        <v>125</v>
      </c>
      <c r="E29" t="s">
        <v>126</v>
      </c>
      <c r="F29" t="s">
        <v>127</v>
      </c>
      <c r="G29" t="s">
        <v>128</v>
      </c>
      <c r="H29">
        <v>99999</v>
      </c>
      <c r="I29" t="s">
        <v>30</v>
      </c>
      <c r="J29" t="s">
        <v>129</v>
      </c>
      <c r="K29" t="s">
        <v>32</v>
      </c>
      <c r="L29" s="2">
        <v>41650</v>
      </c>
      <c r="M29" t="s">
        <v>46</v>
      </c>
      <c r="N29" t="s">
        <v>130</v>
      </c>
      <c r="O29" t="s">
        <v>126</v>
      </c>
      <c r="P29" t="s">
        <v>127</v>
      </c>
      <c r="Q29" t="s">
        <v>128</v>
      </c>
      <c r="R29">
        <v>99999</v>
      </c>
      <c r="S29" t="s">
        <v>30</v>
      </c>
      <c r="T29" t="s">
        <v>35</v>
      </c>
      <c r="U29" t="s">
        <v>133</v>
      </c>
      <c r="V29" t="s">
        <v>134</v>
      </c>
      <c r="W29" s="3">
        <v>34.799999999999997</v>
      </c>
      <c r="X29">
        <v>81</v>
      </c>
      <c r="Y29" s="4">
        <v>2818.7999999999997</v>
      </c>
      <c r="Z29" s="3">
        <v>295.97399999999999</v>
      </c>
    </row>
    <row r="30" spans="1:26" x14ac:dyDescent="0.3">
      <c r="A30">
        <v>1029</v>
      </c>
      <c r="B30" s="2">
        <v>41645</v>
      </c>
      <c r="C30">
        <v>6</v>
      </c>
      <c r="D30" t="s">
        <v>82</v>
      </c>
      <c r="E30" t="s">
        <v>83</v>
      </c>
      <c r="F30" t="s">
        <v>84</v>
      </c>
      <c r="G30" t="s">
        <v>85</v>
      </c>
      <c r="H30">
        <v>99999</v>
      </c>
      <c r="I30" t="s">
        <v>30</v>
      </c>
      <c r="J30" t="s">
        <v>86</v>
      </c>
      <c r="K30" t="s">
        <v>61</v>
      </c>
      <c r="L30" s="2">
        <v>41647</v>
      </c>
      <c r="M30" t="s">
        <v>33</v>
      </c>
      <c r="N30" t="s">
        <v>87</v>
      </c>
      <c r="O30" t="s">
        <v>83</v>
      </c>
      <c r="P30" t="s">
        <v>84</v>
      </c>
      <c r="Q30" t="s">
        <v>85</v>
      </c>
      <c r="R30">
        <v>99999</v>
      </c>
      <c r="S30" t="s">
        <v>30</v>
      </c>
      <c r="T30" t="s">
        <v>48</v>
      </c>
      <c r="U30" t="s">
        <v>36</v>
      </c>
      <c r="V30" t="s">
        <v>37</v>
      </c>
      <c r="W30" s="3">
        <v>14</v>
      </c>
      <c r="X30">
        <v>71</v>
      </c>
      <c r="Y30" s="4">
        <v>994</v>
      </c>
      <c r="Z30" s="3">
        <v>95.424000000000007</v>
      </c>
    </row>
    <row r="31" spans="1:26" x14ac:dyDescent="0.3">
      <c r="A31">
        <v>1030</v>
      </c>
      <c r="B31" s="2">
        <v>41678</v>
      </c>
      <c r="C31">
        <v>8</v>
      </c>
      <c r="D31" t="s">
        <v>56</v>
      </c>
      <c r="E31" t="s">
        <v>57</v>
      </c>
      <c r="F31" t="s">
        <v>58</v>
      </c>
      <c r="G31" t="s">
        <v>59</v>
      </c>
      <c r="H31">
        <v>99999</v>
      </c>
      <c r="I31" t="s">
        <v>30</v>
      </c>
      <c r="J31" t="s">
        <v>60</v>
      </c>
      <c r="K31" t="s">
        <v>61</v>
      </c>
      <c r="L31" s="2">
        <v>41680</v>
      </c>
      <c r="M31" t="s">
        <v>33</v>
      </c>
      <c r="N31" t="s">
        <v>63</v>
      </c>
      <c r="O31" t="s">
        <v>57</v>
      </c>
      <c r="P31" t="s">
        <v>58</v>
      </c>
      <c r="Q31" t="s">
        <v>59</v>
      </c>
      <c r="R31">
        <v>99999</v>
      </c>
      <c r="S31" t="s">
        <v>30</v>
      </c>
      <c r="T31" t="s">
        <v>35</v>
      </c>
      <c r="U31" t="s">
        <v>88</v>
      </c>
      <c r="V31" t="s">
        <v>89</v>
      </c>
      <c r="W31" s="3">
        <v>40</v>
      </c>
      <c r="X31">
        <v>32</v>
      </c>
      <c r="Y31" s="4">
        <v>1280</v>
      </c>
      <c r="Z31" s="3">
        <v>129.28</v>
      </c>
    </row>
    <row r="32" spans="1:26" x14ac:dyDescent="0.3">
      <c r="A32">
        <v>1031</v>
      </c>
      <c r="B32" s="2">
        <v>41673</v>
      </c>
      <c r="C32">
        <v>3</v>
      </c>
      <c r="D32" t="s">
        <v>74</v>
      </c>
      <c r="E32" t="s">
        <v>75</v>
      </c>
      <c r="F32" t="s">
        <v>76</v>
      </c>
      <c r="G32" t="s">
        <v>77</v>
      </c>
      <c r="H32">
        <v>99999</v>
      </c>
      <c r="I32" t="s">
        <v>30</v>
      </c>
      <c r="J32" t="s">
        <v>31</v>
      </c>
      <c r="K32" t="s">
        <v>32</v>
      </c>
      <c r="L32" s="2">
        <v>41675</v>
      </c>
      <c r="M32" t="s">
        <v>33</v>
      </c>
      <c r="N32" t="s">
        <v>78</v>
      </c>
      <c r="O32" t="s">
        <v>75</v>
      </c>
      <c r="P32" t="s">
        <v>76</v>
      </c>
      <c r="Q32" t="s">
        <v>77</v>
      </c>
      <c r="R32">
        <v>99999</v>
      </c>
      <c r="S32" t="s">
        <v>30</v>
      </c>
      <c r="T32" t="s">
        <v>79</v>
      </c>
      <c r="U32" t="s">
        <v>135</v>
      </c>
      <c r="V32" t="s">
        <v>112</v>
      </c>
      <c r="W32">
        <v>10</v>
      </c>
      <c r="X32">
        <v>63</v>
      </c>
      <c r="Y32" s="4">
        <v>630</v>
      </c>
      <c r="Z32" s="3">
        <v>65.52</v>
      </c>
    </row>
    <row r="33" spans="1:26" x14ac:dyDescent="0.3">
      <c r="A33">
        <v>1032</v>
      </c>
      <c r="B33" s="2">
        <v>41673</v>
      </c>
      <c r="C33">
        <v>3</v>
      </c>
      <c r="D33" t="s">
        <v>74</v>
      </c>
      <c r="E33" t="s">
        <v>75</v>
      </c>
      <c r="F33" t="s">
        <v>76</v>
      </c>
      <c r="G33" t="s">
        <v>77</v>
      </c>
      <c r="H33">
        <v>99999</v>
      </c>
      <c r="I33" t="s">
        <v>30</v>
      </c>
      <c r="J33" t="s">
        <v>31</v>
      </c>
      <c r="K33" t="s">
        <v>32</v>
      </c>
      <c r="L33" s="2">
        <v>41675</v>
      </c>
      <c r="M33" t="s">
        <v>33</v>
      </c>
      <c r="N33" t="s">
        <v>78</v>
      </c>
      <c r="O33" t="s">
        <v>75</v>
      </c>
      <c r="P33" t="s">
        <v>76</v>
      </c>
      <c r="Q33" t="s">
        <v>77</v>
      </c>
      <c r="R33">
        <v>99999</v>
      </c>
      <c r="S33" t="s">
        <v>30</v>
      </c>
      <c r="T33" t="s">
        <v>79</v>
      </c>
      <c r="U33" t="s">
        <v>88</v>
      </c>
      <c r="V33" t="s">
        <v>89</v>
      </c>
      <c r="W33">
        <v>40</v>
      </c>
      <c r="X33">
        <v>30</v>
      </c>
      <c r="Y33" s="4">
        <v>1200</v>
      </c>
      <c r="Z33" s="3">
        <v>120</v>
      </c>
    </row>
    <row r="34" spans="1:26" x14ac:dyDescent="0.3">
      <c r="A34">
        <v>1033</v>
      </c>
      <c r="B34" s="2">
        <v>41676</v>
      </c>
      <c r="C34">
        <v>6</v>
      </c>
      <c r="D34" t="s">
        <v>82</v>
      </c>
      <c r="E34" t="s">
        <v>83</v>
      </c>
      <c r="F34" t="s">
        <v>84</v>
      </c>
      <c r="G34" t="s">
        <v>85</v>
      </c>
      <c r="H34">
        <v>99999</v>
      </c>
      <c r="I34" t="s">
        <v>30</v>
      </c>
      <c r="J34" t="s">
        <v>86</v>
      </c>
      <c r="K34" t="s">
        <v>61</v>
      </c>
      <c r="L34" s="2">
        <v>41678</v>
      </c>
      <c r="M34" t="s">
        <v>33</v>
      </c>
      <c r="N34" t="s">
        <v>87</v>
      </c>
      <c r="O34" t="s">
        <v>83</v>
      </c>
      <c r="P34" t="s">
        <v>84</v>
      </c>
      <c r="Q34" t="s">
        <v>85</v>
      </c>
      <c r="R34">
        <v>99999</v>
      </c>
      <c r="S34" t="s">
        <v>30</v>
      </c>
      <c r="T34" t="s">
        <v>48</v>
      </c>
      <c r="V34" t="s">
        <v>163</v>
      </c>
      <c r="Y34" s="4">
        <v>10</v>
      </c>
      <c r="Z34" s="3">
        <v>43</v>
      </c>
    </row>
    <row r="35" spans="1:26" x14ac:dyDescent="0.3">
      <c r="A35">
        <v>1034</v>
      </c>
      <c r="B35" s="2">
        <v>41698</v>
      </c>
      <c r="C35">
        <v>28</v>
      </c>
      <c r="D35" t="s">
        <v>90</v>
      </c>
      <c r="E35" t="s">
        <v>91</v>
      </c>
      <c r="F35" t="s">
        <v>92</v>
      </c>
      <c r="G35" t="s">
        <v>93</v>
      </c>
      <c r="H35">
        <v>99999</v>
      </c>
      <c r="I35" t="s">
        <v>30</v>
      </c>
      <c r="J35" t="s">
        <v>94</v>
      </c>
      <c r="K35" t="s">
        <v>95</v>
      </c>
      <c r="L35" s="2">
        <v>41700</v>
      </c>
      <c r="M35" t="s">
        <v>62</v>
      </c>
      <c r="N35" t="s">
        <v>96</v>
      </c>
      <c r="O35" t="s">
        <v>91</v>
      </c>
      <c r="P35" t="s">
        <v>92</v>
      </c>
      <c r="Q35" t="s">
        <v>93</v>
      </c>
      <c r="R35">
        <v>99999</v>
      </c>
      <c r="S35" t="s">
        <v>30</v>
      </c>
      <c r="T35" t="s">
        <v>35</v>
      </c>
      <c r="V35" t="s">
        <v>163</v>
      </c>
      <c r="Y35" s="4">
        <v>10</v>
      </c>
      <c r="Z35" s="3">
        <v>31</v>
      </c>
    </row>
    <row r="36" spans="1:26" x14ac:dyDescent="0.3">
      <c r="A36">
        <v>1035</v>
      </c>
      <c r="B36" s="2">
        <v>41678</v>
      </c>
      <c r="C36">
        <v>8</v>
      </c>
      <c r="D36" t="s">
        <v>56</v>
      </c>
      <c r="E36" t="s">
        <v>57</v>
      </c>
      <c r="F36" t="s">
        <v>58</v>
      </c>
      <c r="G36" t="s">
        <v>59</v>
      </c>
      <c r="H36">
        <v>99999</v>
      </c>
      <c r="I36" t="s">
        <v>30</v>
      </c>
      <c r="J36" t="s">
        <v>60</v>
      </c>
      <c r="K36" t="s">
        <v>61</v>
      </c>
      <c r="L36" s="2">
        <v>41680</v>
      </c>
      <c r="M36" t="s">
        <v>62</v>
      </c>
      <c r="N36" t="s">
        <v>63</v>
      </c>
      <c r="O36" t="s">
        <v>57</v>
      </c>
      <c r="P36" t="s">
        <v>58</v>
      </c>
      <c r="Q36" t="s">
        <v>59</v>
      </c>
      <c r="R36">
        <v>99999</v>
      </c>
      <c r="S36" t="s">
        <v>30</v>
      </c>
      <c r="T36" t="s">
        <v>35</v>
      </c>
      <c r="V36" t="s">
        <v>163</v>
      </c>
      <c r="Y36" s="4">
        <v>10</v>
      </c>
      <c r="Z36" s="3">
        <v>46</v>
      </c>
    </row>
    <row r="37" spans="1:26" x14ac:dyDescent="0.3">
      <c r="A37">
        <v>1036</v>
      </c>
      <c r="B37" s="2">
        <v>41680</v>
      </c>
      <c r="C37">
        <v>10</v>
      </c>
      <c r="D37" t="s">
        <v>97</v>
      </c>
      <c r="E37" t="s">
        <v>98</v>
      </c>
      <c r="F37" t="s">
        <v>99</v>
      </c>
      <c r="G37" t="s">
        <v>100</v>
      </c>
      <c r="H37">
        <v>99999</v>
      </c>
      <c r="I37" t="s">
        <v>30</v>
      </c>
      <c r="J37" t="s">
        <v>101</v>
      </c>
      <c r="K37" t="s">
        <v>45</v>
      </c>
      <c r="L37" s="2">
        <v>41682</v>
      </c>
      <c r="M37" t="s">
        <v>33</v>
      </c>
      <c r="N37" t="s">
        <v>102</v>
      </c>
      <c r="O37" t="s">
        <v>98</v>
      </c>
      <c r="P37" t="s">
        <v>99</v>
      </c>
      <c r="Q37" t="s">
        <v>100</v>
      </c>
      <c r="R37">
        <v>99999</v>
      </c>
      <c r="S37" t="s">
        <v>30</v>
      </c>
      <c r="T37" t="s">
        <v>48</v>
      </c>
      <c r="U37" t="s">
        <v>136</v>
      </c>
      <c r="V37" t="s">
        <v>39</v>
      </c>
      <c r="W37">
        <v>10</v>
      </c>
      <c r="X37">
        <v>47</v>
      </c>
      <c r="Y37" s="4">
        <v>470</v>
      </c>
      <c r="Z37" s="3">
        <v>48.88</v>
      </c>
    </row>
    <row r="38" spans="1:26" x14ac:dyDescent="0.3">
      <c r="A38">
        <v>1038</v>
      </c>
      <c r="B38" s="2">
        <v>41680</v>
      </c>
      <c r="C38">
        <v>10</v>
      </c>
      <c r="D38" t="s">
        <v>97</v>
      </c>
      <c r="E38" t="s">
        <v>98</v>
      </c>
      <c r="F38" t="s">
        <v>99</v>
      </c>
      <c r="G38" t="s">
        <v>100</v>
      </c>
      <c r="H38">
        <v>99999</v>
      </c>
      <c r="I38" t="s">
        <v>30</v>
      </c>
      <c r="J38" t="s">
        <v>101</v>
      </c>
      <c r="K38" t="s">
        <v>45</v>
      </c>
      <c r="M38" t="s">
        <v>46</v>
      </c>
      <c r="N38" t="s">
        <v>102</v>
      </c>
      <c r="O38" t="s">
        <v>98</v>
      </c>
      <c r="P38" t="s">
        <v>99</v>
      </c>
      <c r="Q38" t="s">
        <v>100</v>
      </c>
      <c r="R38">
        <v>99999</v>
      </c>
      <c r="S38" t="s">
        <v>30</v>
      </c>
      <c r="U38" t="s">
        <v>38</v>
      </c>
      <c r="V38" t="s">
        <v>39</v>
      </c>
      <c r="W38">
        <v>3.5</v>
      </c>
      <c r="X38">
        <v>49</v>
      </c>
      <c r="Y38" s="4">
        <v>171.5</v>
      </c>
      <c r="Z38" s="3">
        <v>16.464000000000002</v>
      </c>
    </row>
    <row r="39" spans="1:26" x14ac:dyDescent="0.3">
      <c r="A39">
        <v>1039</v>
      </c>
      <c r="B39" s="2">
        <v>41681</v>
      </c>
      <c r="C39">
        <v>11</v>
      </c>
      <c r="D39" t="s">
        <v>113</v>
      </c>
      <c r="E39" t="s">
        <v>114</v>
      </c>
      <c r="F39" t="s">
        <v>115</v>
      </c>
      <c r="G39" t="s">
        <v>116</v>
      </c>
      <c r="H39">
        <v>99999</v>
      </c>
      <c r="I39" t="s">
        <v>30</v>
      </c>
      <c r="J39" t="s">
        <v>94</v>
      </c>
      <c r="K39" t="s">
        <v>95</v>
      </c>
      <c r="M39" t="s">
        <v>62</v>
      </c>
      <c r="N39" t="s">
        <v>117</v>
      </c>
      <c r="O39" t="s">
        <v>114</v>
      </c>
      <c r="P39" t="s">
        <v>115</v>
      </c>
      <c r="Q39" t="s">
        <v>116</v>
      </c>
      <c r="R39">
        <v>99999</v>
      </c>
      <c r="S39" t="s">
        <v>30</v>
      </c>
      <c r="U39" t="s">
        <v>88</v>
      </c>
      <c r="V39" t="s">
        <v>89</v>
      </c>
      <c r="W39">
        <v>40</v>
      </c>
      <c r="X39">
        <v>72</v>
      </c>
      <c r="Y39" s="4">
        <v>2880</v>
      </c>
      <c r="Z39" s="3">
        <v>285.12</v>
      </c>
    </row>
    <row r="40" spans="1:26" x14ac:dyDescent="0.3">
      <c r="A40">
        <v>1040</v>
      </c>
      <c r="B40" s="2">
        <v>41671</v>
      </c>
      <c r="C40">
        <v>1</v>
      </c>
      <c r="D40" t="s">
        <v>118</v>
      </c>
      <c r="E40" t="s">
        <v>119</v>
      </c>
      <c r="F40" t="s">
        <v>120</v>
      </c>
      <c r="G40" t="s">
        <v>121</v>
      </c>
      <c r="H40">
        <v>99999</v>
      </c>
      <c r="I40" t="s">
        <v>30</v>
      </c>
      <c r="J40" t="s">
        <v>60</v>
      </c>
      <c r="K40" t="s">
        <v>61</v>
      </c>
      <c r="M40" t="s">
        <v>62</v>
      </c>
      <c r="N40" t="s">
        <v>122</v>
      </c>
      <c r="O40" t="s">
        <v>119</v>
      </c>
      <c r="P40" t="s">
        <v>120</v>
      </c>
      <c r="Q40" t="s">
        <v>121</v>
      </c>
      <c r="R40">
        <v>99999</v>
      </c>
      <c r="S40" t="s">
        <v>30</v>
      </c>
      <c r="U40" t="s">
        <v>123</v>
      </c>
      <c r="V40" t="s">
        <v>124</v>
      </c>
      <c r="W40">
        <v>18.399999999999999</v>
      </c>
      <c r="X40">
        <v>13</v>
      </c>
      <c r="Y40" s="4">
        <v>239.2</v>
      </c>
      <c r="Z40" s="3">
        <v>23.680800000000001</v>
      </c>
    </row>
    <row r="41" spans="1:26" x14ac:dyDescent="0.3">
      <c r="A41">
        <v>1041</v>
      </c>
      <c r="B41" s="2">
        <v>41698</v>
      </c>
      <c r="C41">
        <v>28</v>
      </c>
      <c r="D41" t="s">
        <v>90</v>
      </c>
      <c r="E41" t="s">
        <v>91</v>
      </c>
      <c r="F41" t="s">
        <v>92</v>
      </c>
      <c r="G41" t="s">
        <v>93</v>
      </c>
      <c r="H41">
        <v>99999</v>
      </c>
      <c r="I41" t="s">
        <v>30</v>
      </c>
      <c r="J41" t="s">
        <v>94</v>
      </c>
      <c r="K41" t="s">
        <v>95</v>
      </c>
      <c r="L41">
        <v>41700</v>
      </c>
      <c r="M41" t="s">
        <v>62</v>
      </c>
      <c r="N41" t="s">
        <v>96</v>
      </c>
      <c r="O41" t="s">
        <v>91</v>
      </c>
      <c r="P41" t="s">
        <v>92</v>
      </c>
      <c r="Q41" t="s">
        <v>93</v>
      </c>
      <c r="R41">
        <v>99999</v>
      </c>
      <c r="S41" t="s">
        <v>30</v>
      </c>
      <c r="T41" t="s">
        <v>48</v>
      </c>
      <c r="U41" t="s">
        <v>55</v>
      </c>
      <c r="V41" t="s">
        <v>37</v>
      </c>
      <c r="W41">
        <v>46</v>
      </c>
      <c r="X41">
        <v>32</v>
      </c>
      <c r="Y41" s="4">
        <v>1472</v>
      </c>
      <c r="Z41" s="3">
        <v>148.67200000000003</v>
      </c>
    </row>
    <row r="42" spans="1:26" x14ac:dyDescent="0.3">
      <c r="A42">
        <v>1042</v>
      </c>
      <c r="B42" s="2">
        <v>41679</v>
      </c>
      <c r="C42">
        <v>9</v>
      </c>
      <c r="D42" t="s">
        <v>125</v>
      </c>
      <c r="E42" t="s">
        <v>126</v>
      </c>
      <c r="F42" t="s">
        <v>127</v>
      </c>
      <c r="G42" t="s">
        <v>128</v>
      </c>
      <c r="H42">
        <v>99999</v>
      </c>
      <c r="I42" t="s">
        <v>30</v>
      </c>
      <c r="J42" t="s">
        <v>129</v>
      </c>
      <c r="K42" t="s">
        <v>32</v>
      </c>
      <c r="L42" s="2">
        <v>41681</v>
      </c>
      <c r="M42" t="s">
        <v>46</v>
      </c>
      <c r="N42" t="s">
        <v>130</v>
      </c>
      <c r="O42" t="s">
        <v>126</v>
      </c>
      <c r="P42" t="s">
        <v>127</v>
      </c>
      <c r="Q42" t="s">
        <v>128</v>
      </c>
      <c r="R42">
        <v>99999</v>
      </c>
      <c r="S42" t="s">
        <v>30</v>
      </c>
      <c r="T42" t="s">
        <v>35</v>
      </c>
      <c r="U42" t="s">
        <v>80</v>
      </c>
      <c r="V42" t="s">
        <v>81</v>
      </c>
      <c r="W42">
        <v>9.65</v>
      </c>
      <c r="X42">
        <v>27</v>
      </c>
      <c r="Y42" s="4">
        <v>260.55</v>
      </c>
      <c r="Z42" s="3">
        <v>24.752250000000004</v>
      </c>
    </row>
    <row r="43" spans="1:26" x14ac:dyDescent="0.3">
      <c r="A43">
        <v>1043</v>
      </c>
      <c r="B43" s="2">
        <v>41676</v>
      </c>
      <c r="C43">
        <v>6</v>
      </c>
      <c r="D43" t="s">
        <v>82</v>
      </c>
      <c r="E43" t="s">
        <v>83</v>
      </c>
      <c r="F43" t="s">
        <v>84</v>
      </c>
      <c r="G43" t="s">
        <v>85</v>
      </c>
      <c r="H43">
        <v>99999</v>
      </c>
      <c r="I43" t="s">
        <v>30</v>
      </c>
      <c r="J43" t="s">
        <v>86</v>
      </c>
      <c r="K43" t="s">
        <v>61</v>
      </c>
      <c r="L43" s="2">
        <v>41678</v>
      </c>
      <c r="M43" t="s">
        <v>33</v>
      </c>
      <c r="N43" t="s">
        <v>87</v>
      </c>
      <c r="O43" t="s">
        <v>83</v>
      </c>
      <c r="P43" t="s">
        <v>84</v>
      </c>
      <c r="Q43" t="s">
        <v>85</v>
      </c>
      <c r="R43">
        <v>99999</v>
      </c>
      <c r="S43" t="s">
        <v>30</v>
      </c>
      <c r="T43" t="s">
        <v>48</v>
      </c>
      <c r="U43" t="s">
        <v>72</v>
      </c>
      <c r="V43" t="s">
        <v>73</v>
      </c>
      <c r="W43">
        <v>12.75</v>
      </c>
      <c r="X43">
        <v>71</v>
      </c>
      <c r="Y43" s="4">
        <v>905.25</v>
      </c>
      <c r="Z43" s="3">
        <v>91.430250000000001</v>
      </c>
    </row>
    <row r="44" spans="1:26" x14ac:dyDescent="0.3">
      <c r="A44">
        <v>1044</v>
      </c>
      <c r="B44" s="2">
        <v>41678</v>
      </c>
      <c r="C44">
        <v>8</v>
      </c>
      <c r="D44" t="s">
        <v>56</v>
      </c>
      <c r="E44" t="s">
        <v>57</v>
      </c>
      <c r="F44" t="s">
        <v>58</v>
      </c>
      <c r="G44" t="s">
        <v>59</v>
      </c>
      <c r="H44">
        <v>99999</v>
      </c>
      <c r="I44" t="s">
        <v>30</v>
      </c>
      <c r="J44" t="s">
        <v>60</v>
      </c>
      <c r="K44" t="s">
        <v>61</v>
      </c>
      <c r="L44" s="2">
        <v>41680</v>
      </c>
      <c r="M44" t="s">
        <v>33</v>
      </c>
      <c r="N44" t="s">
        <v>63</v>
      </c>
      <c r="O44" t="s">
        <v>57</v>
      </c>
      <c r="P44" t="s">
        <v>58</v>
      </c>
      <c r="Q44" t="s">
        <v>59</v>
      </c>
      <c r="R44">
        <v>99999</v>
      </c>
      <c r="S44" t="s">
        <v>30</v>
      </c>
      <c r="T44" t="s">
        <v>35</v>
      </c>
      <c r="U44" t="s">
        <v>72</v>
      </c>
      <c r="V44" t="s">
        <v>73</v>
      </c>
      <c r="W44">
        <v>12.75</v>
      </c>
      <c r="X44">
        <v>13</v>
      </c>
      <c r="Y44" s="4">
        <v>165.75</v>
      </c>
      <c r="Z44" s="3">
        <v>15.746249999999998</v>
      </c>
    </row>
    <row r="45" spans="1:26" x14ac:dyDescent="0.3">
      <c r="A45">
        <v>1045</v>
      </c>
      <c r="B45" s="2">
        <v>41695</v>
      </c>
      <c r="C45">
        <v>25</v>
      </c>
      <c r="D45" t="s">
        <v>137</v>
      </c>
      <c r="E45" t="s">
        <v>138</v>
      </c>
      <c r="F45" t="s">
        <v>99</v>
      </c>
      <c r="G45" t="s">
        <v>100</v>
      </c>
      <c r="H45">
        <v>99999</v>
      </c>
      <c r="I45" t="s">
        <v>30</v>
      </c>
      <c r="J45" t="s">
        <v>101</v>
      </c>
      <c r="K45" t="s">
        <v>45</v>
      </c>
      <c r="L45" s="2">
        <v>41697</v>
      </c>
      <c r="M45" t="s">
        <v>46</v>
      </c>
      <c r="N45" t="s">
        <v>139</v>
      </c>
      <c r="O45" t="s">
        <v>138</v>
      </c>
      <c r="P45" t="s">
        <v>99</v>
      </c>
      <c r="Q45" t="s">
        <v>100</v>
      </c>
      <c r="R45">
        <v>99999</v>
      </c>
      <c r="S45" t="s">
        <v>30</v>
      </c>
      <c r="T45" t="s">
        <v>79</v>
      </c>
      <c r="U45" t="s">
        <v>111</v>
      </c>
      <c r="V45" t="s">
        <v>112</v>
      </c>
      <c r="W45">
        <v>22</v>
      </c>
      <c r="X45">
        <v>98</v>
      </c>
      <c r="Y45" s="4">
        <v>2156</v>
      </c>
      <c r="Z45" s="3">
        <v>204.82000000000002</v>
      </c>
    </row>
    <row r="46" spans="1:26" x14ac:dyDescent="0.3">
      <c r="A46">
        <v>1046</v>
      </c>
      <c r="B46" s="2">
        <v>41696</v>
      </c>
      <c r="C46">
        <v>26</v>
      </c>
      <c r="D46" t="s">
        <v>140</v>
      </c>
      <c r="E46" t="s">
        <v>141</v>
      </c>
      <c r="F46" t="s">
        <v>115</v>
      </c>
      <c r="G46" t="s">
        <v>116</v>
      </c>
      <c r="H46">
        <v>99999</v>
      </c>
      <c r="I46" t="s">
        <v>30</v>
      </c>
      <c r="J46" t="s">
        <v>94</v>
      </c>
      <c r="K46" t="s">
        <v>95</v>
      </c>
      <c r="L46" s="2">
        <v>41698</v>
      </c>
      <c r="M46" t="s">
        <v>62</v>
      </c>
      <c r="N46" t="s">
        <v>142</v>
      </c>
      <c r="O46" t="s">
        <v>141</v>
      </c>
      <c r="P46" t="s">
        <v>115</v>
      </c>
      <c r="Q46" t="s">
        <v>116</v>
      </c>
      <c r="R46">
        <v>99999</v>
      </c>
      <c r="S46" t="s">
        <v>30</v>
      </c>
      <c r="T46" t="s">
        <v>48</v>
      </c>
      <c r="U46" t="s">
        <v>109</v>
      </c>
      <c r="V46" t="s">
        <v>110</v>
      </c>
      <c r="W46">
        <v>25</v>
      </c>
      <c r="X46">
        <v>21</v>
      </c>
      <c r="Y46" s="4">
        <v>525</v>
      </c>
      <c r="Z46" s="3">
        <v>53.550000000000004</v>
      </c>
    </row>
    <row r="47" spans="1:26" x14ac:dyDescent="0.3">
      <c r="A47">
        <v>1047</v>
      </c>
      <c r="B47" s="2">
        <v>41699</v>
      </c>
      <c r="C47">
        <v>29</v>
      </c>
      <c r="D47" t="s">
        <v>66</v>
      </c>
      <c r="E47" t="s">
        <v>67</v>
      </c>
      <c r="F47" t="s">
        <v>68</v>
      </c>
      <c r="G47" t="s">
        <v>69</v>
      </c>
      <c r="H47">
        <v>99999</v>
      </c>
      <c r="I47" t="s">
        <v>30</v>
      </c>
      <c r="J47" t="s">
        <v>70</v>
      </c>
      <c r="K47" t="s">
        <v>32</v>
      </c>
      <c r="L47" s="2">
        <v>41701</v>
      </c>
      <c r="M47" t="s">
        <v>33</v>
      </c>
      <c r="N47" t="s">
        <v>71</v>
      </c>
      <c r="O47" t="s">
        <v>67</v>
      </c>
      <c r="P47" t="s">
        <v>68</v>
      </c>
      <c r="Q47" t="s">
        <v>69</v>
      </c>
      <c r="R47">
        <v>99999</v>
      </c>
      <c r="S47" t="s">
        <v>30</v>
      </c>
      <c r="T47" t="s">
        <v>35</v>
      </c>
      <c r="U47" t="s">
        <v>143</v>
      </c>
      <c r="V47" t="s">
        <v>144</v>
      </c>
      <c r="W47">
        <v>39</v>
      </c>
      <c r="X47">
        <v>26</v>
      </c>
      <c r="Y47" s="4">
        <v>1014</v>
      </c>
      <c r="Z47" s="3">
        <v>106.47000000000001</v>
      </c>
    </row>
    <row r="48" spans="1:26" x14ac:dyDescent="0.3">
      <c r="A48">
        <v>1048</v>
      </c>
      <c r="B48" s="2">
        <v>41676</v>
      </c>
      <c r="C48">
        <v>6</v>
      </c>
      <c r="D48" t="s">
        <v>82</v>
      </c>
      <c r="E48" t="s">
        <v>83</v>
      </c>
      <c r="F48" t="s">
        <v>84</v>
      </c>
      <c r="G48" t="s">
        <v>85</v>
      </c>
      <c r="H48">
        <v>99999</v>
      </c>
      <c r="I48" t="s">
        <v>30</v>
      </c>
      <c r="J48" t="s">
        <v>86</v>
      </c>
      <c r="K48" t="s">
        <v>61</v>
      </c>
      <c r="L48" s="2">
        <v>41678</v>
      </c>
      <c r="M48" t="s">
        <v>62</v>
      </c>
      <c r="N48" t="s">
        <v>87</v>
      </c>
      <c r="O48" t="s">
        <v>83</v>
      </c>
      <c r="P48" t="s">
        <v>84</v>
      </c>
      <c r="Q48" t="s">
        <v>85</v>
      </c>
      <c r="R48">
        <v>99999</v>
      </c>
      <c r="S48" t="s">
        <v>30</v>
      </c>
      <c r="T48" t="s">
        <v>35</v>
      </c>
      <c r="U48" t="s">
        <v>49</v>
      </c>
      <c r="V48" t="s">
        <v>39</v>
      </c>
      <c r="W48">
        <v>30</v>
      </c>
      <c r="X48">
        <v>96</v>
      </c>
      <c r="Y48" s="4">
        <v>2880</v>
      </c>
      <c r="Z48" s="3">
        <v>296.64</v>
      </c>
    </row>
    <row r="49" spans="1:26" x14ac:dyDescent="0.3">
      <c r="A49">
        <v>1049</v>
      </c>
      <c r="B49" s="2">
        <v>41676</v>
      </c>
      <c r="C49">
        <v>6</v>
      </c>
      <c r="D49" t="s">
        <v>82</v>
      </c>
      <c r="E49" t="s">
        <v>83</v>
      </c>
      <c r="F49" t="s">
        <v>84</v>
      </c>
      <c r="G49" t="s">
        <v>85</v>
      </c>
      <c r="H49">
        <v>99999</v>
      </c>
      <c r="I49" t="s">
        <v>30</v>
      </c>
      <c r="J49" t="s">
        <v>86</v>
      </c>
      <c r="K49" t="s">
        <v>61</v>
      </c>
      <c r="L49" s="2">
        <v>41678</v>
      </c>
      <c r="M49" t="s">
        <v>62</v>
      </c>
      <c r="N49" t="s">
        <v>87</v>
      </c>
      <c r="O49" t="s">
        <v>83</v>
      </c>
      <c r="P49" t="s">
        <v>84</v>
      </c>
      <c r="Q49" t="s">
        <v>85</v>
      </c>
      <c r="R49">
        <v>99999</v>
      </c>
      <c r="S49" t="s">
        <v>30</v>
      </c>
      <c r="T49" t="s">
        <v>35</v>
      </c>
      <c r="U49" t="s">
        <v>50</v>
      </c>
      <c r="V49" t="s">
        <v>39</v>
      </c>
      <c r="W49">
        <v>53</v>
      </c>
      <c r="X49">
        <v>16</v>
      </c>
      <c r="Y49" s="4">
        <v>848</v>
      </c>
      <c r="Z49" s="3">
        <v>88.192000000000021</v>
      </c>
    </row>
    <row r="50" spans="1:26" x14ac:dyDescent="0.3">
      <c r="A50">
        <v>1050</v>
      </c>
      <c r="B50" s="2">
        <v>41674</v>
      </c>
      <c r="C50">
        <v>4</v>
      </c>
      <c r="D50" t="s">
        <v>40</v>
      </c>
      <c r="E50" t="s">
        <v>41</v>
      </c>
      <c r="F50" t="s">
        <v>42</v>
      </c>
      <c r="G50" t="s">
        <v>43</v>
      </c>
      <c r="H50">
        <v>99999</v>
      </c>
      <c r="I50" t="s">
        <v>30</v>
      </c>
      <c r="J50" t="s">
        <v>44</v>
      </c>
      <c r="K50" t="s">
        <v>45</v>
      </c>
      <c r="L50" s="2"/>
      <c r="N50" t="s">
        <v>47</v>
      </c>
      <c r="O50" t="s">
        <v>41</v>
      </c>
      <c r="P50" t="s">
        <v>42</v>
      </c>
      <c r="Q50" t="s">
        <v>43</v>
      </c>
      <c r="R50">
        <v>99999</v>
      </c>
      <c r="S50" t="s">
        <v>30</v>
      </c>
      <c r="U50" t="s">
        <v>145</v>
      </c>
      <c r="V50" t="s">
        <v>132</v>
      </c>
      <c r="W50">
        <v>38</v>
      </c>
      <c r="X50">
        <v>96</v>
      </c>
      <c r="Y50" s="4">
        <v>3648</v>
      </c>
      <c r="Z50" s="3">
        <v>346.56</v>
      </c>
    </row>
    <row r="51" spans="1:26" x14ac:dyDescent="0.3">
      <c r="A51">
        <v>1051</v>
      </c>
      <c r="B51" s="2">
        <v>41673</v>
      </c>
      <c r="C51">
        <v>3</v>
      </c>
      <c r="D51" t="s">
        <v>74</v>
      </c>
      <c r="E51" t="s">
        <v>75</v>
      </c>
      <c r="F51" t="s">
        <v>76</v>
      </c>
      <c r="G51" t="s">
        <v>77</v>
      </c>
      <c r="H51">
        <v>99999</v>
      </c>
      <c r="I51" t="s">
        <v>30</v>
      </c>
      <c r="J51" t="s">
        <v>31</v>
      </c>
      <c r="K51" t="s">
        <v>32</v>
      </c>
      <c r="N51" t="s">
        <v>78</v>
      </c>
      <c r="O51" t="s">
        <v>75</v>
      </c>
      <c r="P51" t="s">
        <v>76</v>
      </c>
      <c r="Q51" t="s">
        <v>77</v>
      </c>
      <c r="R51">
        <v>99999</v>
      </c>
      <c r="S51" t="s">
        <v>30</v>
      </c>
      <c r="U51" t="s">
        <v>103</v>
      </c>
      <c r="V51" t="s">
        <v>37</v>
      </c>
      <c r="W51">
        <v>2.99</v>
      </c>
      <c r="X51">
        <v>75</v>
      </c>
      <c r="Y51" s="4">
        <v>224.25000000000003</v>
      </c>
      <c r="Z51" s="3">
        <v>23.097750000000005</v>
      </c>
    </row>
    <row r="52" spans="1:26" x14ac:dyDescent="0.3">
      <c r="A52">
        <v>1052</v>
      </c>
      <c r="B52" s="2">
        <v>41707</v>
      </c>
      <c r="C52">
        <v>9</v>
      </c>
      <c r="D52" t="s">
        <v>125</v>
      </c>
      <c r="E52" t="s">
        <v>126</v>
      </c>
      <c r="F52" t="s">
        <v>127</v>
      </c>
      <c r="G52" t="s">
        <v>128</v>
      </c>
      <c r="H52">
        <v>99999</v>
      </c>
      <c r="I52" t="s">
        <v>30</v>
      </c>
      <c r="J52" t="s">
        <v>129</v>
      </c>
      <c r="K52" t="s">
        <v>32</v>
      </c>
      <c r="L52">
        <v>41709</v>
      </c>
      <c r="M52" t="s">
        <v>46</v>
      </c>
      <c r="N52" t="s">
        <v>130</v>
      </c>
      <c r="O52" t="s">
        <v>126</v>
      </c>
      <c r="P52" t="s">
        <v>127</v>
      </c>
      <c r="Q52" t="s">
        <v>128</v>
      </c>
      <c r="R52">
        <v>99999</v>
      </c>
      <c r="S52" t="s">
        <v>30</v>
      </c>
      <c r="T52" t="s">
        <v>35</v>
      </c>
      <c r="U52" t="s">
        <v>131</v>
      </c>
      <c r="V52" t="s">
        <v>132</v>
      </c>
      <c r="W52">
        <v>19.5</v>
      </c>
      <c r="X52">
        <v>55</v>
      </c>
      <c r="Y52" s="4">
        <v>1072.5</v>
      </c>
      <c r="Z52" s="3">
        <v>108.32250000000001</v>
      </c>
    </row>
    <row r="53" spans="1:26" x14ac:dyDescent="0.3">
      <c r="A53">
        <v>1053</v>
      </c>
      <c r="B53" s="2">
        <v>41707</v>
      </c>
      <c r="C53">
        <v>9</v>
      </c>
      <c r="D53" t="s">
        <v>125</v>
      </c>
      <c r="E53" t="s">
        <v>126</v>
      </c>
      <c r="F53" t="s">
        <v>127</v>
      </c>
      <c r="G53" t="s">
        <v>128</v>
      </c>
      <c r="H53">
        <v>99999</v>
      </c>
      <c r="I53" t="s">
        <v>30</v>
      </c>
      <c r="J53" t="s">
        <v>129</v>
      </c>
      <c r="K53" t="s">
        <v>32</v>
      </c>
      <c r="L53" s="2">
        <v>41709</v>
      </c>
      <c r="M53" t="s">
        <v>46</v>
      </c>
      <c r="N53" t="s">
        <v>130</v>
      </c>
      <c r="O53" t="s">
        <v>126</v>
      </c>
      <c r="P53" t="s">
        <v>127</v>
      </c>
      <c r="Q53" t="s">
        <v>128</v>
      </c>
      <c r="R53">
        <v>99999</v>
      </c>
      <c r="S53" t="s">
        <v>30</v>
      </c>
      <c r="T53" t="s">
        <v>35</v>
      </c>
      <c r="U53" t="s">
        <v>133</v>
      </c>
      <c r="V53" t="s">
        <v>134</v>
      </c>
      <c r="W53" s="3">
        <v>34.799999999999997</v>
      </c>
      <c r="X53">
        <v>11</v>
      </c>
      <c r="Y53" s="4">
        <v>382.79999999999995</v>
      </c>
      <c r="Z53" s="3">
        <v>36.748799999999996</v>
      </c>
    </row>
    <row r="54" spans="1:26" x14ac:dyDescent="0.3">
      <c r="A54">
        <v>1054</v>
      </c>
      <c r="B54" s="2">
        <v>41704</v>
      </c>
      <c r="C54">
        <v>6</v>
      </c>
      <c r="D54" t="s">
        <v>82</v>
      </c>
      <c r="E54" t="s">
        <v>83</v>
      </c>
      <c r="F54" t="s">
        <v>84</v>
      </c>
      <c r="G54" t="s">
        <v>85</v>
      </c>
      <c r="H54">
        <v>99999</v>
      </c>
      <c r="I54" t="s">
        <v>30</v>
      </c>
      <c r="J54" t="s">
        <v>86</v>
      </c>
      <c r="K54" t="s">
        <v>61</v>
      </c>
      <c r="L54" s="2">
        <v>41706</v>
      </c>
      <c r="M54" t="s">
        <v>33</v>
      </c>
      <c r="N54" t="s">
        <v>87</v>
      </c>
      <c r="O54" t="s">
        <v>83</v>
      </c>
      <c r="P54" t="s">
        <v>84</v>
      </c>
      <c r="Q54" t="s">
        <v>85</v>
      </c>
      <c r="R54">
        <v>99999</v>
      </c>
      <c r="S54" t="s">
        <v>30</v>
      </c>
      <c r="T54" t="s">
        <v>48</v>
      </c>
      <c r="U54" t="s">
        <v>36</v>
      </c>
      <c r="V54" t="s">
        <v>37</v>
      </c>
      <c r="W54" s="3">
        <v>14</v>
      </c>
      <c r="X54">
        <v>53</v>
      </c>
      <c r="Y54" s="4">
        <v>742</v>
      </c>
      <c r="Z54" s="3">
        <v>71.974000000000004</v>
      </c>
    </row>
    <row r="55" spans="1:26" x14ac:dyDescent="0.3">
      <c r="A55">
        <v>1055</v>
      </c>
      <c r="B55" s="2">
        <v>41706</v>
      </c>
      <c r="C55">
        <v>8</v>
      </c>
      <c r="D55" t="s">
        <v>56</v>
      </c>
      <c r="E55" t="s">
        <v>57</v>
      </c>
      <c r="F55" t="s">
        <v>58</v>
      </c>
      <c r="G55" t="s">
        <v>59</v>
      </c>
      <c r="H55">
        <v>99999</v>
      </c>
      <c r="I55" t="s">
        <v>30</v>
      </c>
      <c r="J55" t="s">
        <v>60</v>
      </c>
      <c r="K55" t="s">
        <v>61</v>
      </c>
      <c r="L55" s="2">
        <v>41708</v>
      </c>
      <c r="M55" t="s">
        <v>33</v>
      </c>
      <c r="N55" t="s">
        <v>63</v>
      </c>
      <c r="O55" t="s">
        <v>57</v>
      </c>
      <c r="P55" t="s">
        <v>58</v>
      </c>
      <c r="Q55" t="s">
        <v>59</v>
      </c>
      <c r="R55">
        <v>99999</v>
      </c>
      <c r="S55" t="s">
        <v>30</v>
      </c>
      <c r="T55" t="s">
        <v>35</v>
      </c>
      <c r="U55" t="s">
        <v>88</v>
      </c>
      <c r="V55" t="s">
        <v>89</v>
      </c>
      <c r="W55" s="3">
        <v>40</v>
      </c>
      <c r="X55">
        <v>85</v>
      </c>
      <c r="Y55" s="4">
        <v>3400</v>
      </c>
      <c r="Z55" s="3">
        <v>357</v>
      </c>
    </row>
    <row r="56" spans="1:26" x14ac:dyDescent="0.3">
      <c r="A56">
        <v>1056</v>
      </c>
      <c r="B56" s="2">
        <v>41706</v>
      </c>
      <c r="C56">
        <v>8</v>
      </c>
      <c r="D56" t="s">
        <v>56</v>
      </c>
      <c r="E56" t="s">
        <v>57</v>
      </c>
      <c r="F56" t="s">
        <v>58</v>
      </c>
      <c r="G56" t="s">
        <v>59</v>
      </c>
      <c r="H56">
        <v>99999</v>
      </c>
      <c r="I56" t="s">
        <v>30</v>
      </c>
      <c r="J56" t="s">
        <v>60</v>
      </c>
      <c r="K56" t="s">
        <v>61</v>
      </c>
      <c r="L56" s="2">
        <v>41708</v>
      </c>
      <c r="M56" t="s">
        <v>33</v>
      </c>
      <c r="N56" t="s">
        <v>63</v>
      </c>
      <c r="O56" t="s">
        <v>57</v>
      </c>
      <c r="P56" t="s">
        <v>58</v>
      </c>
      <c r="Q56" t="s">
        <v>59</v>
      </c>
      <c r="R56">
        <v>99999</v>
      </c>
      <c r="S56" t="s">
        <v>30</v>
      </c>
      <c r="T56" t="s">
        <v>35</v>
      </c>
      <c r="U56" t="s">
        <v>64</v>
      </c>
      <c r="V56" t="s">
        <v>65</v>
      </c>
      <c r="W56" s="3">
        <v>9.1999999999999993</v>
      </c>
      <c r="X56">
        <v>97</v>
      </c>
      <c r="Y56" s="4">
        <v>892.4</v>
      </c>
      <c r="Z56" s="3">
        <v>91.024800000000013</v>
      </c>
    </row>
    <row r="57" spans="1:26" x14ac:dyDescent="0.3">
      <c r="A57">
        <v>1057</v>
      </c>
      <c r="B57" s="2">
        <v>41723</v>
      </c>
      <c r="C57">
        <v>25</v>
      </c>
      <c r="D57" t="s">
        <v>137</v>
      </c>
      <c r="E57" t="s">
        <v>138</v>
      </c>
      <c r="F57" t="s">
        <v>99</v>
      </c>
      <c r="G57" t="s">
        <v>100</v>
      </c>
      <c r="H57">
        <v>99999</v>
      </c>
      <c r="I57" t="s">
        <v>30</v>
      </c>
      <c r="J57" t="s">
        <v>101</v>
      </c>
      <c r="K57" t="s">
        <v>45</v>
      </c>
      <c r="L57" s="2">
        <v>41725</v>
      </c>
      <c r="M57" t="s">
        <v>46</v>
      </c>
      <c r="N57" t="s">
        <v>139</v>
      </c>
      <c r="O57" t="s">
        <v>138</v>
      </c>
      <c r="P57" t="s">
        <v>99</v>
      </c>
      <c r="Q57" t="s">
        <v>100</v>
      </c>
      <c r="R57">
        <v>99999</v>
      </c>
      <c r="S57" t="s">
        <v>30</v>
      </c>
      <c r="T57" t="s">
        <v>79</v>
      </c>
      <c r="U57" t="s">
        <v>146</v>
      </c>
      <c r="V57" t="s">
        <v>65</v>
      </c>
      <c r="W57" s="3">
        <v>10</v>
      </c>
      <c r="X57">
        <v>46</v>
      </c>
      <c r="Y57" s="4">
        <v>460</v>
      </c>
      <c r="Z57" s="3">
        <v>46.46</v>
      </c>
    </row>
    <row r="58" spans="1:26" x14ac:dyDescent="0.3">
      <c r="A58">
        <v>1058</v>
      </c>
      <c r="B58" s="2">
        <v>41724</v>
      </c>
      <c r="C58">
        <v>26</v>
      </c>
      <c r="D58" t="s">
        <v>140</v>
      </c>
      <c r="E58" t="s">
        <v>141</v>
      </c>
      <c r="F58" t="s">
        <v>115</v>
      </c>
      <c r="G58" t="s">
        <v>116</v>
      </c>
      <c r="H58">
        <v>99999</v>
      </c>
      <c r="I58" t="s">
        <v>30</v>
      </c>
      <c r="J58" t="s">
        <v>94</v>
      </c>
      <c r="K58" t="s">
        <v>95</v>
      </c>
      <c r="L58" s="2">
        <v>41726</v>
      </c>
      <c r="M58" t="s">
        <v>62</v>
      </c>
      <c r="N58" t="s">
        <v>142</v>
      </c>
      <c r="O58" t="s">
        <v>141</v>
      </c>
      <c r="P58" t="s">
        <v>115</v>
      </c>
      <c r="Q58" t="s">
        <v>116</v>
      </c>
      <c r="R58">
        <v>99999</v>
      </c>
      <c r="S58" t="s">
        <v>30</v>
      </c>
      <c r="T58" t="s">
        <v>48</v>
      </c>
      <c r="U58" t="s">
        <v>147</v>
      </c>
      <c r="V58" t="s">
        <v>148</v>
      </c>
      <c r="W58" s="3">
        <v>21.35</v>
      </c>
      <c r="X58">
        <v>97</v>
      </c>
      <c r="Y58" s="4">
        <v>2070.9500000000003</v>
      </c>
      <c r="Z58" s="3">
        <v>196.74025</v>
      </c>
    </row>
    <row r="59" spans="1:26" x14ac:dyDescent="0.3">
      <c r="A59">
        <v>1059</v>
      </c>
      <c r="B59" s="2">
        <v>41724</v>
      </c>
      <c r="C59">
        <v>26</v>
      </c>
      <c r="D59" t="s">
        <v>140</v>
      </c>
      <c r="E59" t="s">
        <v>141</v>
      </c>
      <c r="F59" t="s">
        <v>115</v>
      </c>
      <c r="G59" t="s">
        <v>116</v>
      </c>
      <c r="H59">
        <v>99999</v>
      </c>
      <c r="I59" t="s">
        <v>30</v>
      </c>
      <c r="J59" t="s">
        <v>94</v>
      </c>
      <c r="K59" t="s">
        <v>95</v>
      </c>
      <c r="L59" s="2">
        <v>41726</v>
      </c>
      <c r="M59" t="s">
        <v>62</v>
      </c>
      <c r="N59" t="s">
        <v>142</v>
      </c>
      <c r="O59" t="s">
        <v>141</v>
      </c>
      <c r="P59" t="s">
        <v>115</v>
      </c>
      <c r="Q59" t="s">
        <v>116</v>
      </c>
      <c r="R59">
        <v>99999</v>
      </c>
      <c r="S59" t="s">
        <v>30</v>
      </c>
      <c r="T59" t="s">
        <v>48</v>
      </c>
      <c r="U59" t="s">
        <v>80</v>
      </c>
      <c r="V59" t="s">
        <v>81</v>
      </c>
      <c r="W59" s="3">
        <v>9.65</v>
      </c>
      <c r="X59">
        <v>97</v>
      </c>
      <c r="Y59" s="4">
        <v>936.05000000000007</v>
      </c>
      <c r="Z59" s="3">
        <v>95.477100000000021</v>
      </c>
    </row>
    <row r="60" spans="1:26" x14ac:dyDescent="0.3">
      <c r="A60">
        <v>1060</v>
      </c>
      <c r="B60" s="2">
        <v>41724</v>
      </c>
      <c r="C60">
        <v>26</v>
      </c>
      <c r="D60" t="s">
        <v>140</v>
      </c>
      <c r="E60" t="s">
        <v>141</v>
      </c>
      <c r="F60" t="s">
        <v>115</v>
      </c>
      <c r="G60" t="s">
        <v>116</v>
      </c>
      <c r="H60">
        <v>99999</v>
      </c>
      <c r="I60" t="s">
        <v>30</v>
      </c>
      <c r="J60" t="s">
        <v>94</v>
      </c>
      <c r="K60" t="s">
        <v>95</v>
      </c>
      <c r="L60" s="2">
        <v>41726</v>
      </c>
      <c r="M60" t="s">
        <v>62</v>
      </c>
      <c r="N60" t="s">
        <v>142</v>
      </c>
      <c r="O60" t="s">
        <v>141</v>
      </c>
      <c r="P60" t="s">
        <v>115</v>
      </c>
      <c r="Q60" t="s">
        <v>116</v>
      </c>
      <c r="R60">
        <v>99999</v>
      </c>
      <c r="S60" t="s">
        <v>30</v>
      </c>
      <c r="T60" t="s">
        <v>48</v>
      </c>
      <c r="U60" t="s">
        <v>123</v>
      </c>
      <c r="V60" t="s">
        <v>124</v>
      </c>
      <c r="W60" s="3">
        <v>18.399999999999999</v>
      </c>
      <c r="X60">
        <v>65</v>
      </c>
      <c r="Y60" s="4">
        <v>1196</v>
      </c>
      <c r="Z60" s="3">
        <v>123.18800000000002</v>
      </c>
    </row>
    <row r="61" spans="1:26" x14ac:dyDescent="0.3">
      <c r="A61">
        <v>1061</v>
      </c>
      <c r="B61" s="2">
        <v>41727</v>
      </c>
      <c r="C61">
        <v>29</v>
      </c>
      <c r="D61" t="s">
        <v>66</v>
      </c>
      <c r="E61" t="s">
        <v>67</v>
      </c>
      <c r="F61" t="s">
        <v>68</v>
      </c>
      <c r="G61" t="s">
        <v>69</v>
      </c>
      <c r="H61">
        <v>99999</v>
      </c>
      <c r="I61" t="s">
        <v>30</v>
      </c>
      <c r="J61" t="s">
        <v>70</v>
      </c>
      <c r="K61" t="s">
        <v>32</v>
      </c>
      <c r="L61" s="2">
        <v>41729</v>
      </c>
      <c r="M61" t="s">
        <v>33</v>
      </c>
      <c r="N61" t="s">
        <v>71</v>
      </c>
      <c r="O61" t="s">
        <v>67</v>
      </c>
      <c r="P61" t="s">
        <v>68</v>
      </c>
      <c r="Q61" t="s">
        <v>69</v>
      </c>
      <c r="R61">
        <v>99999</v>
      </c>
      <c r="S61" t="s">
        <v>30</v>
      </c>
      <c r="T61" t="s">
        <v>35</v>
      </c>
      <c r="U61" t="s">
        <v>36</v>
      </c>
      <c r="V61" t="s">
        <v>37</v>
      </c>
      <c r="W61" s="3">
        <v>14</v>
      </c>
      <c r="X61">
        <v>72</v>
      </c>
      <c r="Y61" s="4">
        <v>1008</v>
      </c>
      <c r="Z61" s="3">
        <v>100.80000000000001</v>
      </c>
    </row>
    <row r="62" spans="1:26" x14ac:dyDescent="0.3">
      <c r="A62">
        <v>1062</v>
      </c>
      <c r="B62" s="2">
        <v>41704</v>
      </c>
      <c r="C62">
        <v>6</v>
      </c>
      <c r="D62" t="s">
        <v>82</v>
      </c>
      <c r="E62" t="s">
        <v>83</v>
      </c>
      <c r="F62" t="s">
        <v>84</v>
      </c>
      <c r="G62" t="s">
        <v>85</v>
      </c>
      <c r="H62">
        <v>99999</v>
      </c>
      <c r="I62" t="s">
        <v>30</v>
      </c>
      <c r="J62" t="s">
        <v>86</v>
      </c>
      <c r="K62" t="s">
        <v>61</v>
      </c>
      <c r="L62" s="2">
        <v>41706</v>
      </c>
      <c r="M62" t="s">
        <v>62</v>
      </c>
      <c r="N62" t="s">
        <v>87</v>
      </c>
      <c r="O62" t="s">
        <v>83</v>
      </c>
      <c r="P62" t="s">
        <v>84</v>
      </c>
      <c r="Q62" t="s">
        <v>85</v>
      </c>
      <c r="R62">
        <v>99999</v>
      </c>
      <c r="S62" t="s">
        <v>30</v>
      </c>
      <c r="T62" t="s">
        <v>35</v>
      </c>
      <c r="U62" t="s">
        <v>72</v>
      </c>
      <c r="V62" t="s">
        <v>73</v>
      </c>
      <c r="W62" s="3">
        <v>12.75</v>
      </c>
      <c r="X62">
        <v>16</v>
      </c>
      <c r="Y62" s="4">
        <v>204</v>
      </c>
      <c r="Z62" s="3">
        <v>20.196000000000002</v>
      </c>
    </row>
    <row r="63" spans="1:26" x14ac:dyDescent="0.3">
      <c r="A63">
        <v>1064</v>
      </c>
      <c r="B63" s="2">
        <v>41702</v>
      </c>
      <c r="C63">
        <v>4</v>
      </c>
      <c r="D63" t="s">
        <v>40</v>
      </c>
      <c r="E63" t="s">
        <v>41</v>
      </c>
      <c r="F63" t="s">
        <v>42</v>
      </c>
      <c r="G63" t="s">
        <v>43</v>
      </c>
      <c r="H63">
        <v>99999</v>
      </c>
      <c r="I63" t="s">
        <v>30</v>
      </c>
      <c r="J63" t="s">
        <v>44</v>
      </c>
      <c r="K63" t="s">
        <v>45</v>
      </c>
      <c r="L63" s="2">
        <v>41704</v>
      </c>
      <c r="M63" t="s">
        <v>46</v>
      </c>
      <c r="N63" t="s">
        <v>47</v>
      </c>
      <c r="O63" t="s">
        <v>41</v>
      </c>
      <c r="P63" t="s">
        <v>42</v>
      </c>
      <c r="Q63" t="s">
        <v>43</v>
      </c>
      <c r="R63">
        <v>99999</v>
      </c>
      <c r="S63" t="s">
        <v>30</v>
      </c>
      <c r="T63" t="s">
        <v>48</v>
      </c>
      <c r="U63" t="s">
        <v>149</v>
      </c>
      <c r="V63" t="s">
        <v>110</v>
      </c>
      <c r="W63" s="3">
        <v>81</v>
      </c>
      <c r="X63">
        <v>77</v>
      </c>
      <c r="Y63" s="4">
        <v>6237</v>
      </c>
      <c r="Z63" s="3">
        <v>642.41100000000006</v>
      </c>
    </row>
    <row r="64" spans="1:26" x14ac:dyDescent="0.3">
      <c r="A64">
        <v>1065</v>
      </c>
      <c r="B64" s="2">
        <v>41702</v>
      </c>
      <c r="C64">
        <v>4</v>
      </c>
      <c r="D64" t="s">
        <v>40</v>
      </c>
      <c r="E64" t="s">
        <v>41</v>
      </c>
      <c r="F64" t="s">
        <v>42</v>
      </c>
      <c r="G64" t="s">
        <v>43</v>
      </c>
      <c r="H64">
        <v>99999</v>
      </c>
      <c r="I64" t="s">
        <v>30</v>
      </c>
      <c r="J64" t="s">
        <v>44</v>
      </c>
      <c r="K64" t="s">
        <v>45</v>
      </c>
      <c r="L64" s="2">
        <v>41704</v>
      </c>
      <c r="M64" t="s">
        <v>46</v>
      </c>
      <c r="N64" t="s">
        <v>47</v>
      </c>
      <c r="O64" t="s">
        <v>41</v>
      </c>
      <c r="P64" t="s">
        <v>42</v>
      </c>
      <c r="Q64" t="s">
        <v>43</v>
      </c>
      <c r="R64">
        <v>99999</v>
      </c>
      <c r="S64" t="s">
        <v>30</v>
      </c>
      <c r="T64" t="s">
        <v>48</v>
      </c>
      <c r="U64" t="s">
        <v>150</v>
      </c>
      <c r="V64" t="s">
        <v>151</v>
      </c>
      <c r="W64">
        <v>7</v>
      </c>
      <c r="X64">
        <v>37</v>
      </c>
      <c r="Y64" s="4">
        <v>259</v>
      </c>
      <c r="Z64" s="3">
        <v>24.605</v>
      </c>
    </row>
    <row r="65" spans="1:26" x14ac:dyDescent="0.3">
      <c r="A65">
        <v>1067</v>
      </c>
      <c r="B65" s="2">
        <v>41706</v>
      </c>
      <c r="C65">
        <v>8</v>
      </c>
      <c r="D65" t="s">
        <v>56</v>
      </c>
      <c r="E65" t="s">
        <v>57</v>
      </c>
      <c r="F65" t="s">
        <v>58</v>
      </c>
      <c r="G65" t="s">
        <v>59</v>
      </c>
      <c r="H65">
        <v>99999</v>
      </c>
      <c r="I65" t="s">
        <v>30</v>
      </c>
      <c r="J65" t="s">
        <v>60</v>
      </c>
      <c r="K65" t="s">
        <v>61</v>
      </c>
      <c r="L65" s="2">
        <v>41708</v>
      </c>
      <c r="M65" t="s">
        <v>62</v>
      </c>
      <c r="N65" t="s">
        <v>63</v>
      </c>
      <c r="O65" t="s">
        <v>57</v>
      </c>
      <c r="P65" t="s">
        <v>58</v>
      </c>
      <c r="Q65" t="s">
        <v>59</v>
      </c>
      <c r="R65">
        <v>99999</v>
      </c>
      <c r="S65" t="s">
        <v>30</v>
      </c>
      <c r="T65" t="s">
        <v>48</v>
      </c>
      <c r="U65" t="s">
        <v>133</v>
      </c>
      <c r="V65" t="s">
        <v>134</v>
      </c>
      <c r="W65">
        <v>34.799999999999997</v>
      </c>
      <c r="X65">
        <v>63</v>
      </c>
      <c r="Y65" s="4">
        <v>2192.3999999999996</v>
      </c>
      <c r="Z65" s="3">
        <v>217.04759999999999</v>
      </c>
    </row>
    <row r="66" spans="1:26" x14ac:dyDescent="0.3">
      <c r="A66">
        <v>1070</v>
      </c>
      <c r="B66" s="2">
        <v>41701</v>
      </c>
      <c r="C66">
        <v>3</v>
      </c>
      <c r="D66" t="s">
        <v>74</v>
      </c>
      <c r="E66" t="s">
        <v>75</v>
      </c>
      <c r="F66" t="s">
        <v>76</v>
      </c>
      <c r="G66" t="s">
        <v>77</v>
      </c>
      <c r="H66">
        <v>99999</v>
      </c>
      <c r="I66" t="s">
        <v>30</v>
      </c>
      <c r="J66" t="s">
        <v>31</v>
      </c>
      <c r="K66" t="s">
        <v>32</v>
      </c>
      <c r="L66" s="2">
        <v>41703</v>
      </c>
      <c r="M66" t="s">
        <v>33</v>
      </c>
      <c r="N66" t="s">
        <v>78</v>
      </c>
      <c r="O66" t="s">
        <v>75</v>
      </c>
      <c r="P66" t="s">
        <v>76</v>
      </c>
      <c r="Q66" t="s">
        <v>77</v>
      </c>
      <c r="R66">
        <v>99999</v>
      </c>
      <c r="S66" t="s">
        <v>30</v>
      </c>
      <c r="T66" t="s">
        <v>79</v>
      </c>
      <c r="U66" t="s">
        <v>135</v>
      </c>
      <c r="V66" t="s">
        <v>112</v>
      </c>
      <c r="W66">
        <v>10</v>
      </c>
      <c r="X66">
        <v>48</v>
      </c>
      <c r="Y66" s="4">
        <v>480</v>
      </c>
      <c r="Z66" s="3">
        <v>48</v>
      </c>
    </row>
    <row r="67" spans="1:26" x14ac:dyDescent="0.3">
      <c r="A67">
        <v>1071</v>
      </c>
      <c r="B67" s="2">
        <v>41701</v>
      </c>
      <c r="C67">
        <v>3</v>
      </c>
      <c r="D67" t="s">
        <v>74</v>
      </c>
      <c r="E67" t="s">
        <v>75</v>
      </c>
      <c r="F67" t="s">
        <v>76</v>
      </c>
      <c r="G67" t="s">
        <v>77</v>
      </c>
      <c r="H67">
        <v>99999</v>
      </c>
      <c r="I67" t="s">
        <v>30</v>
      </c>
      <c r="J67" t="s">
        <v>31</v>
      </c>
      <c r="K67" t="s">
        <v>32</v>
      </c>
      <c r="L67" s="2">
        <v>41703</v>
      </c>
      <c r="M67" t="s">
        <v>33</v>
      </c>
      <c r="N67" t="s">
        <v>78</v>
      </c>
      <c r="O67" t="s">
        <v>75</v>
      </c>
      <c r="P67" t="s">
        <v>76</v>
      </c>
      <c r="Q67" t="s">
        <v>77</v>
      </c>
      <c r="R67">
        <v>99999</v>
      </c>
      <c r="S67" t="s">
        <v>30</v>
      </c>
      <c r="T67" t="s">
        <v>79</v>
      </c>
      <c r="U67" t="s">
        <v>88</v>
      </c>
      <c r="V67" t="s">
        <v>89</v>
      </c>
      <c r="W67">
        <v>40</v>
      </c>
      <c r="X67">
        <v>71</v>
      </c>
      <c r="Y67" s="4">
        <v>2840</v>
      </c>
      <c r="Z67" s="3">
        <v>295.36</v>
      </c>
    </row>
    <row r="68" spans="1:26" x14ac:dyDescent="0.3">
      <c r="A68">
        <v>1075</v>
      </c>
      <c r="B68" s="2">
        <v>41708</v>
      </c>
      <c r="C68">
        <v>10</v>
      </c>
      <c r="D68" t="s">
        <v>97</v>
      </c>
      <c r="E68" t="s">
        <v>98</v>
      </c>
      <c r="F68" t="s">
        <v>99</v>
      </c>
      <c r="G68" t="s">
        <v>100</v>
      </c>
      <c r="H68">
        <v>99999</v>
      </c>
      <c r="I68" t="s">
        <v>30</v>
      </c>
      <c r="J68" t="s">
        <v>101</v>
      </c>
      <c r="K68" t="s">
        <v>45</v>
      </c>
      <c r="L68" s="2">
        <v>41710</v>
      </c>
      <c r="M68" t="s">
        <v>33</v>
      </c>
      <c r="N68" t="s">
        <v>102</v>
      </c>
      <c r="O68" t="s">
        <v>98</v>
      </c>
      <c r="P68" t="s">
        <v>99</v>
      </c>
      <c r="Q68" t="s">
        <v>100</v>
      </c>
      <c r="R68">
        <v>99999</v>
      </c>
      <c r="S68" t="s">
        <v>30</v>
      </c>
      <c r="T68" t="s">
        <v>48</v>
      </c>
      <c r="U68" t="s">
        <v>136</v>
      </c>
      <c r="V68" t="s">
        <v>39</v>
      </c>
      <c r="W68">
        <v>10</v>
      </c>
      <c r="X68">
        <v>55</v>
      </c>
      <c r="Y68" s="4">
        <v>550</v>
      </c>
      <c r="Z68" s="3">
        <v>55</v>
      </c>
    </row>
    <row r="69" spans="1:26" x14ac:dyDescent="0.3">
      <c r="A69">
        <v>1077</v>
      </c>
      <c r="B69" s="2">
        <v>41708</v>
      </c>
      <c r="C69">
        <v>10</v>
      </c>
      <c r="D69" t="s">
        <v>97</v>
      </c>
      <c r="E69" t="s">
        <v>98</v>
      </c>
      <c r="F69" t="s">
        <v>99</v>
      </c>
      <c r="G69" t="s">
        <v>100</v>
      </c>
      <c r="H69">
        <v>99999</v>
      </c>
      <c r="I69" t="s">
        <v>30</v>
      </c>
      <c r="J69" t="s">
        <v>101</v>
      </c>
      <c r="K69" t="s">
        <v>45</v>
      </c>
      <c r="L69" s="2"/>
      <c r="M69" t="s">
        <v>46</v>
      </c>
      <c r="N69" t="s">
        <v>102</v>
      </c>
      <c r="O69" t="s">
        <v>98</v>
      </c>
      <c r="P69" t="s">
        <v>99</v>
      </c>
      <c r="Q69" t="s">
        <v>100</v>
      </c>
      <c r="R69">
        <v>99999</v>
      </c>
      <c r="S69" t="s">
        <v>30</v>
      </c>
      <c r="U69" t="s">
        <v>38</v>
      </c>
      <c r="V69" t="s">
        <v>39</v>
      </c>
      <c r="W69">
        <v>3.5</v>
      </c>
      <c r="X69">
        <v>21</v>
      </c>
      <c r="Y69" s="4">
        <v>73.5</v>
      </c>
      <c r="Z69" s="3">
        <v>7.3500000000000005</v>
      </c>
    </row>
    <row r="70" spans="1:26" x14ac:dyDescent="0.3">
      <c r="A70">
        <v>1078</v>
      </c>
      <c r="B70" s="2">
        <v>41709</v>
      </c>
      <c r="C70">
        <v>11</v>
      </c>
      <c r="D70" t="s">
        <v>113</v>
      </c>
      <c r="E70" t="s">
        <v>114</v>
      </c>
      <c r="F70" t="s">
        <v>115</v>
      </c>
      <c r="G70" t="s">
        <v>116</v>
      </c>
      <c r="H70">
        <v>99999</v>
      </c>
      <c r="I70" t="s">
        <v>30</v>
      </c>
      <c r="J70" t="s">
        <v>94</v>
      </c>
      <c r="K70" t="s">
        <v>95</v>
      </c>
      <c r="L70" s="2"/>
      <c r="M70" t="s">
        <v>62</v>
      </c>
      <c r="N70" t="s">
        <v>117</v>
      </c>
      <c r="O70" t="s">
        <v>114</v>
      </c>
      <c r="P70" t="s">
        <v>115</v>
      </c>
      <c r="Q70" t="s">
        <v>116</v>
      </c>
      <c r="R70">
        <v>99999</v>
      </c>
      <c r="S70" t="s">
        <v>30</v>
      </c>
      <c r="U70" t="s">
        <v>88</v>
      </c>
      <c r="V70" t="s">
        <v>89</v>
      </c>
      <c r="W70">
        <v>40</v>
      </c>
      <c r="X70">
        <v>67</v>
      </c>
      <c r="Y70" s="4">
        <v>2680</v>
      </c>
      <c r="Z70" s="3">
        <v>270.68</v>
      </c>
    </row>
    <row r="71" spans="1:26" x14ac:dyDescent="0.3">
      <c r="A71">
        <v>1079</v>
      </c>
      <c r="B71" s="2">
        <v>41699</v>
      </c>
      <c r="C71">
        <v>1</v>
      </c>
      <c r="D71" t="s">
        <v>118</v>
      </c>
      <c r="E71" t="s">
        <v>119</v>
      </c>
      <c r="F71" t="s">
        <v>120</v>
      </c>
      <c r="G71" t="s">
        <v>121</v>
      </c>
      <c r="H71">
        <v>99999</v>
      </c>
      <c r="I71" t="s">
        <v>30</v>
      </c>
      <c r="J71" t="s">
        <v>60</v>
      </c>
      <c r="K71" t="s">
        <v>61</v>
      </c>
      <c r="L71" s="2"/>
      <c r="M71" t="s">
        <v>62</v>
      </c>
      <c r="N71" t="s">
        <v>122</v>
      </c>
      <c r="O71" t="s">
        <v>119</v>
      </c>
      <c r="P71" t="s">
        <v>120</v>
      </c>
      <c r="Q71" t="s">
        <v>121</v>
      </c>
      <c r="R71">
        <v>99999</v>
      </c>
      <c r="S71" t="s">
        <v>30</v>
      </c>
      <c r="U71" t="s">
        <v>123</v>
      </c>
      <c r="V71" t="s">
        <v>124</v>
      </c>
      <c r="W71">
        <v>18.399999999999999</v>
      </c>
      <c r="X71">
        <v>75</v>
      </c>
      <c r="Y71" s="4">
        <v>1380</v>
      </c>
      <c r="Z71" s="3">
        <v>138</v>
      </c>
    </row>
    <row r="72" spans="1:26" x14ac:dyDescent="0.3">
      <c r="A72">
        <v>1080</v>
      </c>
      <c r="B72" s="2">
        <v>41726</v>
      </c>
      <c r="C72">
        <v>28</v>
      </c>
      <c r="D72" t="s">
        <v>90</v>
      </c>
      <c r="E72" t="s">
        <v>91</v>
      </c>
      <c r="F72" t="s">
        <v>92</v>
      </c>
      <c r="G72" t="s">
        <v>93</v>
      </c>
      <c r="H72">
        <v>99999</v>
      </c>
      <c r="I72" t="s">
        <v>30</v>
      </c>
      <c r="J72" t="s">
        <v>94</v>
      </c>
      <c r="K72" t="s">
        <v>95</v>
      </c>
      <c r="L72" s="2">
        <v>41728</v>
      </c>
      <c r="M72" t="s">
        <v>62</v>
      </c>
      <c r="N72" t="s">
        <v>96</v>
      </c>
      <c r="O72" t="s">
        <v>91</v>
      </c>
      <c r="P72" t="s">
        <v>92</v>
      </c>
      <c r="Q72" t="s">
        <v>93</v>
      </c>
      <c r="R72">
        <v>99999</v>
      </c>
      <c r="S72" t="s">
        <v>30</v>
      </c>
      <c r="T72" t="s">
        <v>48</v>
      </c>
      <c r="U72" t="s">
        <v>55</v>
      </c>
      <c r="V72" t="s">
        <v>37</v>
      </c>
      <c r="W72">
        <v>46</v>
      </c>
      <c r="X72">
        <v>17</v>
      </c>
      <c r="Y72" s="4">
        <v>782</v>
      </c>
      <c r="Z72" s="3">
        <v>80.546000000000006</v>
      </c>
    </row>
    <row r="73" spans="1:26" x14ac:dyDescent="0.3">
      <c r="A73">
        <v>1081</v>
      </c>
      <c r="B73" s="2">
        <v>41733</v>
      </c>
      <c r="C73">
        <v>4</v>
      </c>
      <c r="D73" t="s">
        <v>40</v>
      </c>
      <c r="E73" t="s">
        <v>41</v>
      </c>
      <c r="F73" t="s">
        <v>42</v>
      </c>
      <c r="G73" t="s">
        <v>43</v>
      </c>
      <c r="H73">
        <v>99999</v>
      </c>
      <c r="I73" t="s">
        <v>30</v>
      </c>
      <c r="J73" t="s">
        <v>44</v>
      </c>
      <c r="K73" t="s">
        <v>45</v>
      </c>
      <c r="L73" s="2">
        <v>41735</v>
      </c>
      <c r="M73" t="s">
        <v>46</v>
      </c>
      <c r="N73" t="s">
        <v>47</v>
      </c>
      <c r="O73" t="s">
        <v>41</v>
      </c>
      <c r="P73" t="s">
        <v>42</v>
      </c>
      <c r="Q73" t="s">
        <v>43</v>
      </c>
      <c r="R73">
        <v>99999</v>
      </c>
      <c r="S73" t="s">
        <v>30</v>
      </c>
      <c r="T73" t="s">
        <v>48</v>
      </c>
      <c r="U73" t="s">
        <v>38</v>
      </c>
      <c r="V73" t="s">
        <v>39</v>
      </c>
      <c r="W73">
        <v>3.5</v>
      </c>
      <c r="X73">
        <v>48</v>
      </c>
      <c r="Y73" s="4">
        <v>168</v>
      </c>
      <c r="Z73" s="3">
        <v>16.295999999999999</v>
      </c>
    </row>
    <row r="74" spans="1:26" x14ac:dyDescent="0.3">
      <c r="A74">
        <v>1082</v>
      </c>
      <c r="B74" s="2">
        <v>41741</v>
      </c>
      <c r="C74">
        <v>12</v>
      </c>
      <c r="D74" t="s">
        <v>51</v>
      </c>
      <c r="E74" t="s">
        <v>52</v>
      </c>
      <c r="F74" t="s">
        <v>28</v>
      </c>
      <c r="G74" t="s">
        <v>29</v>
      </c>
      <c r="H74">
        <v>99999</v>
      </c>
      <c r="I74" t="s">
        <v>30</v>
      </c>
      <c r="J74" t="s">
        <v>31</v>
      </c>
      <c r="K74" t="s">
        <v>32</v>
      </c>
      <c r="L74" s="2">
        <v>41743</v>
      </c>
      <c r="M74" t="s">
        <v>33</v>
      </c>
      <c r="N74" t="s">
        <v>53</v>
      </c>
      <c r="O74" t="s">
        <v>52</v>
      </c>
      <c r="P74" t="s">
        <v>28</v>
      </c>
      <c r="Q74" t="s">
        <v>29</v>
      </c>
      <c r="R74">
        <v>99999</v>
      </c>
      <c r="S74" t="s">
        <v>30</v>
      </c>
      <c r="T74" t="s">
        <v>48</v>
      </c>
      <c r="U74" t="s">
        <v>54</v>
      </c>
      <c r="V74" t="s">
        <v>37</v>
      </c>
      <c r="W74">
        <v>18</v>
      </c>
      <c r="X74">
        <v>74</v>
      </c>
      <c r="Y74" s="4">
        <v>1332</v>
      </c>
      <c r="Z74" s="3">
        <v>137.19600000000003</v>
      </c>
    </row>
    <row r="75" spans="1:26" x14ac:dyDescent="0.3">
      <c r="A75">
        <v>1083</v>
      </c>
      <c r="B75" s="2">
        <v>41741</v>
      </c>
      <c r="C75">
        <v>12</v>
      </c>
      <c r="D75" t="s">
        <v>51</v>
      </c>
      <c r="E75" t="s">
        <v>52</v>
      </c>
      <c r="F75" t="s">
        <v>28</v>
      </c>
      <c r="G75" t="s">
        <v>29</v>
      </c>
      <c r="H75">
        <v>99999</v>
      </c>
      <c r="I75" t="s">
        <v>30</v>
      </c>
      <c r="J75" t="s">
        <v>31</v>
      </c>
      <c r="K75" t="s">
        <v>32</v>
      </c>
      <c r="L75" s="2">
        <v>41743</v>
      </c>
      <c r="M75" t="s">
        <v>33</v>
      </c>
      <c r="N75" t="s">
        <v>53</v>
      </c>
      <c r="O75" t="s">
        <v>52</v>
      </c>
      <c r="P75" t="s">
        <v>28</v>
      </c>
      <c r="Q75" t="s">
        <v>29</v>
      </c>
      <c r="R75">
        <v>99999</v>
      </c>
      <c r="S75" t="s">
        <v>30</v>
      </c>
      <c r="T75" t="s">
        <v>48</v>
      </c>
      <c r="U75" t="s">
        <v>55</v>
      </c>
      <c r="V75" t="s">
        <v>37</v>
      </c>
      <c r="W75">
        <v>46</v>
      </c>
      <c r="X75">
        <v>96</v>
      </c>
      <c r="Y75" s="4">
        <v>4416</v>
      </c>
      <c r="Z75" s="3">
        <v>428.35200000000003</v>
      </c>
    </row>
    <row r="76" spans="1:26" x14ac:dyDescent="0.3">
      <c r="A76">
        <v>1084</v>
      </c>
      <c r="B76" s="2">
        <v>41737</v>
      </c>
      <c r="C76">
        <v>8</v>
      </c>
      <c r="D76" t="s">
        <v>56</v>
      </c>
      <c r="E76" t="s">
        <v>57</v>
      </c>
      <c r="F76" t="s">
        <v>58</v>
      </c>
      <c r="G76" t="s">
        <v>59</v>
      </c>
      <c r="H76">
        <v>99999</v>
      </c>
      <c r="I76" t="s">
        <v>30</v>
      </c>
      <c r="J76" t="s">
        <v>60</v>
      </c>
      <c r="K76" t="s">
        <v>61</v>
      </c>
      <c r="L76" s="2">
        <v>41739</v>
      </c>
      <c r="M76" t="s">
        <v>62</v>
      </c>
      <c r="N76" t="s">
        <v>63</v>
      </c>
      <c r="O76" t="s">
        <v>57</v>
      </c>
      <c r="P76" t="s">
        <v>58</v>
      </c>
      <c r="Q76" t="s">
        <v>59</v>
      </c>
      <c r="R76">
        <v>99999</v>
      </c>
      <c r="S76" t="s">
        <v>30</v>
      </c>
      <c r="T76" t="s">
        <v>48</v>
      </c>
      <c r="U76" t="s">
        <v>64</v>
      </c>
      <c r="V76" t="s">
        <v>65</v>
      </c>
      <c r="W76">
        <v>9.1999999999999993</v>
      </c>
      <c r="X76">
        <v>12</v>
      </c>
      <c r="Y76" s="4">
        <v>110.39999999999999</v>
      </c>
      <c r="Z76" s="3">
        <v>11.3712</v>
      </c>
    </row>
    <row r="77" spans="1:26" x14ac:dyDescent="0.3">
      <c r="A77">
        <v>1085</v>
      </c>
      <c r="B77" s="2">
        <v>41733</v>
      </c>
      <c r="C77">
        <v>4</v>
      </c>
      <c r="D77" t="s">
        <v>40</v>
      </c>
      <c r="E77" t="s">
        <v>41</v>
      </c>
      <c r="F77" t="s">
        <v>42</v>
      </c>
      <c r="G77" t="s">
        <v>43</v>
      </c>
      <c r="H77">
        <v>99999</v>
      </c>
      <c r="I77" t="s">
        <v>30</v>
      </c>
      <c r="J77" t="s">
        <v>44</v>
      </c>
      <c r="K77" t="s">
        <v>45</v>
      </c>
      <c r="L77">
        <v>41735</v>
      </c>
      <c r="M77" t="s">
        <v>62</v>
      </c>
      <c r="N77" t="s">
        <v>47</v>
      </c>
      <c r="O77" t="s">
        <v>41</v>
      </c>
      <c r="P77" t="s">
        <v>42</v>
      </c>
      <c r="Q77" t="s">
        <v>43</v>
      </c>
      <c r="R77">
        <v>99999</v>
      </c>
      <c r="S77" t="s">
        <v>30</v>
      </c>
      <c r="T77" t="s">
        <v>35</v>
      </c>
      <c r="U77" t="s">
        <v>64</v>
      </c>
      <c r="V77" t="s">
        <v>65</v>
      </c>
      <c r="W77">
        <v>9.1999999999999993</v>
      </c>
      <c r="X77">
        <v>62</v>
      </c>
      <c r="Y77" s="4">
        <v>570.4</v>
      </c>
      <c r="Z77" s="3">
        <v>58.751199999999997</v>
      </c>
    </row>
    <row r="78" spans="1:26" x14ac:dyDescent="0.3">
      <c r="A78">
        <v>1086</v>
      </c>
      <c r="B78" s="2">
        <v>41758</v>
      </c>
      <c r="C78">
        <v>29</v>
      </c>
      <c r="D78" t="s">
        <v>66</v>
      </c>
      <c r="E78" t="s">
        <v>67</v>
      </c>
      <c r="F78" t="s">
        <v>68</v>
      </c>
      <c r="G78" t="s">
        <v>69</v>
      </c>
      <c r="H78">
        <v>99999</v>
      </c>
      <c r="I78" t="s">
        <v>30</v>
      </c>
      <c r="J78" t="s">
        <v>70</v>
      </c>
      <c r="K78" t="s">
        <v>32</v>
      </c>
      <c r="L78">
        <v>41760</v>
      </c>
      <c r="M78" t="s">
        <v>33</v>
      </c>
      <c r="N78" t="s">
        <v>71</v>
      </c>
      <c r="O78" t="s">
        <v>67</v>
      </c>
      <c r="P78" t="s">
        <v>68</v>
      </c>
      <c r="Q78" t="s">
        <v>69</v>
      </c>
      <c r="R78">
        <v>99999</v>
      </c>
      <c r="S78" t="s">
        <v>30</v>
      </c>
      <c r="T78" t="s">
        <v>35</v>
      </c>
      <c r="U78" t="s">
        <v>72</v>
      </c>
      <c r="V78" t="s">
        <v>73</v>
      </c>
      <c r="W78">
        <v>12.75</v>
      </c>
      <c r="X78">
        <v>35</v>
      </c>
      <c r="Y78" s="4">
        <v>446.25</v>
      </c>
      <c r="Z78" s="3">
        <v>45.963750000000005</v>
      </c>
    </row>
    <row r="79" spans="1:26" x14ac:dyDescent="0.3">
      <c r="A79">
        <v>1087</v>
      </c>
      <c r="B79" s="2">
        <v>41732</v>
      </c>
      <c r="C79">
        <v>3</v>
      </c>
      <c r="D79" t="s">
        <v>74</v>
      </c>
      <c r="E79" t="s">
        <v>75</v>
      </c>
      <c r="F79" t="s">
        <v>76</v>
      </c>
      <c r="G79" t="s">
        <v>77</v>
      </c>
      <c r="H79">
        <v>99999</v>
      </c>
      <c r="I79" t="s">
        <v>30</v>
      </c>
      <c r="J79" t="s">
        <v>31</v>
      </c>
      <c r="K79" t="s">
        <v>32</v>
      </c>
      <c r="L79">
        <v>41734</v>
      </c>
      <c r="M79" t="s">
        <v>33</v>
      </c>
      <c r="N79" t="s">
        <v>78</v>
      </c>
      <c r="O79" t="s">
        <v>75</v>
      </c>
      <c r="P79" t="s">
        <v>76</v>
      </c>
      <c r="Q79" t="s">
        <v>77</v>
      </c>
      <c r="R79">
        <v>99999</v>
      </c>
      <c r="S79" t="s">
        <v>30</v>
      </c>
      <c r="T79" t="s">
        <v>79</v>
      </c>
      <c r="U79" t="s">
        <v>80</v>
      </c>
      <c r="V79" t="s">
        <v>81</v>
      </c>
      <c r="W79">
        <v>9.65</v>
      </c>
      <c r="X79">
        <v>95</v>
      </c>
      <c r="Y79" s="4">
        <v>916.75</v>
      </c>
      <c r="Z79" s="3">
        <v>91.675000000000011</v>
      </c>
    </row>
    <row r="80" spans="1:26" x14ac:dyDescent="0.3">
      <c r="A80">
        <v>1088</v>
      </c>
      <c r="B80" s="2">
        <v>41735</v>
      </c>
      <c r="C80">
        <v>6</v>
      </c>
      <c r="D80" t="s">
        <v>82</v>
      </c>
      <c r="E80" t="s">
        <v>83</v>
      </c>
      <c r="F80" t="s">
        <v>84</v>
      </c>
      <c r="G80" t="s">
        <v>85</v>
      </c>
      <c r="H80">
        <v>99999</v>
      </c>
      <c r="I80" t="s">
        <v>30</v>
      </c>
      <c r="J80" t="s">
        <v>86</v>
      </c>
      <c r="K80" t="s">
        <v>61</v>
      </c>
      <c r="L80">
        <v>41737</v>
      </c>
      <c r="M80" t="s">
        <v>33</v>
      </c>
      <c r="N80" t="s">
        <v>87</v>
      </c>
      <c r="O80" t="s">
        <v>83</v>
      </c>
      <c r="P80" t="s">
        <v>84</v>
      </c>
      <c r="Q80" t="s">
        <v>85</v>
      </c>
      <c r="R80">
        <v>99999</v>
      </c>
      <c r="S80" t="s">
        <v>30</v>
      </c>
      <c r="T80" t="s">
        <v>48</v>
      </c>
      <c r="U80" t="s">
        <v>88</v>
      </c>
      <c r="V80" t="s">
        <v>89</v>
      </c>
      <c r="W80">
        <v>40</v>
      </c>
      <c r="X80">
        <v>17</v>
      </c>
      <c r="Y80" s="4">
        <v>680</v>
      </c>
      <c r="Z80" s="3">
        <v>68.680000000000007</v>
      </c>
    </row>
    <row r="81" spans="1:26" x14ac:dyDescent="0.3">
      <c r="A81">
        <v>1089</v>
      </c>
      <c r="B81" s="2">
        <v>41757</v>
      </c>
      <c r="C81">
        <v>28</v>
      </c>
      <c r="D81" t="s">
        <v>90</v>
      </c>
      <c r="E81" t="s">
        <v>91</v>
      </c>
      <c r="F81" t="s">
        <v>92</v>
      </c>
      <c r="G81" t="s">
        <v>93</v>
      </c>
      <c r="H81">
        <v>99999</v>
      </c>
      <c r="I81" t="s">
        <v>30</v>
      </c>
      <c r="J81" t="s">
        <v>94</v>
      </c>
      <c r="K81" t="s">
        <v>95</v>
      </c>
      <c r="L81" s="2">
        <v>41759</v>
      </c>
      <c r="M81" t="s">
        <v>62</v>
      </c>
      <c r="N81" t="s">
        <v>96</v>
      </c>
      <c r="O81" t="s">
        <v>91</v>
      </c>
      <c r="P81" t="s">
        <v>92</v>
      </c>
      <c r="Q81" t="s">
        <v>93</v>
      </c>
      <c r="R81">
        <v>99999</v>
      </c>
      <c r="S81" t="s">
        <v>30</v>
      </c>
      <c r="T81" t="s">
        <v>35</v>
      </c>
      <c r="U81" t="s">
        <v>55</v>
      </c>
      <c r="V81" t="s">
        <v>37</v>
      </c>
      <c r="W81">
        <v>46</v>
      </c>
      <c r="X81">
        <v>96</v>
      </c>
      <c r="Y81" s="4">
        <v>4416</v>
      </c>
      <c r="Z81" s="3">
        <v>463.68000000000006</v>
      </c>
    </row>
    <row r="82" spans="1:26" x14ac:dyDescent="0.3">
      <c r="A82">
        <v>1090</v>
      </c>
      <c r="B82" s="2">
        <v>41737</v>
      </c>
      <c r="C82">
        <v>8</v>
      </c>
      <c r="D82" t="s">
        <v>56</v>
      </c>
      <c r="E82" t="s">
        <v>57</v>
      </c>
      <c r="F82" t="s">
        <v>58</v>
      </c>
      <c r="G82" t="s">
        <v>59</v>
      </c>
      <c r="H82">
        <v>99999</v>
      </c>
      <c r="I82" t="s">
        <v>30</v>
      </c>
      <c r="J82" t="s">
        <v>60</v>
      </c>
      <c r="K82" t="s">
        <v>61</v>
      </c>
      <c r="L82" s="2">
        <v>41739</v>
      </c>
      <c r="M82" t="s">
        <v>62</v>
      </c>
      <c r="N82" t="s">
        <v>63</v>
      </c>
      <c r="O82" t="s">
        <v>57</v>
      </c>
      <c r="P82" t="s">
        <v>58</v>
      </c>
      <c r="Q82" t="s">
        <v>59</v>
      </c>
      <c r="R82">
        <v>99999</v>
      </c>
      <c r="S82" t="s">
        <v>30</v>
      </c>
      <c r="T82" t="s">
        <v>35</v>
      </c>
      <c r="U82" t="s">
        <v>72</v>
      </c>
      <c r="V82" t="s">
        <v>73</v>
      </c>
      <c r="W82" s="3">
        <v>12.75</v>
      </c>
      <c r="X82">
        <v>83</v>
      </c>
      <c r="Y82" s="4">
        <v>1058.25</v>
      </c>
      <c r="Z82" s="3">
        <v>102.65025</v>
      </c>
    </row>
    <row r="83" spans="1:26" x14ac:dyDescent="0.3">
      <c r="A83">
        <v>1091</v>
      </c>
      <c r="B83" s="2">
        <v>41739</v>
      </c>
      <c r="C83">
        <v>10</v>
      </c>
      <c r="D83" t="s">
        <v>97</v>
      </c>
      <c r="E83" t="s">
        <v>98</v>
      </c>
      <c r="F83" t="s">
        <v>99</v>
      </c>
      <c r="G83" t="s">
        <v>100</v>
      </c>
      <c r="H83">
        <v>99999</v>
      </c>
      <c r="I83" t="s">
        <v>30</v>
      </c>
      <c r="J83" t="s">
        <v>101</v>
      </c>
      <c r="K83" t="s">
        <v>45</v>
      </c>
      <c r="L83" s="2">
        <v>41741</v>
      </c>
      <c r="M83" t="s">
        <v>33</v>
      </c>
      <c r="N83" t="s">
        <v>102</v>
      </c>
      <c r="O83" t="s">
        <v>98</v>
      </c>
      <c r="P83" t="s">
        <v>99</v>
      </c>
      <c r="Q83" t="s">
        <v>100</v>
      </c>
      <c r="R83">
        <v>99999</v>
      </c>
      <c r="S83" t="s">
        <v>30</v>
      </c>
      <c r="T83" t="s">
        <v>48</v>
      </c>
      <c r="U83" t="s">
        <v>103</v>
      </c>
      <c r="V83" t="s">
        <v>37</v>
      </c>
      <c r="W83" s="3">
        <v>2.99</v>
      </c>
      <c r="X83">
        <v>88</v>
      </c>
      <c r="Y83" s="4">
        <v>263.12</v>
      </c>
      <c r="Z83" s="3">
        <v>26.04888</v>
      </c>
    </row>
    <row r="84" spans="1:26" x14ac:dyDescent="0.3">
      <c r="A84">
        <v>1092</v>
      </c>
      <c r="B84" s="2">
        <v>41736</v>
      </c>
      <c r="C84">
        <v>7</v>
      </c>
      <c r="D84" t="s">
        <v>104</v>
      </c>
      <c r="E84" t="s">
        <v>105</v>
      </c>
      <c r="F84" t="s">
        <v>106</v>
      </c>
      <c r="G84" t="s">
        <v>107</v>
      </c>
      <c r="H84">
        <v>99999</v>
      </c>
      <c r="I84" t="s">
        <v>30</v>
      </c>
      <c r="J84" t="s">
        <v>60</v>
      </c>
      <c r="K84" t="s">
        <v>61</v>
      </c>
      <c r="L84" s="2"/>
      <c r="N84" t="s">
        <v>108</v>
      </c>
      <c r="O84" t="s">
        <v>105</v>
      </c>
      <c r="P84" t="s">
        <v>106</v>
      </c>
      <c r="Q84" t="s">
        <v>107</v>
      </c>
      <c r="R84">
        <v>99999</v>
      </c>
      <c r="S84" t="s">
        <v>30</v>
      </c>
      <c r="U84" t="s">
        <v>55</v>
      </c>
      <c r="V84" t="s">
        <v>37</v>
      </c>
      <c r="W84" s="3">
        <v>46</v>
      </c>
      <c r="X84">
        <v>59</v>
      </c>
      <c r="Y84" s="4">
        <v>2714</v>
      </c>
      <c r="Z84" s="3">
        <v>284.97000000000003</v>
      </c>
    </row>
    <row r="85" spans="1:26" x14ac:dyDescent="0.3">
      <c r="A85">
        <v>1093</v>
      </c>
      <c r="B85" s="2">
        <v>41739</v>
      </c>
      <c r="C85">
        <v>10</v>
      </c>
      <c r="D85" t="s">
        <v>97</v>
      </c>
      <c r="E85" t="s">
        <v>98</v>
      </c>
      <c r="F85" t="s">
        <v>99</v>
      </c>
      <c r="G85" t="s">
        <v>100</v>
      </c>
      <c r="H85">
        <v>99999</v>
      </c>
      <c r="I85" t="s">
        <v>30</v>
      </c>
      <c r="J85" t="s">
        <v>101</v>
      </c>
      <c r="K85" t="s">
        <v>45</v>
      </c>
      <c r="L85" s="2">
        <v>41741</v>
      </c>
      <c r="M85" t="s">
        <v>46</v>
      </c>
      <c r="N85" t="s">
        <v>102</v>
      </c>
      <c r="O85" t="s">
        <v>98</v>
      </c>
      <c r="P85" t="s">
        <v>99</v>
      </c>
      <c r="Q85" t="s">
        <v>100</v>
      </c>
      <c r="R85">
        <v>99999</v>
      </c>
      <c r="S85" t="s">
        <v>30</v>
      </c>
      <c r="U85" t="s">
        <v>109</v>
      </c>
      <c r="V85" t="s">
        <v>110</v>
      </c>
      <c r="W85" s="3">
        <v>25</v>
      </c>
      <c r="X85">
        <v>27</v>
      </c>
      <c r="Y85" s="4">
        <v>675</v>
      </c>
      <c r="Z85" s="3">
        <v>68.849999999999994</v>
      </c>
    </row>
    <row r="86" spans="1:26" x14ac:dyDescent="0.3">
      <c r="A86">
        <v>1094</v>
      </c>
      <c r="B86" s="2">
        <v>41739</v>
      </c>
      <c r="C86">
        <v>10</v>
      </c>
      <c r="D86" t="s">
        <v>97</v>
      </c>
      <c r="E86" t="s">
        <v>98</v>
      </c>
      <c r="F86" t="s">
        <v>99</v>
      </c>
      <c r="G86" t="s">
        <v>100</v>
      </c>
      <c r="H86">
        <v>99999</v>
      </c>
      <c r="I86" t="s">
        <v>30</v>
      </c>
      <c r="J86" t="s">
        <v>101</v>
      </c>
      <c r="K86" t="s">
        <v>45</v>
      </c>
      <c r="L86" s="2">
        <v>41741</v>
      </c>
      <c r="M86" t="s">
        <v>46</v>
      </c>
      <c r="N86" t="s">
        <v>102</v>
      </c>
      <c r="O86" t="s">
        <v>98</v>
      </c>
      <c r="P86" t="s">
        <v>99</v>
      </c>
      <c r="Q86" t="s">
        <v>100</v>
      </c>
      <c r="R86">
        <v>99999</v>
      </c>
      <c r="S86" t="s">
        <v>30</v>
      </c>
      <c r="U86" t="s">
        <v>111</v>
      </c>
      <c r="V86" t="s">
        <v>112</v>
      </c>
      <c r="W86" s="3">
        <v>22</v>
      </c>
      <c r="X86">
        <v>37</v>
      </c>
      <c r="Y86" s="4">
        <v>814</v>
      </c>
      <c r="Z86" s="3">
        <v>85.470000000000013</v>
      </c>
    </row>
    <row r="87" spans="1:26" x14ac:dyDescent="0.3">
      <c r="A87">
        <v>1095</v>
      </c>
      <c r="B87" s="2">
        <v>41739</v>
      </c>
      <c r="C87">
        <v>10</v>
      </c>
      <c r="D87" t="s">
        <v>97</v>
      </c>
      <c r="E87" t="s">
        <v>98</v>
      </c>
      <c r="F87" t="s">
        <v>99</v>
      </c>
      <c r="G87" t="s">
        <v>100</v>
      </c>
      <c r="H87">
        <v>99999</v>
      </c>
      <c r="I87" t="s">
        <v>30</v>
      </c>
      <c r="J87" t="s">
        <v>101</v>
      </c>
      <c r="K87" t="s">
        <v>45</v>
      </c>
      <c r="L87" s="2">
        <v>41741</v>
      </c>
      <c r="M87" t="s">
        <v>46</v>
      </c>
      <c r="N87" t="s">
        <v>102</v>
      </c>
      <c r="O87" t="s">
        <v>98</v>
      </c>
      <c r="P87" t="s">
        <v>99</v>
      </c>
      <c r="Q87" t="s">
        <v>100</v>
      </c>
      <c r="R87">
        <v>99999</v>
      </c>
      <c r="S87" t="s">
        <v>30</v>
      </c>
      <c r="U87" t="s">
        <v>64</v>
      </c>
      <c r="V87" t="s">
        <v>65</v>
      </c>
      <c r="W87" s="3">
        <v>9.1999999999999993</v>
      </c>
      <c r="X87">
        <v>75</v>
      </c>
      <c r="Y87" s="4">
        <v>690</v>
      </c>
      <c r="Z87" s="3">
        <v>69</v>
      </c>
    </row>
    <row r="88" spans="1:26" x14ac:dyDescent="0.3">
      <c r="A88">
        <v>1096</v>
      </c>
      <c r="B88" s="2">
        <v>41740</v>
      </c>
      <c r="C88">
        <v>11</v>
      </c>
      <c r="D88" t="s">
        <v>113</v>
      </c>
      <c r="E88" t="s">
        <v>114</v>
      </c>
      <c r="F88" t="s">
        <v>115</v>
      </c>
      <c r="G88" t="s">
        <v>116</v>
      </c>
      <c r="H88">
        <v>99999</v>
      </c>
      <c r="I88" t="s">
        <v>30</v>
      </c>
      <c r="J88" t="s">
        <v>94</v>
      </c>
      <c r="K88" t="s">
        <v>95</v>
      </c>
      <c r="L88" s="2"/>
      <c r="M88" t="s">
        <v>62</v>
      </c>
      <c r="N88" t="s">
        <v>117</v>
      </c>
      <c r="O88" t="s">
        <v>114</v>
      </c>
      <c r="P88" t="s">
        <v>115</v>
      </c>
      <c r="Q88" t="s">
        <v>116</v>
      </c>
      <c r="R88">
        <v>99999</v>
      </c>
      <c r="S88" t="s">
        <v>30</v>
      </c>
      <c r="U88" t="s">
        <v>38</v>
      </c>
      <c r="V88" t="s">
        <v>39</v>
      </c>
      <c r="W88" s="3">
        <v>3.5</v>
      </c>
      <c r="X88">
        <v>71</v>
      </c>
      <c r="Y88" s="4">
        <v>248.5</v>
      </c>
      <c r="Z88" s="3">
        <v>24.104500000000002</v>
      </c>
    </row>
    <row r="89" spans="1:26" x14ac:dyDescent="0.3">
      <c r="A89">
        <v>1097</v>
      </c>
      <c r="B89" s="2">
        <v>41740</v>
      </c>
      <c r="C89">
        <v>11</v>
      </c>
      <c r="D89" t="s">
        <v>113</v>
      </c>
      <c r="E89" t="s">
        <v>114</v>
      </c>
      <c r="F89" t="s">
        <v>115</v>
      </c>
      <c r="G89" t="s">
        <v>116</v>
      </c>
      <c r="H89">
        <v>99999</v>
      </c>
      <c r="I89" t="s">
        <v>30</v>
      </c>
      <c r="J89" t="s">
        <v>94</v>
      </c>
      <c r="K89" t="s">
        <v>95</v>
      </c>
      <c r="L89" s="2"/>
      <c r="M89" t="s">
        <v>62</v>
      </c>
      <c r="N89" t="s">
        <v>117</v>
      </c>
      <c r="O89" t="s">
        <v>114</v>
      </c>
      <c r="P89" t="s">
        <v>115</v>
      </c>
      <c r="Q89" t="s">
        <v>116</v>
      </c>
      <c r="R89">
        <v>99999</v>
      </c>
      <c r="S89" t="s">
        <v>30</v>
      </c>
      <c r="U89" t="s">
        <v>103</v>
      </c>
      <c r="V89" t="s">
        <v>37</v>
      </c>
      <c r="W89" s="3">
        <v>2.99</v>
      </c>
      <c r="X89">
        <v>88</v>
      </c>
      <c r="Y89" s="4">
        <v>263.12</v>
      </c>
      <c r="Z89" s="3">
        <v>26.04888</v>
      </c>
    </row>
    <row r="90" spans="1:26" x14ac:dyDescent="0.3">
      <c r="A90">
        <v>1098</v>
      </c>
      <c r="B90" s="2">
        <v>41730</v>
      </c>
      <c r="C90">
        <v>1</v>
      </c>
      <c r="D90" t="s">
        <v>118</v>
      </c>
      <c r="E90" t="s">
        <v>119</v>
      </c>
      <c r="F90" t="s">
        <v>120</v>
      </c>
      <c r="G90" t="s">
        <v>121</v>
      </c>
      <c r="H90">
        <v>99999</v>
      </c>
      <c r="I90" t="s">
        <v>30</v>
      </c>
      <c r="J90" t="s">
        <v>60</v>
      </c>
      <c r="K90" t="s">
        <v>61</v>
      </c>
      <c r="L90" s="2"/>
      <c r="N90" t="s">
        <v>122</v>
      </c>
      <c r="O90" t="s">
        <v>119</v>
      </c>
      <c r="P90" t="s">
        <v>120</v>
      </c>
      <c r="Q90" t="s">
        <v>121</v>
      </c>
      <c r="R90">
        <v>99999</v>
      </c>
      <c r="S90" t="s">
        <v>30</v>
      </c>
      <c r="U90" t="s">
        <v>54</v>
      </c>
      <c r="V90" t="s">
        <v>37</v>
      </c>
      <c r="W90" s="3">
        <v>18</v>
      </c>
      <c r="X90">
        <v>55</v>
      </c>
      <c r="Y90" s="4">
        <v>990</v>
      </c>
      <c r="Z90" s="3">
        <v>97.02</v>
      </c>
    </row>
    <row r="91" spans="1:26" x14ac:dyDescent="0.3">
      <c r="A91">
        <v>1099</v>
      </c>
      <c r="B91" s="2">
        <v>41788</v>
      </c>
      <c r="C91">
        <v>29</v>
      </c>
      <c r="D91" t="s">
        <v>66</v>
      </c>
      <c r="E91" t="s">
        <v>67</v>
      </c>
      <c r="F91" t="s">
        <v>68</v>
      </c>
      <c r="G91" t="s">
        <v>69</v>
      </c>
      <c r="H91">
        <v>99999</v>
      </c>
      <c r="I91" t="s">
        <v>30</v>
      </c>
      <c r="J91" t="s">
        <v>70</v>
      </c>
      <c r="K91" t="s">
        <v>32</v>
      </c>
      <c r="L91" s="2">
        <v>41790</v>
      </c>
      <c r="M91" t="s">
        <v>33</v>
      </c>
      <c r="N91" t="s">
        <v>71</v>
      </c>
      <c r="O91" t="s">
        <v>67</v>
      </c>
      <c r="P91" t="s">
        <v>68</v>
      </c>
      <c r="Q91" t="s">
        <v>69</v>
      </c>
      <c r="R91">
        <v>99999</v>
      </c>
      <c r="S91" t="s">
        <v>30</v>
      </c>
      <c r="T91" t="s">
        <v>35</v>
      </c>
      <c r="U91" t="s">
        <v>72</v>
      </c>
      <c r="V91" t="s">
        <v>73</v>
      </c>
      <c r="W91" s="3">
        <v>12.75</v>
      </c>
      <c r="X91">
        <v>14</v>
      </c>
      <c r="Y91" s="4">
        <v>178.5</v>
      </c>
      <c r="Z91" s="3">
        <v>16.9575</v>
      </c>
    </row>
    <row r="92" spans="1:26" x14ac:dyDescent="0.3">
      <c r="A92">
        <v>1100</v>
      </c>
      <c r="B92" s="2">
        <v>41762</v>
      </c>
      <c r="C92">
        <v>3</v>
      </c>
      <c r="D92" t="s">
        <v>74</v>
      </c>
      <c r="E92" t="s">
        <v>75</v>
      </c>
      <c r="F92" t="s">
        <v>76</v>
      </c>
      <c r="G92" t="s">
        <v>77</v>
      </c>
      <c r="H92">
        <v>99999</v>
      </c>
      <c r="I92" t="s">
        <v>30</v>
      </c>
      <c r="J92" t="s">
        <v>31</v>
      </c>
      <c r="K92" t="s">
        <v>32</v>
      </c>
      <c r="L92" s="2">
        <v>41764</v>
      </c>
      <c r="M92" t="s">
        <v>33</v>
      </c>
      <c r="N92" t="s">
        <v>78</v>
      </c>
      <c r="O92" t="s">
        <v>75</v>
      </c>
      <c r="P92" t="s">
        <v>76</v>
      </c>
      <c r="Q92" t="s">
        <v>77</v>
      </c>
      <c r="R92">
        <v>99999</v>
      </c>
      <c r="S92" t="s">
        <v>30</v>
      </c>
      <c r="T92" t="s">
        <v>79</v>
      </c>
      <c r="U92" t="s">
        <v>80</v>
      </c>
      <c r="V92" t="s">
        <v>81</v>
      </c>
      <c r="W92" s="3">
        <v>9.65</v>
      </c>
      <c r="X92">
        <v>43</v>
      </c>
      <c r="Y92" s="4">
        <v>414.95</v>
      </c>
      <c r="Z92" s="3">
        <v>42.324900000000007</v>
      </c>
    </row>
    <row r="93" spans="1:26" x14ac:dyDescent="0.3">
      <c r="A93">
        <v>1101</v>
      </c>
      <c r="B93" s="2">
        <v>41765</v>
      </c>
      <c r="C93">
        <v>6</v>
      </c>
      <c r="D93" t="s">
        <v>82</v>
      </c>
      <c r="E93" t="s">
        <v>83</v>
      </c>
      <c r="F93" t="s">
        <v>84</v>
      </c>
      <c r="G93" t="s">
        <v>85</v>
      </c>
      <c r="H93">
        <v>99999</v>
      </c>
      <c r="I93" t="s">
        <v>30</v>
      </c>
      <c r="J93" t="s">
        <v>86</v>
      </c>
      <c r="K93" t="s">
        <v>61</v>
      </c>
      <c r="L93">
        <v>41767</v>
      </c>
      <c r="M93" t="s">
        <v>33</v>
      </c>
      <c r="N93" t="s">
        <v>87</v>
      </c>
      <c r="O93" t="s">
        <v>83</v>
      </c>
      <c r="P93" t="s">
        <v>84</v>
      </c>
      <c r="Q93" t="s">
        <v>85</v>
      </c>
      <c r="R93">
        <v>99999</v>
      </c>
      <c r="S93" t="s">
        <v>30</v>
      </c>
      <c r="T93" t="s">
        <v>48</v>
      </c>
      <c r="U93" t="s">
        <v>88</v>
      </c>
      <c r="V93" t="s">
        <v>89</v>
      </c>
      <c r="W93" s="3">
        <v>40</v>
      </c>
      <c r="X93">
        <v>63</v>
      </c>
      <c r="Y93" s="4">
        <v>2520</v>
      </c>
      <c r="Z93" s="3">
        <v>254.52</v>
      </c>
    </row>
    <row r="94" spans="1:26" x14ac:dyDescent="0.3">
      <c r="A94">
        <v>1102</v>
      </c>
      <c r="B94" s="2">
        <v>41787</v>
      </c>
      <c r="C94">
        <v>28</v>
      </c>
      <c r="D94" t="s">
        <v>90</v>
      </c>
      <c r="E94" t="s">
        <v>91</v>
      </c>
      <c r="F94" t="s">
        <v>92</v>
      </c>
      <c r="G94" t="s">
        <v>93</v>
      </c>
      <c r="H94">
        <v>99999</v>
      </c>
      <c r="I94" t="s">
        <v>30</v>
      </c>
      <c r="J94" t="s">
        <v>94</v>
      </c>
      <c r="K94" t="s">
        <v>95</v>
      </c>
      <c r="L94" s="2">
        <v>41789</v>
      </c>
      <c r="M94" t="s">
        <v>62</v>
      </c>
      <c r="N94" t="s">
        <v>96</v>
      </c>
      <c r="O94" t="s">
        <v>91</v>
      </c>
      <c r="P94" t="s">
        <v>92</v>
      </c>
      <c r="Q94" t="s">
        <v>93</v>
      </c>
      <c r="R94">
        <v>99999</v>
      </c>
      <c r="S94" t="s">
        <v>30</v>
      </c>
      <c r="T94" t="s">
        <v>35</v>
      </c>
      <c r="U94" t="s">
        <v>55</v>
      </c>
      <c r="V94" t="s">
        <v>37</v>
      </c>
      <c r="W94" s="3">
        <v>46</v>
      </c>
      <c r="X94">
        <v>36</v>
      </c>
      <c r="Y94" s="4">
        <v>1656</v>
      </c>
      <c r="Z94" s="3">
        <v>165.60000000000002</v>
      </c>
    </row>
    <row r="95" spans="1:26" x14ac:dyDescent="0.3">
      <c r="A95">
        <v>1103</v>
      </c>
      <c r="B95" s="2">
        <v>41767</v>
      </c>
      <c r="C95">
        <v>8</v>
      </c>
      <c r="D95" t="s">
        <v>56</v>
      </c>
      <c r="E95" t="s">
        <v>57</v>
      </c>
      <c r="F95" t="s">
        <v>58</v>
      </c>
      <c r="G95" t="s">
        <v>59</v>
      </c>
      <c r="H95">
        <v>99999</v>
      </c>
      <c r="I95" t="s">
        <v>30</v>
      </c>
      <c r="J95" t="s">
        <v>60</v>
      </c>
      <c r="K95" t="s">
        <v>61</v>
      </c>
      <c r="L95" s="2">
        <v>41769</v>
      </c>
      <c r="M95" t="s">
        <v>62</v>
      </c>
      <c r="N95" t="s">
        <v>63</v>
      </c>
      <c r="O95" t="s">
        <v>57</v>
      </c>
      <c r="P95" t="s">
        <v>58</v>
      </c>
      <c r="Q95" t="s">
        <v>59</v>
      </c>
      <c r="R95">
        <v>99999</v>
      </c>
      <c r="S95" t="s">
        <v>30</v>
      </c>
      <c r="T95" t="s">
        <v>35</v>
      </c>
      <c r="U95" t="s">
        <v>72</v>
      </c>
      <c r="V95" t="s">
        <v>73</v>
      </c>
      <c r="W95" s="3">
        <v>12.75</v>
      </c>
      <c r="X95">
        <v>41</v>
      </c>
      <c r="Y95" s="4">
        <v>522.75</v>
      </c>
      <c r="Z95" s="3">
        <v>54.366000000000007</v>
      </c>
    </row>
    <row r="96" spans="1:26" x14ac:dyDescent="0.3">
      <c r="A96">
        <v>1104</v>
      </c>
      <c r="B96" s="2">
        <v>41769</v>
      </c>
      <c r="C96">
        <v>10</v>
      </c>
      <c r="D96" t="s">
        <v>97</v>
      </c>
      <c r="E96" t="s">
        <v>98</v>
      </c>
      <c r="F96" t="s">
        <v>99</v>
      </c>
      <c r="G96" t="s">
        <v>100</v>
      </c>
      <c r="H96">
        <v>99999</v>
      </c>
      <c r="I96" t="s">
        <v>30</v>
      </c>
      <c r="J96" t="s">
        <v>101</v>
      </c>
      <c r="K96" t="s">
        <v>45</v>
      </c>
      <c r="L96" s="2">
        <v>41771</v>
      </c>
      <c r="M96" t="s">
        <v>33</v>
      </c>
      <c r="N96" t="s">
        <v>102</v>
      </c>
      <c r="O96" t="s">
        <v>98</v>
      </c>
      <c r="P96" t="s">
        <v>99</v>
      </c>
      <c r="Q96" t="s">
        <v>100</v>
      </c>
      <c r="R96">
        <v>99999</v>
      </c>
      <c r="S96" t="s">
        <v>30</v>
      </c>
      <c r="T96" t="s">
        <v>48</v>
      </c>
      <c r="U96" t="s">
        <v>103</v>
      </c>
      <c r="V96" t="s">
        <v>37</v>
      </c>
      <c r="W96" s="3">
        <v>2.99</v>
      </c>
      <c r="X96">
        <v>35</v>
      </c>
      <c r="Y96" s="4">
        <v>104.65</v>
      </c>
      <c r="Z96" s="3">
        <v>10.255700000000001</v>
      </c>
    </row>
    <row r="97" spans="1:26" x14ac:dyDescent="0.3">
      <c r="A97">
        <v>1105</v>
      </c>
      <c r="B97" s="2">
        <v>41766</v>
      </c>
      <c r="C97">
        <v>7</v>
      </c>
      <c r="D97" t="s">
        <v>104</v>
      </c>
      <c r="E97" t="s">
        <v>105</v>
      </c>
      <c r="F97" t="s">
        <v>106</v>
      </c>
      <c r="G97" t="s">
        <v>107</v>
      </c>
      <c r="H97">
        <v>99999</v>
      </c>
      <c r="I97" t="s">
        <v>30</v>
      </c>
      <c r="J97" t="s">
        <v>60</v>
      </c>
      <c r="K97" t="s">
        <v>61</v>
      </c>
      <c r="N97" t="s">
        <v>108</v>
      </c>
      <c r="O97" t="s">
        <v>105</v>
      </c>
      <c r="P97" t="s">
        <v>106</v>
      </c>
      <c r="Q97" t="s">
        <v>107</v>
      </c>
      <c r="R97">
        <v>99999</v>
      </c>
      <c r="S97" t="s">
        <v>30</v>
      </c>
      <c r="U97" t="s">
        <v>55</v>
      </c>
      <c r="V97" t="s">
        <v>37</v>
      </c>
      <c r="W97" s="3">
        <v>46</v>
      </c>
      <c r="X97">
        <v>31</v>
      </c>
      <c r="Y97" s="4">
        <v>1426</v>
      </c>
      <c r="Z97" s="3">
        <v>136.89599999999999</v>
      </c>
    </row>
    <row r="98" spans="1:26" x14ac:dyDescent="0.3">
      <c r="A98">
        <v>1106</v>
      </c>
      <c r="B98" s="2">
        <v>41769</v>
      </c>
      <c r="C98">
        <v>10</v>
      </c>
      <c r="D98" t="s">
        <v>97</v>
      </c>
      <c r="E98" t="s">
        <v>98</v>
      </c>
      <c r="F98" t="s">
        <v>99</v>
      </c>
      <c r="G98" t="s">
        <v>100</v>
      </c>
      <c r="H98">
        <v>99999</v>
      </c>
      <c r="I98" t="s">
        <v>30</v>
      </c>
      <c r="J98" t="s">
        <v>101</v>
      </c>
      <c r="K98" t="s">
        <v>45</v>
      </c>
      <c r="L98">
        <v>41771</v>
      </c>
      <c r="M98" t="s">
        <v>46</v>
      </c>
      <c r="N98" t="s">
        <v>102</v>
      </c>
      <c r="O98" t="s">
        <v>98</v>
      </c>
      <c r="P98" t="s">
        <v>99</v>
      </c>
      <c r="Q98" t="s">
        <v>100</v>
      </c>
      <c r="R98">
        <v>99999</v>
      </c>
      <c r="S98" t="s">
        <v>30</v>
      </c>
      <c r="U98" t="s">
        <v>109</v>
      </c>
      <c r="V98" t="s">
        <v>110</v>
      </c>
      <c r="W98" s="3">
        <v>25</v>
      </c>
      <c r="X98">
        <v>52</v>
      </c>
      <c r="Y98" s="4">
        <v>1300</v>
      </c>
      <c r="Z98" s="3">
        <v>123.5</v>
      </c>
    </row>
    <row r="99" spans="1:26" x14ac:dyDescent="0.3">
      <c r="A99">
        <v>1107</v>
      </c>
      <c r="B99" s="2">
        <v>41769</v>
      </c>
      <c r="C99">
        <v>10</v>
      </c>
      <c r="D99" t="s">
        <v>97</v>
      </c>
      <c r="E99" t="s">
        <v>98</v>
      </c>
      <c r="F99" t="s">
        <v>99</v>
      </c>
      <c r="G99" t="s">
        <v>100</v>
      </c>
      <c r="H99">
        <v>99999</v>
      </c>
      <c r="I99" t="s">
        <v>30</v>
      </c>
      <c r="J99" t="s">
        <v>101</v>
      </c>
      <c r="K99" t="s">
        <v>45</v>
      </c>
      <c r="L99">
        <v>41771</v>
      </c>
      <c r="M99" t="s">
        <v>46</v>
      </c>
      <c r="N99" t="s">
        <v>102</v>
      </c>
      <c r="O99" t="s">
        <v>98</v>
      </c>
      <c r="P99" t="s">
        <v>99</v>
      </c>
      <c r="Q99" t="s">
        <v>100</v>
      </c>
      <c r="R99">
        <v>99999</v>
      </c>
      <c r="S99" t="s">
        <v>30</v>
      </c>
      <c r="U99" t="s">
        <v>111</v>
      </c>
      <c r="V99" t="s">
        <v>112</v>
      </c>
      <c r="W99" s="3">
        <v>22</v>
      </c>
      <c r="X99">
        <v>30</v>
      </c>
      <c r="Y99" s="4">
        <v>660</v>
      </c>
      <c r="Z99" s="3">
        <v>67.320000000000007</v>
      </c>
    </row>
    <row r="100" spans="1:26" x14ac:dyDescent="0.3">
      <c r="A100">
        <v>1108</v>
      </c>
      <c r="B100" s="2">
        <v>41769</v>
      </c>
      <c r="C100">
        <v>10</v>
      </c>
      <c r="D100" t="s">
        <v>97</v>
      </c>
      <c r="E100" t="s">
        <v>98</v>
      </c>
      <c r="F100" t="s">
        <v>99</v>
      </c>
      <c r="G100" t="s">
        <v>100</v>
      </c>
      <c r="H100">
        <v>99999</v>
      </c>
      <c r="I100" t="s">
        <v>30</v>
      </c>
      <c r="J100" t="s">
        <v>101</v>
      </c>
      <c r="K100" t="s">
        <v>45</v>
      </c>
      <c r="L100" s="2">
        <v>41771</v>
      </c>
      <c r="M100" t="s">
        <v>46</v>
      </c>
      <c r="N100" t="s">
        <v>102</v>
      </c>
      <c r="O100" t="s">
        <v>98</v>
      </c>
      <c r="P100" t="s">
        <v>99</v>
      </c>
      <c r="Q100" t="s">
        <v>100</v>
      </c>
      <c r="R100">
        <v>99999</v>
      </c>
      <c r="S100" t="s">
        <v>30</v>
      </c>
      <c r="U100" t="s">
        <v>64</v>
      </c>
      <c r="V100" t="s">
        <v>65</v>
      </c>
      <c r="W100" s="3">
        <v>9.1999999999999993</v>
      </c>
      <c r="X100">
        <v>41</v>
      </c>
      <c r="Y100" s="4">
        <v>377.2</v>
      </c>
      <c r="Z100" s="3">
        <v>38.474400000000003</v>
      </c>
    </row>
    <row r="101" spans="1:26" x14ac:dyDescent="0.3">
      <c r="A101">
        <v>1109</v>
      </c>
      <c r="B101" s="2">
        <v>41770</v>
      </c>
      <c r="C101">
        <v>11</v>
      </c>
      <c r="D101" t="s">
        <v>113</v>
      </c>
      <c r="E101" t="s">
        <v>114</v>
      </c>
      <c r="F101" t="s">
        <v>115</v>
      </c>
      <c r="G101" t="s">
        <v>116</v>
      </c>
      <c r="H101">
        <v>99999</v>
      </c>
      <c r="I101" t="s">
        <v>30</v>
      </c>
      <c r="J101" t="s">
        <v>94</v>
      </c>
      <c r="K101" t="s">
        <v>95</v>
      </c>
      <c r="L101" s="2"/>
      <c r="M101" t="s">
        <v>62</v>
      </c>
      <c r="N101" t="s">
        <v>117</v>
      </c>
      <c r="O101" t="s">
        <v>114</v>
      </c>
      <c r="P101" t="s">
        <v>115</v>
      </c>
      <c r="Q101" t="s">
        <v>116</v>
      </c>
      <c r="R101">
        <v>99999</v>
      </c>
      <c r="S101" t="s">
        <v>30</v>
      </c>
      <c r="U101" t="s">
        <v>38</v>
      </c>
      <c r="V101" t="s">
        <v>39</v>
      </c>
      <c r="W101" s="3">
        <v>3.5</v>
      </c>
      <c r="X101">
        <v>44</v>
      </c>
      <c r="Y101" s="4">
        <v>154</v>
      </c>
      <c r="Z101" s="3">
        <v>15.246</v>
      </c>
    </row>
    <row r="102" spans="1:26" x14ac:dyDescent="0.3">
      <c r="A102">
        <v>1110</v>
      </c>
      <c r="B102" s="2">
        <v>41770</v>
      </c>
      <c r="C102">
        <v>11</v>
      </c>
      <c r="D102" t="s">
        <v>113</v>
      </c>
      <c r="E102" t="s">
        <v>114</v>
      </c>
      <c r="F102" t="s">
        <v>115</v>
      </c>
      <c r="G102" t="s">
        <v>116</v>
      </c>
      <c r="H102">
        <v>99999</v>
      </c>
      <c r="I102" t="s">
        <v>30</v>
      </c>
      <c r="J102" t="s">
        <v>94</v>
      </c>
      <c r="K102" t="s">
        <v>95</v>
      </c>
      <c r="L102" s="2"/>
      <c r="M102" t="s">
        <v>62</v>
      </c>
      <c r="N102" t="s">
        <v>117</v>
      </c>
      <c r="O102" t="s">
        <v>114</v>
      </c>
      <c r="P102" t="s">
        <v>115</v>
      </c>
      <c r="Q102" t="s">
        <v>116</v>
      </c>
      <c r="R102">
        <v>99999</v>
      </c>
      <c r="S102" t="s">
        <v>30</v>
      </c>
      <c r="U102" t="s">
        <v>103</v>
      </c>
      <c r="V102" t="s">
        <v>37</v>
      </c>
      <c r="W102" s="3">
        <v>2.99</v>
      </c>
      <c r="X102">
        <v>77</v>
      </c>
      <c r="Y102" s="4">
        <v>230.23000000000002</v>
      </c>
      <c r="Z102" s="3">
        <v>23.023000000000003</v>
      </c>
    </row>
    <row r="103" spans="1:26" x14ac:dyDescent="0.3">
      <c r="A103">
        <v>1111</v>
      </c>
      <c r="B103" s="2">
        <v>41760</v>
      </c>
      <c r="C103">
        <v>1</v>
      </c>
      <c r="D103" t="s">
        <v>118</v>
      </c>
      <c r="E103" t="s">
        <v>119</v>
      </c>
      <c r="F103" t="s">
        <v>120</v>
      </c>
      <c r="G103" t="s">
        <v>121</v>
      </c>
      <c r="H103">
        <v>99999</v>
      </c>
      <c r="I103" t="s">
        <v>30</v>
      </c>
      <c r="J103" t="s">
        <v>60</v>
      </c>
      <c r="K103" t="s">
        <v>61</v>
      </c>
      <c r="L103" s="2"/>
      <c r="N103" t="s">
        <v>122</v>
      </c>
      <c r="O103" t="s">
        <v>119</v>
      </c>
      <c r="P103" t="s">
        <v>120</v>
      </c>
      <c r="Q103" t="s">
        <v>121</v>
      </c>
      <c r="R103">
        <v>99999</v>
      </c>
      <c r="S103" t="s">
        <v>30</v>
      </c>
      <c r="U103" t="s">
        <v>54</v>
      </c>
      <c r="V103" t="s">
        <v>37</v>
      </c>
      <c r="W103" s="3">
        <v>18</v>
      </c>
      <c r="X103">
        <v>29</v>
      </c>
      <c r="Y103" s="4">
        <v>522</v>
      </c>
      <c r="Z103" s="3">
        <v>52.722000000000001</v>
      </c>
    </row>
    <row r="104" spans="1:26" x14ac:dyDescent="0.3">
      <c r="A104">
        <v>1112</v>
      </c>
      <c r="B104" s="2">
        <v>41760</v>
      </c>
      <c r="C104">
        <v>1</v>
      </c>
      <c r="D104" t="s">
        <v>118</v>
      </c>
      <c r="E104" t="s">
        <v>119</v>
      </c>
      <c r="F104" t="s">
        <v>120</v>
      </c>
      <c r="G104" t="s">
        <v>121</v>
      </c>
      <c r="H104">
        <v>99999</v>
      </c>
      <c r="I104" t="s">
        <v>30</v>
      </c>
      <c r="J104" t="s">
        <v>60</v>
      </c>
      <c r="K104" t="s">
        <v>61</v>
      </c>
      <c r="L104" s="2"/>
      <c r="N104" t="s">
        <v>122</v>
      </c>
      <c r="O104" t="s">
        <v>119</v>
      </c>
      <c r="P104" t="s">
        <v>120</v>
      </c>
      <c r="Q104" t="s">
        <v>121</v>
      </c>
      <c r="R104">
        <v>99999</v>
      </c>
      <c r="S104" t="s">
        <v>30</v>
      </c>
      <c r="U104" t="s">
        <v>55</v>
      </c>
      <c r="V104" t="s">
        <v>37</v>
      </c>
      <c r="W104" s="3">
        <v>46</v>
      </c>
      <c r="X104">
        <v>77</v>
      </c>
      <c r="Y104" s="4">
        <v>3542</v>
      </c>
      <c r="Z104" s="3">
        <v>368.36800000000005</v>
      </c>
    </row>
    <row r="105" spans="1:26" x14ac:dyDescent="0.3">
      <c r="A105">
        <v>1113</v>
      </c>
      <c r="B105" s="2">
        <v>41760</v>
      </c>
      <c r="C105">
        <v>1</v>
      </c>
      <c r="D105" t="s">
        <v>118</v>
      </c>
      <c r="E105" t="s">
        <v>119</v>
      </c>
      <c r="F105" t="s">
        <v>120</v>
      </c>
      <c r="G105" t="s">
        <v>121</v>
      </c>
      <c r="H105">
        <v>99999</v>
      </c>
      <c r="I105" t="s">
        <v>30</v>
      </c>
      <c r="J105" t="s">
        <v>60</v>
      </c>
      <c r="K105" t="s">
        <v>61</v>
      </c>
      <c r="L105" s="2"/>
      <c r="N105" t="s">
        <v>122</v>
      </c>
      <c r="O105" t="s">
        <v>119</v>
      </c>
      <c r="P105" t="s">
        <v>120</v>
      </c>
      <c r="Q105" t="s">
        <v>121</v>
      </c>
      <c r="R105">
        <v>99999</v>
      </c>
      <c r="S105" t="s">
        <v>30</v>
      </c>
      <c r="U105" t="s">
        <v>103</v>
      </c>
      <c r="V105" t="s">
        <v>37</v>
      </c>
      <c r="W105" s="3">
        <v>2.99</v>
      </c>
      <c r="X105">
        <v>73</v>
      </c>
      <c r="Y105" s="4">
        <v>218.27</v>
      </c>
      <c r="Z105" s="3">
        <v>21.827000000000002</v>
      </c>
    </row>
    <row r="106" spans="1:26" x14ac:dyDescent="0.3">
      <c r="A106">
        <v>1114</v>
      </c>
      <c r="B106" s="2">
        <v>41787</v>
      </c>
      <c r="C106">
        <v>28</v>
      </c>
      <c r="D106" t="s">
        <v>90</v>
      </c>
      <c r="E106" t="s">
        <v>91</v>
      </c>
      <c r="F106" t="s">
        <v>92</v>
      </c>
      <c r="G106" t="s">
        <v>93</v>
      </c>
      <c r="H106">
        <v>99999</v>
      </c>
      <c r="I106" t="s">
        <v>30</v>
      </c>
      <c r="J106" t="s">
        <v>94</v>
      </c>
      <c r="K106" t="s">
        <v>95</v>
      </c>
      <c r="L106">
        <v>41789</v>
      </c>
      <c r="M106" t="s">
        <v>62</v>
      </c>
      <c r="N106" t="s">
        <v>96</v>
      </c>
      <c r="O106" t="s">
        <v>91</v>
      </c>
      <c r="P106" t="s">
        <v>92</v>
      </c>
      <c r="Q106" t="s">
        <v>93</v>
      </c>
      <c r="R106">
        <v>99999</v>
      </c>
      <c r="S106" t="s">
        <v>30</v>
      </c>
      <c r="T106" t="s">
        <v>48</v>
      </c>
      <c r="U106" t="s">
        <v>80</v>
      </c>
      <c r="V106" t="s">
        <v>81</v>
      </c>
      <c r="W106" s="3">
        <v>9.65</v>
      </c>
      <c r="X106">
        <v>74</v>
      </c>
      <c r="Y106" s="4">
        <v>714.1</v>
      </c>
      <c r="Z106" s="3">
        <v>67.839500000000001</v>
      </c>
    </row>
    <row r="107" spans="1:26" x14ac:dyDescent="0.3">
      <c r="A107">
        <v>1115</v>
      </c>
      <c r="B107" s="2">
        <v>41787</v>
      </c>
      <c r="C107">
        <v>28</v>
      </c>
      <c r="D107" t="s">
        <v>90</v>
      </c>
      <c r="E107" t="s">
        <v>91</v>
      </c>
      <c r="F107" t="s">
        <v>92</v>
      </c>
      <c r="G107" t="s">
        <v>93</v>
      </c>
      <c r="H107">
        <v>99999</v>
      </c>
      <c r="I107" t="s">
        <v>30</v>
      </c>
      <c r="J107" t="s">
        <v>94</v>
      </c>
      <c r="K107" t="s">
        <v>95</v>
      </c>
      <c r="L107" s="2">
        <v>41789</v>
      </c>
      <c r="M107" t="s">
        <v>62</v>
      </c>
      <c r="N107" t="s">
        <v>96</v>
      </c>
      <c r="O107" t="s">
        <v>91</v>
      </c>
      <c r="P107" t="s">
        <v>92</v>
      </c>
      <c r="Q107" t="s">
        <v>93</v>
      </c>
      <c r="R107">
        <v>99999</v>
      </c>
      <c r="S107" t="s">
        <v>30</v>
      </c>
      <c r="T107" t="s">
        <v>48</v>
      </c>
      <c r="U107" t="s">
        <v>123</v>
      </c>
      <c r="V107" t="s">
        <v>124</v>
      </c>
      <c r="W107" s="3">
        <v>18.399999999999999</v>
      </c>
      <c r="X107">
        <v>25</v>
      </c>
      <c r="Y107" s="4">
        <v>459.99999999999994</v>
      </c>
      <c r="Z107" s="3">
        <v>46.46</v>
      </c>
    </row>
    <row r="108" spans="1:26" x14ac:dyDescent="0.3">
      <c r="A108">
        <v>1116</v>
      </c>
      <c r="B108" s="2">
        <v>41768</v>
      </c>
      <c r="C108">
        <v>9</v>
      </c>
      <c r="D108" t="s">
        <v>125</v>
      </c>
      <c r="E108" t="s">
        <v>126</v>
      </c>
      <c r="F108" t="s">
        <v>127</v>
      </c>
      <c r="G108" t="s">
        <v>128</v>
      </c>
      <c r="H108">
        <v>99999</v>
      </c>
      <c r="I108" t="s">
        <v>30</v>
      </c>
      <c r="J108" t="s">
        <v>129</v>
      </c>
      <c r="K108" t="s">
        <v>32</v>
      </c>
      <c r="L108" s="2">
        <v>41770</v>
      </c>
      <c r="M108" t="s">
        <v>46</v>
      </c>
      <c r="N108" t="s">
        <v>130</v>
      </c>
      <c r="O108" t="s">
        <v>126</v>
      </c>
      <c r="P108" t="s">
        <v>127</v>
      </c>
      <c r="Q108" t="s">
        <v>128</v>
      </c>
      <c r="R108">
        <v>99999</v>
      </c>
      <c r="S108" t="s">
        <v>30</v>
      </c>
      <c r="T108" t="s">
        <v>35</v>
      </c>
      <c r="U108" t="s">
        <v>131</v>
      </c>
      <c r="V108" t="s">
        <v>132</v>
      </c>
      <c r="W108" s="3">
        <v>19.5</v>
      </c>
      <c r="X108">
        <v>82</v>
      </c>
      <c r="Y108" s="4">
        <v>1599</v>
      </c>
      <c r="Z108" s="3">
        <v>153.50399999999999</v>
      </c>
    </row>
    <row r="109" spans="1:26" x14ac:dyDescent="0.3">
      <c r="A109">
        <v>1117</v>
      </c>
      <c r="B109" s="2">
        <v>41768</v>
      </c>
      <c r="C109">
        <v>9</v>
      </c>
      <c r="D109" t="s">
        <v>125</v>
      </c>
      <c r="E109" t="s">
        <v>126</v>
      </c>
      <c r="F109" t="s">
        <v>127</v>
      </c>
      <c r="G109" t="s">
        <v>128</v>
      </c>
      <c r="H109">
        <v>99999</v>
      </c>
      <c r="I109" t="s">
        <v>30</v>
      </c>
      <c r="J109" t="s">
        <v>129</v>
      </c>
      <c r="K109" t="s">
        <v>32</v>
      </c>
      <c r="L109" s="2">
        <v>41770</v>
      </c>
      <c r="M109" t="s">
        <v>46</v>
      </c>
      <c r="N109" t="s">
        <v>130</v>
      </c>
      <c r="O109" t="s">
        <v>126</v>
      </c>
      <c r="P109" t="s">
        <v>127</v>
      </c>
      <c r="Q109" t="s">
        <v>128</v>
      </c>
      <c r="R109">
        <v>99999</v>
      </c>
      <c r="S109" t="s">
        <v>30</v>
      </c>
      <c r="T109" t="s">
        <v>35</v>
      </c>
      <c r="U109" t="s">
        <v>133</v>
      </c>
      <c r="V109" t="s">
        <v>134</v>
      </c>
      <c r="W109" s="3">
        <v>34.799999999999997</v>
      </c>
      <c r="X109">
        <v>37</v>
      </c>
      <c r="Y109" s="4">
        <v>1287.5999999999999</v>
      </c>
      <c r="Z109" s="3">
        <v>132.62279999999998</v>
      </c>
    </row>
    <row r="110" spans="1:26" x14ac:dyDescent="0.3">
      <c r="A110">
        <v>1118</v>
      </c>
      <c r="B110" s="2">
        <v>41765</v>
      </c>
      <c r="C110">
        <v>6</v>
      </c>
      <c r="D110" t="s">
        <v>82</v>
      </c>
      <c r="E110" t="s">
        <v>83</v>
      </c>
      <c r="F110" t="s">
        <v>84</v>
      </c>
      <c r="G110" t="s">
        <v>85</v>
      </c>
      <c r="H110">
        <v>99999</v>
      </c>
      <c r="I110" t="s">
        <v>30</v>
      </c>
      <c r="J110" t="s">
        <v>86</v>
      </c>
      <c r="K110" t="s">
        <v>61</v>
      </c>
      <c r="L110">
        <v>41767</v>
      </c>
      <c r="M110" t="s">
        <v>33</v>
      </c>
      <c r="N110" t="s">
        <v>87</v>
      </c>
      <c r="O110" t="s">
        <v>83</v>
      </c>
      <c r="P110" t="s">
        <v>84</v>
      </c>
      <c r="Q110" t="s">
        <v>85</v>
      </c>
      <c r="R110">
        <v>99999</v>
      </c>
      <c r="S110" t="s">
        <v>30</v>
      </c>
      <c r="T110" t="s">
        <v>48</v>
      </c>
      <c r="U110" t="s">
        <v>36</v>
      </c>
      <c r="V110" t="s">
        <v>37</v>
      </c>
      <c r="W110" s="3">
        <v>14</v>
      </c>
      <c r="X110">
        <v>84</v>
      </c>
      <c r="Y110" s="4">
        <v>1176</v>
      </c>
      <c r="Z110" s="3">
        <v>112.896</v>
      </c>
    </row>
    <row r="111" spans="1:26" x14ac:dyDescent="0.3">
      <c r="A111">
        <v>1119</v>
      </c>
      <c r="B111" s="2">
        <v>41767</v>
      </c>
      <c r="C111">
        <v>8</v>
      </c>
      <c r="D111" t="s">
        <v>56</v>
      </c>
      <c r="E111" t="s">
        <v>57</v>
      </c>
      <c r="F111" t="s">
        <v>58</v>
      </c>
      <c r="G111" t="s">
        <v>59</v>
      </c>
      <c r="H111">
        <v>99999</v>
      </c>
      <c r="I111" t="s">
        <v>30</v>
      </c>
      <c r="J111" t="s">
        <v>60</v>
      </c>
      <c r="K111" t="s">
        <v>61</v>
      </c>
      <c r="L111">
        <v>41769</v>
      </c>
      <c r="M111" t="s">
        <v>33</v>
      </c>
      <c r="N111" t="s">
        <v>63</v>
      </c>
      <c r="O111" t="s">
        <v>57</v>
      </c>
      <c r="P111" t="s">
        <v>58</v>
      </c>
      <c r="Q111" t="s">
        <v>59</v>
      </c>
      <c r="R111">
        <v>99999</v>
      </c>
      <c r="S111" t="s">
        <v>30</v>
      </c>
      <c r="T111" t="s">
        <v>35</v>
      </c>
      <c r="U111" t="s">
        <v>88</v>
      </c>
      <c r="V111" t="s">
        <v>89</v>
      </c>
      <c r="W111" s="3">
        <v>40</v>
      </c>
      <c r="X111">
        <v>73</v>
      </c>
      <c r="Y111" s="4">
        <v>2920</v>
      </c>
      <c r="Z111" s="3">
        <v>283.24</v>
      </c>
    </row>
    <row r="112" spans="1:26" x14ac:dyDescent="0.3">
      <c r="A112">
        <v>1120</v>
      </c>
      <c r="B112" s="2">
        <v>41767</v>
      </c>
      <c r="C112">
        <v>8</v>
      </c>
      <c r="D112" t="s">
        <v>56</v>
      </c>
      <c r="E112" t="s">
        <v>57</v>
      </c>
      <c r="F112" t="s">
        <v>58</v>
      </c>
      <c r="G112" t="s">
        <v>59</v>
      </c>
      <c r="H112">
        <v>99999</v>
      </c>
      <c r="I112" t="s">
        <v>30</v>
      </c>
      <c r="J112" t="s">
        <v>60</v>
      </c>
      <c r="K112" t="s">
        <v>61</v>
      </c>
      <c r="L112">
        <v>41769</v>
      </c>
      <c r="M112" t="s">
        <v>33</v>
      </c>
      <c r="N112" t="s">
        <v>63</v>
      </c>
      <c r="O112" t="s">
        <v>57</v>
      </c>
      <c r="P112" t="s">
        <v>58</v>
      </c>
      <c r="Q112" t="s">
        <v>59</v>
      </c>
      <c r="R112">
        <v>99999</v>
      </c>
      <c r="S112" t="s">
        <v>30</v>
      </c>
      <c r="T112" t="s">
        <v>35</v>
      </c>
      <c r="U112" t="s">
        <v>64</v>
      </c>
      <c r="V112" t="s">
        <v>65</v>
      </c>
      <c r="W112" s="3">
        <v>9.1999999999999993</v>
      </c>
      <c r="X112">
        <v>51</v>
      </c>
      <c r="Y112" s="4">
        <v>469.2</v>
      </c>
      <c r="Z112" s="3">
        <v>44.573999999999998</v>
      </c>
    </row>
    <row r="113" spans="1:26" x14ac:dyDescent="0.3">
      <c r="A113">
        <v>1121</v>
      </c>
      <c r="B113" s="2">
        <v>41784</v>
      </c>
      <c r="C113">
        <v>25</v>
      </c>
      <c r="D113" t="s">
        <v>137</v>
      </c>
      <c r="E113" t="s">
        <v>138</v>
      </c>
      <c r="F113" t="s">
        <v>99</v>
      </c>
      <c r="G113" t="s">
        <v>100</v>
      </c>
      <c r="H113">
        <v>99999</v>
      </c>
      <c r="I113" t="s">
        <v>30</v>
      </c>
      <c r="J113" t="s">
        <v>101</v>
      </c>
      <c r="K113" t="s">
        <v>45</v>
      </c>
      <c r="L113">
        <v>41786</v>
      </c>
      <c r="M113" t="s">
        <v>46</v>
      </c>
      <c r="N113" t="s">
        <v>139</v>
      </c>
      <c r="O113" t="s">
        <v>138</v>
      </c>
      <c r="P113" t="s">
        <v>99</v>
      </c>
      <c r="Q113" t="s">
        <v>100</v>
      </c>
      <c r="R113">
        <v>99999</v>
      </c>
      <c r="S113" t="s">
        <v>30</v>
      </c>
      <c r="T113" t="s">
        <v>79</v>
      </c>
      <c r="U113" t="s">
        <v>146</v>
      </c>
      <c r="V113" t="s">
        <v>65</v>
      </c>
      <c r="W113" s="3">
        <v>10</v>
      </c>
      <c r="X113">
        <v>66</v>
      </c>
      <c r="Y113" s="4">
        <v>660</v>
      </c>
      <c r="Z113" s="3">
        <v>68.64</v>
      </c>
    </row>
    <row r="114" spans="1:26" x14ac:dyDescent="0.3">
      <c r="A114">
        <v>1122</v>
      </c>
      <c r="B114" s="2">
        <v>41785</v>
      </c>
      <c r="C114">
        <v>26</v>
      </c>
      <c r="D114" t="s">
        <v>140</v>
      </c>
      <c r="E114" t="s">
        <v>141</v>
      </c>
      <c r="F114" t="s">
        <v>115</v>
      </c>
      <c r="G114" t="s">
        <v>116</v>
      </c>
      <c r="H114">
        <v>99999</v>
      </c>
      <c r="I114" t="s">
        <v>30</v>
      </c>
      <c r="J114" t="s">
        <v>94</v>
      </c>
      <c r="K114" t="s">
        <v>95</v>
      </c>
      <c r="L114">
        <v>41787</v>
      </c>
      <c r="M114" t="s">
        <v>62</v>
      </c>
      <c r="N114" t="s">
        <v>142</v>
      </c>
      <c r="O114" t="s">
        <v>141</v>
      </c>
      <c r="P114" t="s">
        <v>115</v>
      </c>
      <c r="Q114" t="s">
        <v>116</v>
      </c>
      <c r="R114">
        <v>99999</v>
      </c>
      <c r="S114" t="s">
        <v>30</v>
      </c>
      <c r="T114" t="s">
        <v>48</v>
      </c>
      <c r="U114" t="s">
        <v>147</v>
      </c>
      <c r="V114" t="s">
        <v>148</v>
      </c>
      <c r="W114" s="3">
        <v>21.35</v>
      </c>
      <c r="X114">
        <v>36</v>
      </c>
      <c r="Y114" s="4">
        <v>768.6</v>
      </c>
      <c r="Z114" s="3">
        <v>74.554200000000009</v>
      </c>
    </row>
    <row r="115" spans="1:26" x14ac:dyDescent="0.3">
      <c r="A115">
        <v>1123</v>
      </c>
      <c r="B115" s="2">
        <v>41785</v>
      </c>
      <c r="C115">
        <v>26</v>
      </c>
      <c r="D115" t="s">
        <v>140</v>
      </c>
      <c r="E115" t="s">
        <v>141</v>
      </c>
      <c r="F115" t="s">
        <v>115</v>
      </c>
      <c r="G115" t="s">
        <v>116</v>
      </c>
      <c r="H115">
        <v>99999</v>
      </c>
      <c r="I115" t="s">
        <v>30</v>
      </c>
      <c r="J115" t="s">
        <v>94</v>
      </c>
      <c r="K115" t="s">
        <v>95</v>
      </c>
      <c r="L115" s="2">
        <v>41787</v>
      </c>
      <c r="M115" t="s">
        <v>62</v>
      </c>
      <c r="N115" t="s">
        <v>142</v>
      </c>
      <c r="O115" t="s">
        <v>141</v>
      </c>
      <c r="P115" t="s">
        <v>115</v>
      </c>
      <c r="Q115" t="s">
        <v>116</v>
      </c>
      <c r="R115">
        <v>99999</v>
      </c>
      <c r="S115" t="s">
        <v>30</v>
      </c>
      <c r="T115" t="s">
        <v>48</v>
      </c>
      <c r="U115" t="s">
        <v>80</v>
      </c>
      <c r="V115" t="s">
        <v>81</v>
      </c>
      <c r="W115" s="3">
        <v>9.65</v>
      </c>
      <c r="X115">
        <v>87</v>
      </c>
      <c r="Y115" s="4">
        <v>839.55000000000007</v>
      </c>
      <c r="Z115" s="3">
        <v>87.313200000000009</v>
      </c>
    </row>
    <row r="116" spans="1:26" x14ac:dyDescent="0.3">
      <c r="A116">
        <v>1124</v>
      </c>
      <c r="B116" s="2">
        <v>41785</v>
      </c>
      <c r="C116">
        <v>26</v>
      </c>
      <c r="D116" t="s">
        <v>140</v>
      </c>
      <c r="E116" t="s">
        <v>141</v>
      </c>
      <c r="F116" t="s">
        <v>115</v>
      </c>
      <c r="G116" t="s">
        <v>116</v>
      </c>
      <c r="H116">
        <v>99999</v>
      </c>
      <c r="I116" t="s">
        <v>30</v>
      </c>
      <c r="J116" t="s">
        <v>94</v>
      </c>
      <c r="K116" t="s">
        <v>95</v>
      </c>
      <c r="L116" s="2">
        <v>41787</v>
      </c>
      <c r="M116" t="s">
        <v>62</v>
      </c>
      <c r="N116" t="s">
        <v>142</v>
      </c>
      <c r="O116" t="s">
        <v>141</v>
      </c>
      <c r="P116" t="s">
        <v>115</v>
      </c>
      <c r="Q116" t="s">
        <v>116</v>
      </c>
      <c r="R116">
        <v>99999</v>
      </c>
      <c r="S116" t="s">
        <v>30</v>
      </c>
      <c r="T116" t="s">
        <v>48</v>
      </c>
      <c r="U116" t="s">
        <v>123</v>
      </c>
      <c r="V116" t="s">
        <v>124</v>
      </c>
      <c r="W116" s="3">
        <v>18.399999999999999</v>
      </c>
      <c r="X116">
        <v>64</v>
      </c>
      <c r="Y116" s="4">
        <v>1177.5999999999999</v>
      </c>
      <c r="Z116" s="3">
        <v>115.40479999999999</v>
      </c>
    </row>
    <row r="117" spans="1:26" x14ac:dyDescent="0.3">
      <c r="A117">
        <v>1125</v>
      </c>
      <c r="B117" s="2">
        <v>41788</v>
      </c>
      <c r="C117">
        <v>29</v>
      </c>
      <c r="D117" t="s">
        <v>66</v>
      </c>
      <c r="E117" t="s">
        <v>67</v>
      </c>
      <c r="F117" t="s">
        <v>68</v>
      </c>
      <c r="G117" t="s">
        <v>69</v>
      </c>
      <c r="H117">
        <v>99999</v>
      </c>
      <c r="I117" t="s">
        <v>30</v>
      </c>
      <c r="J117" t="s">
        <v>70</v>
      </c>
      <c r="K117" t="s">
        <v>32</v>
      </c>
      <c r="L117" s="2">
        <v>41790</v>
      </c>
      <c r="M117" t="s">
        <v>33</v>
      </c>
      <c r="N117" t="s">
        <v>71</v>
      </c>
      <c r="O117" t="s">
        <v>67</v>
      </c>
      <c r="P117" t="s">
        <v>68</v>
      </c>
      <c r="Q117" t="s">
        <v>69</v>
      </c>
      <c r="R117">
        <v>99999</v>
      </c>
      <c r="S117" t="s">
        <v>30</v>
      </c>
      <c r="T117" t="s">
        <v>35</v>
      </c>
      <c r="U117" t="s">
        <v>36</v>
      </c>
      <c r="V117" t="s">
        <v>37</v>
      </c>
      <c r="W117" s="3">
        <v>14</v>
      </c>
      <c r="X117">
        <v>21</v>
      </c>
      <c r="Y117" s="4">
        <v>294</v>
      </c>
      <c r="Z117" s="3">
        <v>30.870000000000005</v>
      </c>
    </row>
    <row r="118" spans="1:26" x14ac:dyDescent="0.3">
      <c r="A118">
        <v>1126</v>
      </c>
      <c r="B118" s="2">
        <v>41765</v>
      </c>
      <c r="C118">
        <v>6</v>
      </c>
      <c r="D118" t="s">
        <v>82</v>
      </c>
      <c r="E118" t="s">
        <v>83</v>
      </c>
      <c r="F118" t="s">
        <v>84</v>
      </c>
      <c r="G118" t="s">
        <v>85</v>
      </c>
      <c r="H118">
        <v>99999</v>
      </c>
      <c r="I118" t="s">
        <v>30</v>
      </c>
      <c r="J118" t="s">
        <v>86</v>
      </c>
      <c r="K118" t="s">
        <v>61</v>
      </c>
      <c r="L118" s="2">
        <v>41767</v>
      </c>
      <c r="M118" t="s">
        <v>62</v>
      </c>
      <c r="N118" t="s">
        <v>87</v>
      </c>
      <c r="O118" t="s">
        <v>83</v>
      </c>
      <c r="P118" t="s">
        <v>84</v>
      </c>
      <c r="Q118" t="s">
        <v>85</v>
      </c>
      <c r="R118">
        <v>99999</v>
      </c>
      <c r="S118" t="s">
        <v>30</v>
      </c>
      <c r="T118" t="s">
        <v>35</v>
      </c>
      <c r="U118" t="s">
        <v>72</v>
      </c>
      <c r="V118" t="s">
        <v>73</v>
      </c>
      <c r="W118" s="3">
        <v>12.75</v>
      </c>
      <c r="X118">
        <v>19</v>
      </c>
      <c r="Y118" s="4">
        <v>242.25</v>
      </c>
      <c r="Z118" s="3">
        <v>24.46725</v>
      </c>
    </row>
    <row r="119" spans="1:26" x14ac:dyDescent="0.3">
      <c r="A119">
        <v>1128</v>
      </c>
      <c r="B119" s="2">
        <v>41763</v>
      </c>
      <c r="C119">
        <v>4</v>
      </c>
      <c r="D119" t="s">
        <v>40</v>
      </c>
      <c r="E119" t="s">
        <v>41</v>
      </c>
      <c r="F119" t="s">
        <v>42</v>
      </c>
      <c r="G119" t="s">
        <v>43</v>
      </c>
      <c r="H119">
        <v>99999</v>
      </c>
      <c r="I119" t="s">
        <v>30</v>
      </c>
      <c r="J119" t="s">
        <v>44</v>
      </c>
      <c r="K119" t="s">
        <v>45</v>
      </c>
      <c r="L119" s="2">
        <v>41765</v>
      </c>
      <c r="M119" t="s">
        <v>46</v>
      </c>
      <c r="N119" t="s">
        <v>47</v>
      </c>
      <c r="O119" t="s">
        <v>41</v>
      </c>
      <c r="P119" t="s">
        <v>42</v>
      </c>
      <c r="Q119" t="s">
        <v>43</v>
      </c>
      <c r="R119">
        <v>99999</v>
      </c>
      <c r="S119" t="s">
        <v>30</v>
      </c>
      <c r="T119" t="s">
        <v>48</v>
      </c>
      <c r="U119" t="s">
        <v>149</v>
      </c>
      <c r="V119" t="s">
        <v>110</v>
      </c>
      <c r="W119" s="3">
        <v>81</v>
      </c>
      <c r="X119">
        <v>23</v>
      </c>
      <c r="Y119" s="4">
        <v>1863</v>
      </c>
      <c r="Z119" s="3">
        <v>195.61500000000001</v>
      </c>
    </row>
    <row r="120" spans="1:26" x14ac:dyDescent="0.3">
      <c r="A120">
        <v>1129</v>
      </c>
      <c r="B120" s="2">
        <v>41763</v>
      </c>
      <c r="C120">
        <v>4</v>
      </c>
      <c r="D120" t="s">
        <v>40</v>
      </c>
      <c r="E120" t="s">
        <v>41</v>
      </c>
      <c r="F120" t="s">
        <v>42</v>
      </c>
      <c r="G120" t="s">
        <v>43</v>
      </c>
      <c r="H120">
        <v>99999</v>
      </c>
      <c r="I120" t="s">
        <v>30</v>
      </c>
      <c r="J120" t="s">
        <v>44</v>
      </c>
      <c r="K120" t="s">
        <v>45</v>
      </c>
      <c r="L120" s="2">
        <v>41765</v>
      </c>
      <c r="M120" t="s">
        <v>46</v>
      </c>
      <c r="N120" t="s">
        <v>47</v>
      </c>
      <c r="O120" t="s">
        <v>41</v>
      </c>
      <c r="P120" t="s">
        <v>42</v>
      </c>
      <c r="Q120" t="s">
        <v>43</v>
      </c>
      <c r="R120">
        <v>99999</v>
      </c>
      <c r="S120" t="s">
        <v>30</v>
      </c>
      <c r="T120" t="s">
        <v>48</v>
      </c>
      <c r="U120" t="s">
        <v>150</v>
      </c>
      <c r="V120" t="s">
        <v>151</v>
      </c>
      <c r="W120" s="3">
        <v>7</v>
      </c>
      <c r="X120">
        <v>72</v>
      </c>
      <c r="Y120" s="4">
        <v>504</v>
      </c>
      <c r="Z120" s="3">
        <v>51.912000000000006</v>
      </c>
    </row>
    <row r="121" spans="1:26" x14ac:dyDescent="0.3">
      <c r="A121">
        <v>1131</v>
      </c>
      <c r="B121" s="2">
        <v>41767</v>
      </c>
      <c r="C121">
        <v>8</v>
      </c>
      <c r="D121" t="s">
        <v>56</v>
      </c>
      <c r="E121" t="s">
        <v>57</v>
      </c>
      <c r="F121" t="s">
        <v>58</v>
      </c>
      <c r="G121" t="s">
        <v>59</v>
      </c>
      <c r="H121">
        <v>99999</v>
      </c>
      <c r="I121" t="s">
        <v>30</v>
      </c>
      <c r="J121" t="s">
        <v>60</v>
      </c>
      <c r="K121" t="s">
        <v>61</v>
      </c>
      <c r="L121" s="2">
        <v>41769</v>
      </c>
      <c r="M121" t="s">
        <v>62</v>
      </c>
      <c r="N121" t="s">
        <v>63</v>
      </c>
      <c r="O121" t="s">
        <v>57</v>
      </c>
      <c r="P121" t="s">
        <v>58</v>
      </c>
      <c r="Q121" t="s">
        <v>59</v>
      </c>
      <c r="R121">
        <v>99999</v>
      </c>
      <c r="S121" t="s">
        <v>30</v>
      </c>
      <c r="T121" t="s">
        <v>48</v>
      </c>
      <c r="U121" t="s">
        <v>133</v>
      </c>
      <c r="V121" t="s">
        <v>134</v>
      </c>
      <c r="W121" s="3">
        <v>34.799999999999997</v>
      </c>
      <c r="X121">
        <v>22</v>
      </c>
      <c r="Y121" s="4">
        <v>765.59999999999991</v>
      </c>
      <c r="Z121" s="3">
        <v>75.02879999999999</v>
      </c>
    </row>
    <row r="122" spans="1:26" x14ac:dyDescent="0.3">
      <c r="A122">
        <v>1134</v>
      </c>
      <c r="B122" s="2">
        <v>41762</v>
      </c>
      <c r="C122">
        <v>3</v>
      </c>
      <c r="D122" t="s">
        <v>74</v>
      </c>
      <c r="E122" t="s">
        <v>75</v>
      </c>
      <c r="F122" t="s">
        <v>76</v>
      </c>
      <c r="G122" t="s">
        <v>77</v>
      </c>
      <c r="H122">
        <v>99999</v>
      </c>
      <c r="I122" t="s">
        <v>30</v>
      </c>
      <c r="J122" t="s">
        <v>31</v>
      </c>
      <c r="K122" t="s">
        <v>32</v>
      </c>
      <c r="L122" s="2">
        <v>41764</v>
      </c>
      <c r="M122" t="s">
        <v>33</v>
      </c>
      <c r="N122" t="s">
        <v>78</v>
      </c>
      <c r="O122" t="s">
        <v>75</v>
      </c>
      <c r="P122" t="s">
        <v>76</v>
      </c>
      <c r="Q122" t="s">
        <v>77</v>
      </c>
      <c r="R122">
        <v>99999</v>
      </c>
      <c r="S122" t="s">
        <v>30</v>
      </c>
      <c r="T122" t="s">
        <v>79</v>
      </c>
      <c r="U122" t="s">
        <v>135</v>
      </c>
      <c r="V122" t="s">
        <v>112</v>
      </c>
      <c r="W122" s="3">
        <v>10</v>
      </c>
      <c r="X122">
        <v>82</v>
      </c>
      <c r="Y122" s="4">
        <v>820</v>
      </c>
      <c r="Z122" s="3">
        <v>85.28</v>
      </c>
    </row>
    <row r="123" spans="1:26" x14ac:dyDescent="0.3">
      <c r="A123">
        <v>1135</v>
      </c>
      <c r="B123" s="2">
        <v>41762</v>
      </c>
      <c r="C123">
        <v>3</v>
      </c>
      <c r="D123" t="s">
        <v>74</v>
      </c>
      <c r="E123" t="s">
        <v>75</v>
      </c>
      <c r="F123" t="s">
        <v>76</v>
      </c>
      <c r="G123" t="s">
        <v>77</v>
      </c>
      <c r="H123">
        <v>99999</v>
      </c>
      <c r="I123" t="s">
        <v>30</v>
      </c>
      <c r="J123" t="s">
        <v>31</v>
      </c>
      <c r="K123" t="s">
        <v>32</v>
      </c>
      <c r="L123" s="2">
        <v>41764</v>
      </c>
      <c r="M123" t="s">
        <v>33</v>
      </c>
      <c r="N123" t="s">
        <v>78</v>
      </c>
      <c r="O123" t="s">
        <v>75</v>
      </c>
      <c r="P123" t="s">
        <v>76</v>
      </c>
      <c r="Q123" t="s">
        <v>77</v>
      </c>
      <c r="R123">
        <v>99999</v>
      </c>
      <c r="S123" t="s">
        <v>30</v>
      </c>
      <c r="T123" t="s">
        <v>79</v>
      </c>
      <c r="U123" t="s">
        <v>88</v>
      </c>
      <c r="V123" t="s">
        <v>89</v>
      </c>
      <c r="W123" s="3">
        <v>40</v>
      </c>
      <c r="X123">
        <v>98</v>
      </c>
      <c r="Y123" s="4">
        <v>3920</v>
      </c>
      <c r="Z123" s="3">
        <v>411.6</v>
      </c>
    </row>
    <row r="124" spans="1:26" x14ac:dyDescent="0.3">
      <c r="A124">
        <v>1138</v>
      </c>
      <c r="B124" s="2">
        <v>41797</v>
      </c>
      <c r="C124">
        <v>7</v>
      </c>
      <c r="D124" t="s">
        <v>104</v>
      </c>
      <c r="E124" t="s">
        <v>105</v>
      </c>
      <c r="F124" t="s">
        <v>106</v>
      </c>
      <c r="G124" t="s">
        <v>107</v>
      </c>
      <c r="H124">
        <v>99999</v>
      </c>
      <c r="I124" t="s">
        <v>30</v>
      </c>
      <c r="J124" t="s">
        <v>60</v>
      </c>
      <c r="K124" t="s">
        <v>61</v>
      </c>
      <c r="L124" s="2"/>
      <c r="N124" t="s">
        <v>108</v>
      </c>
      <c r="O124" t="s">
        <v>105</v>
      </c>
      <c r="P124" t="s">
        <v>106</v>
      </c>
      <c r="Q124" t="s">
        <v>107</v>
      </c>
      <c r="R124">
        <v>99999</v>
      </c>
      <c r="S124" t="s">
        <v>30</v>
      </c>
      <c r="U124" t="s">
        <v>55</v>
      </c>
      <c r="V124" t="s">
        <v>37</v>
      </c>
      <c r="W124" s="3">
        <v>46</v>
      </c>
      <c r="X124">
        <v>71</v>
      </c>
      <c r="Y124" s="4">
        <v>3266</v>
      </c>
      <c r="Z124" s="3">
        <v>310.27</v>
      </c>
    </row>
    <row r="125" spans="1:26" x14ac:dyDescent="0.3">
      <c r="A125">
        <v>1139</v>
      </c>
      <c r="B125" s="2">
        <v>41800</v>
      </c>
      <c r="C125">
        <v>10</v>
      </c>
      <c r="D125" t="s">
        <v>97</v>
      </c>
      <c r="E125" t="s">
        <v>98</v>
      </c>
      <c r="F125" t="s">
        <v>99</v>
      </c>
      <c r="G125" t="s">
        <v>100</v>
      </c>
      <c r="H125">
        <v>99999</v>
      </c>
      <c r="I125" t="s">
        <v>30</v>
      </c>
      <c r="J125" t="s">
        <v>101</v>
      </c>
      <c r="K125" t="s">
        <v>45</v>
      </c>
      <c r="L125" s="2">
        <v>41802</v>
      </c>
      <c r="M125" t="s">
        <v>46</v>
      </c>
      <c r="N125" t="s">
        <v>102</v>
      </c>
      <c r="O125" t="s">
        <v>98</v>
      </c>
      <c r="P125" t="s">
        <v>99</v>
      </c>
      <c r="Q125" t="s">
        <v>100</v>
      </c>
      <c r="R125">
        <v>99999</v>
      </c>
      <c r="S125" t="s">
        <v>30</v>
      </c>
      <c r="U125" t="s">
        <v>109</v>
      </c>
      <c r="V125" t="s">
        <v>110</v>
      </c>
      <c r="W125" s="3">
        <v>25</v>
      </c>
      <c r="X125">
        <v>40</v>
      </c>
      <c r="Y125" s="4">
        <v>1000</v>
      </c>
      <c r="Z125" s="3">
        <v>105</v>
      </c>
    </row>
    <row r="126" spans="1:26" x14ac:dyDescent="0.3">
      <c r="A126">
        <v>1140</v>
      </c>
      <c r="B126" s="2">
        <v>41800</v>
      </c>
      <c r="C126">
        <v>10</v>
      </c>
      <c r="D126" t="s">
        <v>97</v>
      </c>
      <c r="E126" t="s">
        <v>98</v>
      </c>
      <c r="F126" t="s">
        <v>99</v>
      </c>
      <c r="G126" t="s">
        <v>100</v>
      </c>
      <c r="H126">
        <v>99999</v>
      </c>
      <c r="I126" t="s">
        <v>30</v>
      </c>
      <c r="J126" t="s">
        <v>101</v>
      </c>
      <c r="K126" t="s">
        <v>45</v>
      </c>
      <c r="L126" s="2">
        <v>41802</v>
      </c>
      <c r="M126" t="s">
        <v>46</v>
      </c>
      <c r="N126" t="s">
        <v>102</v>
      </c>
      <c r="O126" t="s">
        <v>98</v>
      </c>
      <c r="P126" t="s">
        <v>99</v>
      </c>
      <c r="Q126" t="s">
        <v>100</v>
      </c>
      <c r="R126">
        <v>99999</v>
      </c>
      <c r="S126" t="s">
        <v>30</v>
      </c>
      <c r="U126" t="s">
        <v>111</v>
      </c>
      <c r="V126" t="s">
        <v>112</v>
      </c>
      <c r="W126" s="3">
        <v>22</v>
      </c>
      <c r="X126">
        <v>80</v>
      </c>
      <c r="Y126" s="4">
        <v>1760</v>
      </c>
      <c r="Z126" s="3">
        <v>172.48</v>
      </c>
    </row>
    <row r="127" spans="1:26" x14ac:dyDescent="0.3">
      <c r="A127">
        <v>1141</v>
      </c>
      <c r="B127" s="2">
        <v>41800</v>
      </c>
      <c r="C127">
        <v>10</v>
      </c>
      <c r="D127" t="s">
        <v>97</v>
      </c>
      <c r="E127" t="s">
        <v>98</v>
      </c>
      <c r="F127" t="s">
        <v>99</v>
      </c>
      <c r="G127" t="s">
        <v>100</v>
      </c>
      <c r="H127">
        <v>99999</v>
      </c>
      <c r="I127" t="s">
        <v>30</v>
      </c>
      <c r="J127" t="s">
        <v>101</v>
      </c>
      <c r="K127" t="s">
        <v>45</v>
      </c>
      <c r="L127" s="2">
        <v>41802</v>
      </c>
      <c r="M127" t="s">
        <v>46</v>
      </c>
      <c r="N127" t="s">
        <v>102</v>
      </c>
      <c r="O127" t="s">
        <v>98</v>
      </c>
      <c r="P127" t="s">
        <v>99</v>
      </c>
      <c r="Q127" t="s">
        <v>100</v>
      </c>
      <c r="R127">
        <v>99999</v>
      </c>
      <c r="S127" t="s">
        <v>30</v>
      </c>
      <c r="U127" t="s">
        <v>64</v>
      </c>
      <c r="V127" t="s">
        <v>65</v>
      </c>
      <c r="W127" s="3">
        <v>9.1999999999999993</v>
      </c>
      <c r="X127">
        <v>38</v>
      </c>
      <c r="Y127" s="4">
        <v>349.59999999999997</v>
      </c>
      <c r="Z127" s="3">
        <v>33.211999999999996</v>
      </c>
    </row>
    <row r="128" spans="1:26" x14ac:dyDescent="0.3">
      <c r="A128">
        <v>1142</v>
      </c>
      <c r="B128" s="2">
        <v>41801</v>
      </c>
      <c r="C128">
        <v>11</v>
      </c>
      <c r="D128" t="s">
        <v>113</v>
      </c>
      <c r="E128" t="s">
        <v>114</v>
      </c>
      <c r="F128" t="s">
        <v>115</v>
      </c>
      <c r="G128" t="s">
        <v>116</v>
      </c>
      <c r="H128">
        <v>99999</v>
      </c>
      <c r="I128" t="s">
        <v>30</v>
      </c>
      <c r="J128" t="s">
        <v>94</v>
      </c>
      <c r="K128" t="s">
        <v>95</v>
      </c>
      <c r="L128" s="2"/>
      <c r="M128" t="s">
        <v>62</v>
      </c>
      <c r="N128" t="s">
        <v>117</v>
      </c>
      <c r="O128" t="s">
        <v>114</v>
      </c>
      <c r="P128" t="s">
        <v>115</v>
      </c>
      <c r="Q128" t="s">
        <v>116</v>
      </c>
      <c r="R128">
        <v>99999</v>
      </c>
      <c r="S128" t="s">
        <v>30</v>
      </c>
      <c r="U128" t="s">
        <v>38</v>
      </c>
      <c r="V128" t="s">
        <v>39</v>
      </c>
      <c r="W128">
        <v>3.5</v>
      </c>
      <c r="X128">
        <v>28</v>
      </c>
      <c r="Y128" s="4">
        <v>98</v>
      </c>
      <c r="Z128" s="3">
        <v>10.290000000000001</v>
      </c>
    </row>
    <row r="129" spans="1:26" x14ac:dyDescent="0.3">
      <c r="A129">
        <v>1143</v>
      </c>
      <c r="B129" s="2">
        <v>41801</v>
      </c>
      <c r="C129">
        <v>11</v>
      </c>
      <c r="D129" t="s">
        <v>113</v>
      </c>
      <c r="E129" t="s">
        <v>114</v>
      </c>
      <c r="F129" t="s">
        <v>115</v>
      </c>
      <c r="G129" t="s">
        <v>116</v>
      </c>
      <c r="H129">
        <v>99999</v>
      </c>
      <c r="I129" t="s">
        <v>30</v>
      </c>
      <c r="J129" t="s">
        <v>94</v>
      </c>
      <c r="K129" t="s">
        <v>95</v>
      </c>
      <c r="L129" s="2"/>
      <c r="M129" t="s">
        <v>62</v>
      </c>
      <c r="N129" t="s">
        <v>117</v>
      </c>
      <c r="O129" t="s">
        <v>114</v>
      </c>
      <c r="P129" t="s">
        <v>115</v>
      </c>
      <c r="Q129" t="s">
        <v>116</v>
      </c>
      <c r="R129">
        <v>99999</v>
      </c>
      <c r="S129" t="s">
        <v>30</v>
      </c>
      <c r="U129" t="s">
        <v>103</v>
      </c>
      <c r="V129" t="s">
        <v>37</v>
      </c>
      <c r="W129">
        <v>2.99</v>
      </c>
      <c r="X129">
        <v>60</v>
      </c>
      <c r="Y129" s="4">
        <v>179.4</v>
      </c>
      <c r="Z129" s="3">
        <v>17.581200000000003</v>
      </c>
    </row>
    <row r="130" spans="1:26" x14ac:dyDescent="0.3">
      <c r="A130">
        <v>1144</v>
      </c>
      <c r="B130" s="2">
        <v>41791</v>
      </c>
      <c r="C130">
        <v>1</v>
      </c>
      <c r="D130" t="s">
        <v>118</v>
      </c>
      <c r="E130" t="s">
        <v>119</v>
      </c>
      <c r="F130" t="s">
        <v>120</v>
      </c>
      <c r="G130" t="s">
        <v>121</v>
      </c>
      <c r="H130">
        <v>99999</v>
      </c>
      <c r="I130" t="s">
        <v>30</v>
      </c>
      <c r="J130" t="s">
        <v>60</v>
      </c>
      <c r="K130" t="s">
        <v>61</v>
      </c>
      <c r="L130" s="2"/>
      <c r="N130" t="s">
        <v>122</v>
      </c>
      <c r="O130" t="s">
        <v>119</v>
      </c>
      <c r="P130" t="s">
        <v>120</v>
      </c>
      <c r="Q130" t="s">
        <v>121</v>
      </c>
      <c r="R130">
        <v>99999</v>
      </c>
      <c r="S130" t="s">
        <v>30</v>
      </c>
      <c r="U130" t="s">
        <v>54</v>
      </c>
      <c r="V130" t="s">
        <v>37</v>
      </c>
      <c r="W130">
        <v>18</v>
      </c>
      <c r="X130">
        <v>33</v>
      </c>
      <c r="Y130" s="4">
        <v>594</v>
      </c>
      <c r="Z130" s="3">
        <v>58.212000000000003</v>
      </c>
    </row>
    <row r="131" spans="1:26" x14ac:dyDescent="0.3">
      <c r="A131">
        <v>1145</v>
      </c>
      <c r="B131" s="2">
        <v>41791</v>
      </c>
      <c r="C131">
        <v>1</v>
      </c>
      <c r="D131" t="s">
        <v>118</v>
      </c>
      <c r="E131" t="s">
        <v>119</v>
      </c>
      <c r="F131" t="s">
        <v>120</v>
      </c>
      <c r="G131" t="s">
        <v>121</v>
      </c>
      <c r="H131">
        <v>99999</v>
      </c>
      <c r="I131" t="s">
        <v>30</v>
      </c>
      <c r="J131" t="s">
        <v>60</v>
      </c>
      <c r="K131" t="s">
        <v>61</v>
      </c>
      <c r="L131" s="2"/>
      <c r="N131" t="s">
        <v>122</v>
      </c>
      <c r="O131" t="s">
        <v>119</v>
      </c>
      <c r="P131" t="s">
        <v>120</v>
      </c>
      <c r="Q131" t="s">
        <v>121</v>
      </c>
      <c r="R131">
        <v>99999</v>
      </c>
      <c r="S131" t="s">
        <v>30</v>
      </c>
      <c r="U131" t="s">
        <v>55</v>
      </c>
      <c r="V131" t="s">
        <v>37</v>
      </c>
      <c r="W131">
        <v>46</v>
      </c>
      <c r="X131">
        <v>22</v>
      </c>
      <c r="Y131" s="4">
        <v>1012</v>
      </c>
      <c r="Z131" s="3">
        <v>101.2</v>
      </c>
    </row>
    <row r="132" spans="1:26" x14ac:dyDescent="0.3">
      <c r="A132">
        <v>1146</v>
      </c>
      <c r="B132" s="2">
        <v>41791</v>
      </c>
      <c r="C132">
        <v>1</v>
      </c>
      <c r="D132" t="s">
        <v>118</v>
      </c>
      <c r="E132" t="s">
        <v>119</v>
      </c>
      <c r="F132" t="s">
        <v>120</v>
      </c>
      <c r="G132" t="s">
        <v>121</v>
      </c>
      <c r="H132">
        <v>99999</v>
      </c>
      <c r="I132" t="s">
        <v>30</v>
      </c>
      <c r="J132" t="s">
        <v>60</v>
      </c>
      <c r="K132" t="s">
        <v>61</v>
      </c>
      <c r="L132" s="2"/>
      <c r="N132" t="s">
        <v>122</v>
      </c>
      <c r="O132" t="s">
        <v>119</v>
      </c>
      <c r="P132" t="s">
        <v>120</v>
      </c>
      <c r="Q132" t="s">
        <v>121</v>
      </c>
      <c r="R132">
        <v>99999</v>
      </c>
      <c r="S132" t="s">
        <v>30</v>
      </c>
      <c r="U132" t="s">
        <v>103</v>
      </c>
      <c r="V132" t="s">
        <v>37</v>
      </c>
      <c r="W132">
        <v>2.99</v>
      </c>
      <c r="X132">
        <v>51</v>
      </c>
      <c r="Y132" s="4">
        <v>152.49</v>
      </c>
      <c r="Z132" s="3">
        <v>14.944020000000002</v>
      </c>
    </row>
    <row r="133" spans="1:26" x14ac:dyDescent="0.3">
      <c r="A133">
        <v>1147</v>
      </c>
      <c r="B133" s="2">
        <v>41818</v>
      </c>
      <c r="C133">
        <v>28</v>
      </c>
      <c r="D133" t="s">
        <v>90</v>
      </c>
      <c r="E133" t="s">
        <v>91</v>
      </c>
      <c r="F133" t="s">
        <v>92</v>
      </c>
      <c r="G133" t="s">
        <v>93</v>
      </c>
      <c r="H133">
        <v>99999</v>
      </c>
      <c r="I133" t="s">
        <v>30</v>
      </c>
      <c r="J133" t="s">
        <v>94</v>
      </c>
      <c r="K133" t="s">
        <v>95</v>
      </c>
      <c r="L133" s="2">
        <v>41820</v>
      </c>
      <c r="M133" t="s">
        <v>62</v>
      </c>
      <c r="N133" t="s">
        <v>96</v>
      </c>
      <c r="O133" t="s">
        <v>91</v>
      </c>
      <c r="P133" t="s">
        <v>92</v>
      </c>
      <c r="Q133" t="s">
        <v>93</v>
      </c>
      <c r="R133">
        <v>99999</v>
      </c>
      <c r="S133" t="s">
        <v>30</v>
      </c>
      <c r="T133" t="s">
        <v>48</v>
      </c>
      <c r="U133" t="s">
        <v>80</v>
      </c>
      <c r="V133" t="s">
        <v>81</v>
      </c>
      <c r="W133">
        <v>9.65</v>
      </c>
      <c r="X133">
        <v>60</v>
      </c>
      <c r="Y133" s="4">
        <v>579</v>
      </c>
      <c r="Z133" s="3">
        <v>57.321000000000005</v>
      </c>
    </row>
    <row r="134" spans="1:26" x14ac:dyDescent="0.3">
      <c r="A134">
        <v>1148</v>
      </c>
      <c r="B134" s="2">
        <v>41818</v>
      </c>
      <c r="C134">
        <v>28</v>
      </c>
      <c r="D134" t="s">
        <v>90</v>
      </c>
      <c r="E134" t="s">
        <v>91</v>
      </c>
      <c r="F134" t="s">
        <v>92</v>
      </c>
      <c r="G134" t="s">
        <v>93</v>
      </c>
      <c r="H134">
        <v>99999</v>
      </c>
      <c r="I134" t="s">
        <v>30</v>
      </c>
      <c r="J134" t="s">
        <v>94</v>
      </c>
      <c r="K134" t="s">
        <v>95</v>
      </c>
      <c r="L134" s="2">
        <v>41820</v>
      </c>
      <c r="M134" t="s">
        <v>62</v>
      </c>
      <c r="N134" t="s">
        <v>96</v>
      </c>
      <c r="O134" t="s">
        <v>91</v>
      </c>
      <c r="P134" t="s">
        <v>92</v>
      </c>
      <c r="Q134" t="s">
        <v>93</v>
      </c>
      <c r="R134">
        <v>99999</v>
      </c>
      <c r="S134" t="s">
        <v>30</v>
      </c>
      <c r="T134" t="s">
        <v>48</v>
      </c>
      <c r="U134" t="s">
        <v>123</v>
      </c>
      <c r="V134" t="s">
        <v>124</v>
      </c>
      <c r="W134">
        <v>18.399999999999999</v>
      </c>
      <c r="X134">
        <v>98</v>
      </c>
      <c r="Y134" s="4">
        <v>1803.1999999999998</v>
      </c>
      <c r="Z134" s="3">
        <v>183.9264</v>
      </c>
    </row>
    <row r="135" spans="1:26" x14ac:dyDescent="0.3">
      <c r="A135">
        <v>1149</v>
      </c>
      <c r="B135" s="2">
        <v>41799</v>
      </c>
      <c r="C135">
        <v>9</v>
      </c>
      <c r="D135" t="s">
        <v>125</v>
      </c>
      <c r="E135" t="s">
        <v>126</v>
      </c>
      <c r="F135" t="s">
        <v>127</v>
      </c>
      <c r="G135" t="s">
        <v>128</v>
      </c>
      <c r="H135">
        <v>99999</v>
      </c>
      <c r="I135" t="s">
        <v>30</v>
      </c>
      <c r="J135" t="s">
        <v>129</v>
      </c>
      <c r="K135" t="s">
        <v>32</v>
      </c>
      <c r="L135" s="2">
        <v>41801</v>
      </c>
      <c r="M135" t="s">
        <v>46</v>
      </c>
      <c r="N135" t="s">
        <v>130</v>
      </c>
      <c r="O135" t="s">
        <v>126</v>
      </c>
      <c r="P135" t="s">
        <v>127</v>
      </c>
      <c r="Q135" t="s">
        <v>128</v>
      </c>
      <c r="R135">
        <v>99999</v>
      </c>
      <c r="S135" t="s">
        <v>30</v>
      </c>
      <c r="T135" t="s">
        <v>35</v>
      </c>
      <c r="U135" t="s">
        <v>131</v>
      </c>
      <c r="V135" t="s">
        <v>132</v>
      </c>
      <c r="W135">
        <v>19.5</v>
      </c>
      <c r="X135">
        <v>27</v>
      </c>
      <c r="Y135" s="4">
        <v>526.5</v>
      </c>
      <c r="Z135" s="3">
        <v>51.070500000000003</v>
      </c>
    </row>
    <row r="136" spans="1:26" x14ac:dyDescent="0.3">
      <c r="A136">
        <v>1150</v>
      </c>
      <c r="B136" s="2">
        <v>41799</v>
      </c>
      <c r="C136">
        <v>9</v>
      </c>
      <c r="D136" t="s">
        <v>125</v>
      </c>
      <c r="E136" t="s">
        <v>126</v>
      </c>
      <c r="F136" t="s">
        <v>127</v>
      </c>
      <c r="G136" t="s">
        <v>128</v>
      </c>
      <c r="H136">
        <v>99999</v>
      </c>
      <c r="I136" t="s">
        <v>30</v>
      </c>
      <c r="J136" t="s">
        <v>129</v>
      </c>
      <c r="K136" t="s">
        <v>32</v>
      </c>
      <c r="L136" s="2">
        <v>41801</v>
      </c>
      <c r="M136" t="s">
        <v>46</v>
      </c>
      <c r="N136" t="s">
        <v>130</v>
      </c>
      <c r="O136" t="s">
        <v>126</v>
      </c>
      <c r="P136" t="s">
        <v>127</v>
      </c>
      <c r="Q136" t="s">
        <v>128</v>
      </c>
      <c r="R136">
        <v>99999</v>
      </c>
      <c r="S136" t="s">
        <v>30</v>
      </c>
      <c r="T136" t="s">
        <v>35</v>
      </c>
      <c r="U136" t="s">
        <v>133</v>
      </c>
      <c r="V136" t="s">
        <v>134</v>
      </c>
      <c r="W136">
        <v>34.799999999999997</v>
      </c>
      <c r="X136">
        <v>88</v>
      </c>
      <c r="Y136" s="4">
        <v>3062.3999999999996</v>
      </c>
      <c r="Z136" s="3">
        <v>303.17759999999993</v>
      </c>
    </row>
    <row r="137" spans="1:26" x14ac:dyDescent="0.3">
      <c r="A137">
        <v>1151</v>
      </c>
      <c r="B137" s="2">
        <v>41796</v>
      </c>
      <c r="C137">
        <v>6</v>
      </c>
      <c r="D137" t="s">
        <v>82</v>
      </c>
      <c r="E137" t="s">
        <v>83</v>
      </c>
      <c r="F137" t="s">
        <v>84</v>
      </c>
      <c r="G137" t="s">
        <v>85</v>
      </c>
      <c r="H137">
        <v>99999</v>
      </c>
      <c r="I137" t="s">
        <v>30</v>
      </c>
      <c r="J137" t="s">
        <v>86</v>
      </c>
      <c r="K137" t="s">
        <v>61</v>
      </c>
      <c r="L137" s="2">
        <v>41798</v>
      </c>
      <c r="M137" t="s">
        <v>33</v>
      </c>
      <c r="N137" t="s">
        <v>87</v>
      </c>
      <c r="O137" t="s">
        <v>83</v>
      </c>
      <c r="P137" t="s">
        <v>84</v>
      </c>
      <c r="Q137" t="s">
        <v>85</v>
      </c>
      <c r="R137">
        <v>99999</v>
      </c>
      <c r="S137" t="s">
        <v>30</v>
      </c>
      <c r="T137" t="s">
        <v>48</v>
      </c>
      <c r="U137" t="s">
        <v>36</v>
      </c>
      <c r="V137" t="s">
        <v>37</v>
      </c>
      <c r="W137">
        <v>14</v>
      </c>
      <c r="X137">
        <v>65</v>
      </c>
      <c r="Y137" s="4">
        <v>910</v>
      </c>
      <c r="Z137" s="3">
        <v>95.55</v>
      </c>
    </row>
    <row r="138" spans="1:26" x14ac:dyDescent="0.3">
      <c r="A138">
        <v>1152</v>
      </c>
      <c r="B138" s="2">
        <v>41798</v>
      </c>
      <c r="C138">
        <v>8</v>
      </c>
      <c r="D138" t="s">
        <v>56</v>
      </c>
      <c r="E138" t="s">
        <v>57</v>
      </c>
      <c r="F138" t="s">
        <v>58</v>
      </c>
      <c r="G138" t="s">
        <v>59</v>
      </c>
      <c r="H138">
        <v>99999</v>
      </c>
      <c r="I138" t="s">
        <v>30</v>
      </c>
      <c r="J138" t="s">
        <v>60</v>
      </c>
      <c r="K138" t="s">
        <v>61</v>
      </c>
      <c r="L138" s="2">
        <v>41800</v>
      </c>
      <c r="M138" t="s">
        <v>33</v>
      </c>
      <c r="N138" t="s">
        <v>63</v>
      </c>
      <c r="O138" t="s">
        <v>57</v>
      </c>
      <c r="P138" t="s">
        <v>58</v>
      </c>
      <c r="Q138" t="s">
        <v>59</v>
      </c>
      <c r="R138">
        <v>99999</v>
      </c>
      <c r="S138" t="s">
        <v>30</v>
      </c>
      <c r="T138" t="s">
        <v>35</v>
      </c>
      <c r="U138" t="s">
        <v>88</v>
      </c>
      <c r="V138" t="s">
        <v>89</v>
      </c>
      <c r="W138">
        <v>40</v>
      </c>
      <c r="X138">
        <v>38</v>
      </c>
      <c r="Y138" s="4">
        <v>1520</v>
      </c>
      <c r="Z138" s="3">
        <v>148.96</v>
      </c>
    </row>
    <row r="139" spans="1:26" x14ac:dyDescent="0.3">
      <c r="A139">
        <v>1153</v>
      </c>
      <c r="B139" s="2">
        <v>41798</v>
      </c>
      <c r="C139">
        <v>8</v>
      </c>
      <c r="D139" t="s">
        <v>56</v>
      </c>
      <c r="E139" t="s">
        <v>57</v>
      </c>
      <c r="F139" t="s">
        <v>58</v>
      </c>
      <c r="G139" t="s">
        <v>59</v>
      </c>
      <c r="H139">
        <v>99999</v>
      </c>
      <c r="I139" t="s">
        <v>30</v>
      </c>
      <c r="J139" t="s">
        <v>60</v>
      </c>
      <c r="K139" t="s">
        <v>61</v>
      </c>
      <c r="L139">
        <v>41800</v>
      </c>
      <c r="M139" t="s">
        <v>33</v>
      </c>
      <c r="N139" t="s">
        <v>63</v>
      </c>
      <c r="O139" t="s">
        <v>57</v>
      </c>
      <c r="P139" t="s">
        <v>58</v>
      </c>
      <c r="Q139" t="s">
        <v>59</v>
      </c>
      <c r="R139">
        <v>99999</v>
      </c>
      <c r="S139" t="s">
        <v>30</v>
      </c>
      <c r="T139" t="s">
        <v>35</v>
      </c>
      <c r="U139" t="s">
        <v>64</v>
      </c>
      <c r="V139" t="s">
        <v>65</v>
      </c>
      <c r="W139" s="3">
        <v>9.1999999999999993</v>
      </c>
      <c r="X139">
        <v>80</v>
      </c>
      <c r="Y139" s="4">
        <v>736</v>
      </c>
      <c r="Z139" s="3">
        <v>70.656000000000006</v>
      </c>
    </row>
    <row r="140" spans="1:26" x14ac:dyDescent="0.3">
      <c r="A140">
        <v>1154</v>
      </c>
      <c r="B140" s="2">
        <v>41815</v>
      </c>
      <c r="C140">
        <v>25</v>
      </c>
      <c r="D140" t="s">
        <v>137</v>
      </c>
      <c r="E140" t="s">
        <v>138</v>
      </c>
      <c r="F140" t="s">
        <v>99</v>
      </c>
      <c r="G140" t="s">
        <v>100</v>
      </c>
      <c r="H140">
        <v>99999</v>
      </c>
      <c r="I140" t="s">
        <v>30</v>
      </c>
      <c r="J140" t="s">
        <v>101</v>
      </c>
      <c r="K140" t="s">
        <v>45</v>
      </c>
      <c r="L140" s="2">
        <v>41817</v>
      </c>
      <c r="M140" t="s">
        <v>46</v>
      </c>
      <c r="N140" t="s">
        <v>139</v>
      </c>
      <c r="O140" t="s">
        <v>138</v>
      </c>
      <c r="P140" t="s">
        <v>99</v>
      </c>
      <c r="Q140" t="s">
        <v>100</v>
      </c>
      <c r="R140">
        <v>99999</v>
      </c>
      <c r="S140" t="s">
        <v>30</v>
      </c>
      <c r="T140" t="s">
        <v>79</v>
      </c>
      <c r="U140" t="s">
        <v>146</v>
      </c>
      <c r="V140" t="s">
        <v>65</v>
      </c>
      <c r="W140" s="3">
        <v>10</v>
      </c>
      <c r="X140">
        <v>49</v>
      </c>
      <c r="Y140" s="4">
        <v>490</v>
      </c>
      <c r="Z140" s="3">
        <v>47.04</v>
      </c>
    </row>
    <row r="141" spans="1:26" x14ac:dyDescent="0.3">
      <c r="A141">
        <v>1155</v>
      </c>
      <c r="B141" s="2">
        <v>41816</v>
      </c>
      <c r="C141">
        <v>26</v>
      </c>
      <c r="D141" t="s">
        <v>140</v>
      </c>
      <c r="E141" t="s">
        <v>141</v>
      </c>
      <c r="F141" t="s">
        <v>115</v>
      </c>
      <c r="G141" t="s">
        <v>116</v>
      </c>
      <c r="H141">
        <v>99999</v>
      </c>
      <c r="I141" t="s">
        <v>30</v>
      </c>
      <c r="J141" t="s">
        <v>94</v>
      </c>
      <c r="K141" t="s">
        <v>95</v>
      </c>
      <c r="L141" s="2">
        <v>41818</v>
      </c>
      <c r="M141" t="s">
        <v>62</v>
      </c>
      <c r="N141" t="s">
        <v>142</v>
      </c>
      <c r="O141" t="s">
        <v>141</v>
      </c>
      <c r="P141" t="s">
        <v>115</v>
      </c>
      <c r="Q141" t="s">
        <v>116</v>
      </c>
      <c r="R141">
        <v>99999</v>
      </c>
      <c r="S141" t="s">
        <v>30</v>
      </c>
      <c r="T141" t="s">
        <v>48</v>
      </c>
      <c r="U141" t="s">
        <v>147</v>
      </c>
      <c r="V141" t="s">
        <v>148</v>
      </c>
      <c r="W141" s="3">
        <v>21.35</v>
      </c>
      <c r="X141">
        <v>90</v>
      </c>
      <c r="Y141" s="4">
        <v>1921.5000000000002</v>
      </c>
      <c r="Z141" s="3">
        <v>186.38550000000004</v>
      </c>
    </row>
    <row r="142" spans="1:26" x14ac:dyDescent="0.3">
      <c r="A142">
        <v>1156</v>
      </c>
      <c r="B142" s="2">
        <v>41816</v>
      </c>
      <c r="C142">
        <v>26</v>
      </c>
      <c r="D142" t="s">
        <v>140</v>
      </c>
      <c r="E142" t="s">
        <v>141</v>
      </c>
      <c r="F142" t="s">
        <v>115</v>
      </c>
      <c r="G142" t="s">
        <v>116</v>
      </c>
      <c r="H142">
        <v>99999</v>
      </c>
      <c r="I142" t="s">
        <v>30</v>
      </c>
      <c r="J142" t="s">
        <v>94</v>
      </c>
      <c r="K142" t="s">
        <v>95</v>
      </c>
      <c r="L142" s="2">
        <v>41818</v>
      </c>
      <c r="M142" t="s">
        <v>62</v>
      </c>
      <c r="N142" t="s">
        <v>142</v>
      </c>
      <c r="O142" t="s">
        <v>141</v>
      </c>
      <c r="P142" t="s">
        <v>115</v>
      </c>
      <c r="Q142" t="s">
        <v>116</v>
      </c>
      <c r="R142">
        <v>99999</v>
      </c>
      <c r="S142" t="s">
        <v>30</v>
      </c>
      <c r="T142" t="s">
        <v>48</v>
      </c>
      <c r="U142" t="s">
        <v>80</v>
      </c>
      <c r="V142" t="s">
        <v>81</v>
      </c>
      <c r="W142" s="3">
        <v>9.65</v>
      </c>
      <c r="X142">
        <v>60</v>
      </c>
      <c r="Y142" s="4">
        <v>579</v>
      </c>
      <c r="Z142" s="3">
        <v>59.637000000000008</v>
      </c>
    </row>
    <row r="143" spans="1:26" x14ac:dyDescent="0.3">
      <c r="A143">
        <v>1157</v>
      </c>
      <c r="B143" s="2">
        <v>41816</v>
      </c>
      <c r="C143">
        <v>26</v>
      </c>
      <c r="D143" t="s">
        <v>140</v>
      </c>
      <c r="E143" t="s">
        <v>141</v>
      </c>
      <c r="F143" t="s">
        <v>115</v>
      </c>
      <c r="G143" t="s">
        <v>116</v>
      </c>
      <c r="H143">
        <v>99999</v>
      </c>
      <c r="I143" t="s">
        <v>30</v>
      </c>
      <c r="J143" t="s">
        <v>94</v>
      </c>
      <c r="K143" t="s">
        <v>95</v>
      </c>
      <c r="L143">
        <v>41818</v>
      </c>
      <c r="M143" t="s">
        <v>62</v>
      </c>
      <c r="N143" t="s">
        <v>142</v>
      </c>
      <c r="O143" t="s">
        <v>141</v>
      </c>
      <c r="P143" t="s">
        <v>115</v>
      </c>
      <c r="Q143" t="s">
        <v>116</v>
      </c>
      <c r="R143">
        <v>99999</v>
      </c>
      <c r="S143" t="s">
        <v>30</v>
      </c>
      <c r="T143" t="s">
        <v>48</v>
      </c>
      <c r="U143" t="s">
        <v>123</v>
      </c>
      <c r="V143" t="s">
        <v>124</v>
      </c>
      <c r="W143" s="3">
        <v>18.399999999999999</v>
      </c>
      <c r="X143">
        <v>39</v>
      </c>
      <c r="Y143" s="4">
        <v>717.59999999999991</v>
      </c>
      <c r="Z143" s="3">
        <v>71.759999999999991</v>
      </c>
    </row>
    <row r="144" spans="1:26" x14ac:dyDescent="0.3">
      <c r="A144">
        <v>1158</v>
      </c>
      <c r="B144" s="2">
        <v>41819</v>
      </c>
      <c r="C144">
        <v>29</v>
      </c>
      <c r="D144" t="s">
        <v>66</v>
      </c>
      <c r="E144" t="s">
        <v>67</v>
      </c>
      <c r="F144" t="s">
        <v>68</v>
      </c>
      <c r="G144" t="s">
        <v>69</v>
      </c>
      <c r="H144">
        <v>99999</v>
      </c>
      <c r="I144" t="s">
        <v>30</v>
      </c>
      <c r="J144" t="s">
        <v>70</v>
      </c>
      <c r="K144" t="s">
        <v>32</v>
      </c>
      <c r="L144">
        <v>41821</v>
      </c>
      <c r="M144" t="s">
        <v>33</v>
      </c>
      <c r="N144" t="s">
        <v>71</v>
      </c>
      <c r="O144" t="s">
        <v>67</v>
      </c>
      <c r="P144" t="s">
        <v>68</v>
      </c>
      <c r="Q144" t="s">
        <v>69</v>
      </c>
      <c r="R144">
        <v>99999</v>
      </c>
      <c r="S144" t="s">
        <v>30</v>
      </c>
      <c r="T144" t="s">
        <v>35</v>
      </c>
      <c r="U144" t="s">
        <v>36</v>
      </c>
      <c r="V144" t="s">
        <v>37</v>
      </c>
      <c r="W144" s="3">
        <v>14</v>
      </c>
      <c r="X144">
        <v>79</v>
      </c>
      <c r="Y144" s="4">
        <v>1106</v>
      </c>
      <c r="Z144" s="3">
        <v>113.91800000000001</v>
      </c>
    </row>
    <row r="145" spans="1:26" x14ac:dyDescent="0.3">
      <c r="A145">
        <v>1159</v>
      </c>
      <c r="B145" s="2">
        <v>41796</v>
      </c>
      <c r="C145">
        <v>6</v>
      </c>
      <c r="D145" t="s">
        <v>82</v>
      </c>
      <c r="E145" t="s">
        <v>83</v>
      </c>
      <c r="F145" t="s">
        <v>84</v>
      </c>
      <c r="G145" t="s">
        <v>85</v>
      </c>
      <c r="H145">
        <v>99999</v>
      </c>
      <c r="I145" t="s">
        <v>30</v>
      </c>
      <c r="J145" t="s">
        <v>86</v>
      </c>
      <c r="K145" t="s">
        <v>61</v>
      </c>
      <c r="L145">
        <v>41798</v>
      </c>
      <c r="M145" t="s">
        <v>62</v>
      </c>
      <c r="N145" t="s">
        <v>87</v>
      </c>
      <c r="O145" t="s">
        <v>83</v>
      </c>
      <c r="P145" t="s">
        <v>84</v>
      </c>
      <c r="Q145" t="s">
        <v>85</v>
      </c>
      <c r="R145">
        <v>99999</v>
      </c>
      <c r="S145" t="s">
        <v>30</v>
      </c>
      <c r="T145" t="s">
        <v>35</v>
      </c>
      <c r="U145" t="s">
        <v>72</v>
      </c>
      <c r="V145" t="s">
        <v>73</v>
      </c>
      <c r="W145" s="3">
        <v>12.75</v>
      </c>
      <c r="X145">
        <v>44</v>
      </c>
      <c r="Y145" s="4">
        <v>561</v>
      </c>
      <c r="Z145" s="3">
        <v>57.222000000000001</v>
      </c>
    </row>
    <row r="146" spans="1:26" x14ac:dyDescent="0.3">
      <c r="A146">
        <v>1161</v>
      </c>
      <c r="B146" s="2">
        <v>41794</v>
      </c>
      <c r="C146">
        <v>4</v>
      </c>
      <c r="D146" t="s">
        <v>40</v>
      </c>
      <c r="E146" t="s">
        <v>41</v>
      </c>
      <c r="F146" t="s">
        <v>42</v>
      </c>
      <c r="G146" t="s">
        <v>43</v>
      </c>
      <c r="H146">
        <v>99999</v>
      </c>
      <c r="I146" t="s">
        <v>30</v>
      </c>
      <c r="J146" t="s">
        <v>44</v>
      </c>
      <c r="K146" t="s">
        <v>45</v>
      </c>
      <c r="L146">
        <v>41796</v>
      </c>
      <c r="M146" t="s">
        <v>46</v>
      </c>
      <c r="N146" t="s">
        <v>47</v>
      </c>
      <c r="O146" t="s">
        <v>41</v>
      </c>
      <c r="P146" t="s">
        <v>42</v>
      </c>
      <c r="Q146" t="s">
        <v>43</v>
      </c>
      <c r="R146">
        <v>99999</v>
      </c>
      <c r="S146" t="s">
        <v>30</v>
      </c>
      <c r="T146" t="s">
        <v>48</v>
      </c>
      <c r="U146" t="s">
        <v>149</v>
      </c>
      <c r="V146" t="s">
        <v>110</v>
      </c>
      <c r="W146" s="3">
        <v>81</v>
      </c>
      <c r="X146">
        <v>98</v>
      </c>
      <c r="Y146" s="4">
        <v>7938</v>
      </c>
      <c r="Z146" s="3">
        <v>769.98599999999999</v>
      </c>
    </row>
    <row r="147" spans="1:26" x14ac:dyDescent="0.3">
      <c r="A147">
        <v>1162</v>
      </c>
      <c r="B147" s="2">
        <v>41794</v>
      </c>
      <c r="C147">
        <v>4</v>
      </c>
      <c r="D147" t="s">
        <v>40</v>
      </c>
      <c r="E147" t="s">
        <v>41</v>
      </c>
      <c r="F147" t="s">
        <v>42</v>
      </c>
      <c r="G147" t="s">
        <v>43</v>
      </c>
      <c r="H147">
        <v>99999</v>
      </c>
      <c r="I147" t="s">
        <v>30</v>
      </c>
      <c r="J147" t="s">
        <v>44</v>
      </c>
      <c r="K147" t="s">
        <v>45</v>
      </c>
      <c r="L147">
        <v>41796</v>
      </c>
      <c r="M147" t="s">
        <v>46</v>
      </c>
      <c r="N147" t="s">
        <v>47</v>
      </c>
      <c r="O147" t="s">
        <v>41</v>
      </c>
      <c r="P147" t="s">
        <v>42</v>
      </c>
      <c r="Q147" t="s">
        <v>43</v>
      </c>
      <c r="R147">
        <v>99999</v>
      </c>
      <c r="S147" t="s">
        <v>30</v>
      </c>
      <c r="T147" t="s">
        <v>48</v>
      </c>
      <c r="U147" t="s">
        <v>150</v>
      </c>
      <c r="V147" t="s">
        <v>151</v>
      </c>
      <c r="W147" s="3">
        <v>7</v>
      </c>
      <c r="X147">
        <v>61</v>
      </c>
      <c r="Y147" s="4">
        <v>427</v>
      </c>
      <c r="Z147" s="3">
        <v>42.273000000000003</v>
      </c>
    </row>
    <row r="148" spans="1:26" x14ac:dyDescent="0.3">
      <c r="A148">
        <v>1164</v>
      </c>
      <c r="B148" s="2">
        <v>41798</v>
      </c>
      <c r="C148">
        <v>8</v>
      </c>
      <c r="D148" t="s">
        <v>56</v>
      </c>
      <c r="E148" t="s">
        <v>57</v>
      </c>
      <c r="F148" t="s">
        <v>58</v>
      </c>
      <c r="G148" t="s">
        <v>59</v>
      </c>
      <c r="H148">
        <v>99999</v>
      </c>
      <c r="I148" t="s">
        <v>30</v>
      </c>
      <c r="J148" t="s">
        <v>60</v>
      </c>
      <c r="K148" t="s">
        <v>61</v>
      </c>
      <c r="L148" s="2">
        <v>41800</v>
      </c>
      <c r="M148" t="s">
        <v>62</v>
      </c>
      <c r="N148" t="s">
        <v>63</v>
      </c>
      <c r="O148" t="s">
        <v>57</v>
      </c>
      <c r="P148" t="s">
        <v>58</v>
      </c>
      <c r="Q148" t="s">
        <v>59</v>
      </c>
      <c r="R148">
        <v>99999</v>
      </c>
      <c r="S148" t="s">
        <v>30</v>
      </c>
      <c r="T148" t="s">
        <v>48</v>
      </c>
      <c r="U148" t="s">
        <v>133</v>
      </c>
      <c r="V148" t="s">
        <v>134</v>
      </c>
      <c r="W148" s="3">
        <v>34.799999999999997</v>
      </c>
      <c r="X148">
        <v>30</v>
      </c>
      <c r="Y148" s="4">
        <v>1044</v>
      </c>
      <c r="Z148" s="3">
        <v>109.62</v>
      </c>
    </row>
    <row r="149" spans="1:26" x14ac:dyDescent="0.3">
      <c r="A149">
        <v>1167</v>
      </c>
      <c r="B149" s="2">
        <v>41793</v>
      </c>
      <c r="C149">
        <v>3</v>
      </c>
      <c r="D149" t="s">
        <v>74</v>
      </c>
      <c r="E149" t="s">
        <v>75</v>
      </c>
      <c r="F149" t="s">
        <v>76</v>
      </c>
      <c r="G149" t="s">
        <v>77</v>
      </c>
      <c r="H149">
        <v>99999</v>
      </c>
      <c r="I149" t="s">
        <v>30</v>
      </c>
      <c r="J149" t="s">
        <v>31</v>
      </c>
      <c r="K149" t="s">
        <v>32</v>
      </c>
      <c r="L149" s="2">
        <v>41795</v>
      </c>
      <c r="M149" t="s">
        <v>33</v>
      </c>
      <c r="N149" t="s">
        <v>78</v>
      </c>
      <c r="O149" t="s">
        <v>75</v>
      </c>
      <c r="P149" t="s">
        <v>76</v>
      </c>
      <c r="Q149" t="s">
        <v>77</v>
      </c>
      <c r="R149">
        <v>99999</v>
      </c>
      <c r="S149" t="s">
        <v>30</v>
      </c>
      <c r="T149" t="s">
        <v>79</v>
      </c>
      <c r="U149" t="s">
        <v>135</v>
      </c>
      <c r="V149" t="s">
        <v>112</v>
      </c>
      <c r="W149" s="3">
        <v>10</v>
      </c>
      <c r="X149">
        <v>24</v>
      </c>
      <c r="Y149" s="4">
        <v>240</v>
      </c>
      <c r="Z149" s="3">
        <v>25.200000000000003</v>
      </c>
    </row>
    <row r="150" spans="1:26" x14ac:dyDescent="0.3">
      <c r="A150">
        <v>1168</v>
      </c>
      <c r="B150" s="2">
        <v>41793</v>
      </c>
      <c r="C150">
        <v>3</v>
      </c>
      <c r="D150" t="s">
        <v>74</v>
      </c>
      <c r="E150" t="s">
        <v>75</v>
      </c>
      <c r="F150" t="s">
        <v>76</v>
      </c>
      <c r="G150" t="s">
        <v>77</v>
      </c>
      <c r="H150">
        <v>99999</v>
      </c>
      <c r="I150" t="s">
        <v>30</v>
      </c>
      <c r="J150" t="s">
        <v>31</v>
      </c>
      <c r="K150" t="s">
        <v>32</v>
      </c>
      <c r="L150" s="2">
        <v>41795</v>
      </c>
      <c r="M150" t="s">
        <v>33</v>
      </c>
      <c r="N150" t="s">
        <v>78</v>
      </c>
      <c r="O150" t="s">
        <v>75</v>
      </c>
      <c r="P150" t="s">
        <v>76</v>
      </c>
      <c r="Q150" t="s">
        <v>77</v>
      </c>
      <c r="R150">
        <v>99999</v>
      </c>
      <c r="S150" t="s">
        <v>30</v>
      </c>
      <c r="T150" t="s">
        <v>79</v>
      </c>
      <c r="U150" t="s">
        <v>88</v>
      </c>
      <c r="V150" t="s">
        <v>89</v>
      </c>
      <c r="W150" s="3">
        <v>40</v>
      </c>
      <c r="X150">
        <v>28</v>
      </c>
      <c r="Y150" s="4">
        <v>1120</v>
      </c>
      <c r="Z150" s="3">
        <v>109.75999999999999</v>
      </c>
    </row>
    <row r="151" spans="1:26" x14ac:dyDescent="0.3">
      <c r="A151">
        <v>1172</v>
      </c>
      <c r="B151" s="2">
        <v>41800</v>
      </c>
      <c r="C151">
        <v>10</v>
      </c>
      <c r="D151" t="s">
        <v>97</v>
      </c>
      <c r="E151" t="s">
        <v>98</v>
      </c>
      <c r="F151" t="s">
        <v>99</v>
      </c>
      <c r="G151" t="s">
        <v>100</v>
      </c>
      <c r="H151">
        <v>99999</v>
      </c>
      <c r="I151" t="s">
        <v>30</v>
      </c>
      <c r="J151" t="s">
        <v>101</v>
      </c>
      <c r="K151" t="s">
        <v>45</v>
      </c>
      <c r="L151" s="2">
        <v>41802</v>
      </c>
      <c r="M151" t="s">
        <v>33</v>
      </c>
      <c r="N151" t="s">
        <v>102</v>
      </c>
      <c r="O151" t="s">
        <v>98</v>
      </c>
      <c r="P151" t="s">
        <v>99</v>
      </c>
      <c r="Q151" t="s">
        <v>100</v>
      </c>
      <c r="R151">
        <v>99999</v>
      </c>
      <c r="S151" t="s">
        <v>30</v>
      </c>
      <c r="T151" t="s">
        <v>48</v>
      </c>
      <c r="U151" t="s">
        <v>136</v>
      </c>
      <c r="V151" t="s">
        <v>39</v>
      </c>
      <c r="W151" s="3">
        <v>10</v>
      </c>
      <c r="X151">
        <v>74</v>
      </c>
      <c r="Y151" s="4">
        <v>740</v>
      </c>
      <c r="Z151" s="3">
        <v>71.78</v>
      </c>
    </row>
    <row r="152" spans="1:26" x14ac:dyDescent="0.3">
      <c r="A152">
        <v>1174</v>
      </c>
      <c r="B152" s="2">
        <v>41800</v>
      </c>
      <c r="C152">
        <v>10</v>
      </c>
      <c r="D152" t="s">
        <v>97</v>
      </c>
      <c r="E152" t="s">
        <v>98</v>
      </c>
      <c r="F152" t="s">
        <v>99</v>
      </c>
      <c r="G152" t="s">
        <v>100</v>
      </c>
      <c r="H152">
        <v>99999</v>
      </c>
      <c r="I152" t="s">
        <v>30</v>
      </c>
      <c r="J152" t="s">
        <v>101</v>
      </c>
      <c r="K152" t="s">
        <v>45</v>
      </c>
      <c r="L152" s="2"/>
      <c r="M152" t="s">
        <v>46</v>
      </c>
      <c r="N152" t="s">
        <v>102</v>
      </c>
      <c r="O152" t="s">
        <v>98</v>
      </c>
      <c r="P152" t="s">
        <v>99</v>
      </c>
      <c r="Q152" t="s">
        <v>100</v>
      </c>
      <c r="R152">
        <v>99999</v>
      </c>
      <c r="S152" t="s">
        <v>30</v>
      </c>
      <c r="U152" t="s">
        <v>38</v>
      </c>
      <c r="V152" t="s">
        <v>39</v>
      </c>
      <c r="W152" s="3">
        <v>3.5</v>
      </c>
      <c r="X152">
        <v>90</v>
      </c>
      <c r="Y152" s="4">
        <v>315</v>
      </c>
      <c r="Z152" s="3">
        <v>30.24</v>
      </c>
    </row>
    <row r="153" spans="1:26" x14ac:dyDescent="0.3">
      <c r="A153">
        <v>1175</v>
      </c>
      <c r="B153" s="2">
        <v>41801</v>
      </c>
      <c r="C153">
        <v>11</v>
      </c>
      <c r="D153" t="s">
        <v>113</v>
      </c>
      <c r="E153" t="s">
        <v>114</v>
      </c>
      <c r="F153" t="s">
        <v>115</v>
      </c>
      <c r="G153" t="s">
        <v>116</v>
      </c>
      <c r="H153">
        <v>99999</v>
      </c>
      <c r="I153" t="s">
        <v>30</v>
      </c>
      <c r="J153" t="s">
        <v>94</v>
      </c>
      <c r="K153" t="s">
        <v>95</v>
      </c>
      <c r="L153" s="2"/>
      <c r="M153" t="s">
        <v>62</v>
      </c>
      <c r="N153" t="s">
        <v>117</v>
      </c>
      <c r="O153" t="s">
        <v>114</v>
      </c>
      <c r="P153" t="s">
        <v>115</v>
      </c>
      <c r="Q153" t="s">
        <v>116</v>
      </c>
      <c r="R153">
        <v>99999</v>
      </c>
      <c r="S153" t="s">
        <v>30</v>
      </c>
      <c r="U153" t="s">
        <v>88</v>
      </c>
      <c r="V153" t="s">
        <v>89</v>
      </c>
      <c r="W153" s="3">
        <v>40</v>
      </c>
      <c r="X153">
        <v>27</v>
      </c>
      <c r="Y153" s="4">
        <v>1080</v>
      </c>
      <c r="Z153" s="3">
        <v>111.24000000000001</v>
      </c>
    </row>
    <row r="154" spans="1:26" x14ac:dyDescent="0.3">
      <c r="A154">
        <v>1176</v>
      </c>
      <c r="B154" s="2">
        <v>41791</v>
      </c>
      <c r="C154">
        <v>1</v>
      </c>
      <c r="D154" t="s">
        <v>118</v>
      </c>
      <c r="E154" t="s">
        <v>119</v>
      </c>
      <c r="F154" t="s">
        <v>120</v>
      </c>
      <c r="G154" t="s">
        <v>121</v>
      </c>
      <c r="H154">
        <v>99999</v>
      </c>
      <c r="I154" t="s">
        <v>30</v>
      </c>
      <c r="J154" t="s">
        <v>60</v>
      </c>
      <c r="K154" t="s">
        <v>61</v>
      </c>
      <c r="L154" s="2"/>
      <c r="M154" t="s">
        <v>62</v>
      </c>
      <c r="N154" t="s">
        <v>122</v>
      </c>
      <c r="O154" t="s">
        <v>119</v>
      </c>
      <c r="P154" t="s">
        <v>120</v>
      </c>
      <c r="Q154" t="s">
        <v>121</v>
      </c>
      <c r="R154">
        <v>99999</v>
      </c>
      <c r="S154" t="s">
        <v>30</v>
      </c>
      <c r="U154" t="s">
        <v>123</v>
      </c>
      <c r="V154" t="s">
        <v>124</v>
      </c>
      <c r="W154" s="3">
        <v>18.399999999999999</v>
      </c>
      <c r="X154">
        <v>71</v>
      </c>
      <c r="Y154" s="4">
        <v>1306.3999999999999</v>
      </c>
      <c r="Z154" s="3">
        <v>137.172</v>
      </c>
    </row>
    <row r="155" spans="1:26" x14ac:dyDescent="0.3">
      <c r="A155">
        <v>1177</v>
      </c>
      <c r="B155" s="2">
        <v>41818</v>
      </c>
      <c r="C155">
        <v>28</v>
      </c>
      <c r="D155" t="s">
        <v>90</v>
      </c>
      <c r="E155" t="s">
        <v>91</v>
      </c>
      <c r="F155" t="s">
        <v>92</v>
      </c>
      <c r="G155" t="s">
        <v>93</v>
      </c>
      <c r="H155">
        <v>99999</v>
      </c>
      <c r="I155" t="s">
        <v>30</v>
      </c>
      <c r="J155" t="s">
        <v>94</v>
      </c>
      <c r="K155" t="s">
        <v>95</v>
      </c>
      <c r="L155" s="2">
        <v>41820</v>
      </c>
      <c r="M155" t="s">
        <v>62</v>
      </c>
      <c r="N155" t="s">
        <v>96</v>
      </c>
      <c r="O155" t="s">
        <v>91</v>
      </c>
      <c r="P155" t="s">
        <v>92</v>
      </c>
      <c r="Q155" t="s">
        <v>93</v>
      </c>
      <c r="R155">
        <v>99999</v>
      </c>
      <c r="S155" t="s">
        <v>30</v>
      </c>
      <c r="T155" t="s">
        <v>48</v>
      </c>
      <c r="U155" t="s">
        <v>55</v>
      </c>
      <c r="V155" t="s">
        <v>37</v>
      </c>
      <c r="W155" s="3">
        <v>46</v>
      </c>
      <c r="X155">
        <v>74</v>
      </c>
      <c r="Y155" s="4">
        <v>3404</v>
      </c>
      <c r="Z155" s="3">
        <v>340.40000000000003</v>
      </c>
    </row>
    <row r="156" spans="1:26" x14ac:dyDescent="0.3">
      <c r="A156">
        <v>1178</v>
      </c>
      <c r="B156" s="2">
        <v>41799</v>
      </c>
      <c r="C156">
        <v>9</v>
      </c>
      <c r="D156" t="s">
        <v>125</v>
      </c>
      <c r="E156" t="s">
        <v>126</v>
      </c>
      <c r="F156" t="s">
        <v>127</v>
      </c>
      <c r="G156" t="s">
        <v>128</v>
      </c>
      <c r="H156">
        <v>99999</v>
      </c>
      <c r="I156" t="s">
        <v>30</v>
      </c>
      <c r="J156" t="s">
        <v>129</v>
      </c>
      <c r="K156" t="s">
        <v>32</v>
      </c>
      <c r="L156" s="2">
        <v>41801</v>
      </c>
      <c r="M156" t="s">
        <v>46</v>
      </c>
      <c r="N156" t="s">
        <v>130</v>
      </c>
      <c r="O156" t="s">
        <v>126</v>
      </c>
      <c r="P156" t="s">
        <v>127</v>
      </c>
      <c r="Q156" t="s">
        <v>128</v>
      </c>
      <c r="R156">
        <v>99999</v>
      </c>
      <c r="S156" t="s">
        <v>30</v>
      </c>
      <c r="T156" t="s">
        <v>35</v>
      </c>
      <c r="U156" t="s">
        <v>80</v>
      </c>
      <c r="V156" t="s">
        <v>81</v>
      </c>
      <c r="W156" s="3">
        <v>9.65</v>
      </c>
      <c r="X156">
        <v>76</v>
      </c>
      <c r="Y156" s="4">
        <v>733.4</v>
      </c>
      <c r="Z156" s="3">
        <v>72.6066</v>
      </c>
    </row>
    <row r="157" spans="1:26" x14ac:dyDescent="0.3">
      <c r="A157">
        <v>1179</v>
      </c>
      <c r="B157" s="2">
        <v>41796</v>
      </c>
      <c r="C157">
        <v>6</v>
      </c>
      <c r="D157" t="s">
        <v>82</v>
      </c>
      <c r="E157" t="s">
        <v>83</v>
      </c>
      <c r="F157" t="s">
        <v>84</v>
      </c>
      <c r="G157" t="s">
        <v>85</v>
      </c>
      <c r="H157">
        <v>99999</v>
      </c>
      <c r="I157" t="s">
        <v>30</v>
      </c>
      <c r="J157" t="s">
        <v>86</v>
      </c>
      <c r="K157" t="s">
        <v>61</v>
      </c>
      <c r="L157" s="2">
        <v>41798</v>
      </c>
      <c r="M157" t="s">
        <v>33</v>
      </c>
      <c r="N157" t="s">
        <v>87</v>
      </c>
      <c r="O157" t="s">
        <v>83</v>
      </c>
      <c r="P157" t="s">
        <v>84</v>
      </c>
      <c r="Q157" t="s">
        <v>85</v>
      </c>
      <c r="R157">
        <v>99999</v>
      </c>
      <c r="S157" t="s">
        <v>30</v>
      </c>
      <c r="T157" t="s">
        <v>48</v>
      </c>
      <c r="U157" t="s">
        <v>72</v>
      </c>
      <c r="V157" t="s">
        <v>73</v>
      </c>
      <c r="W157" s="3">
        <v>12.75</v>
      </c>
      <c r="X157">
        <v>96</v>
      </c>
      <c r="Y157" s="4">
        <v>1224</v>
      </c>
      <c r="Z157" s="3">
        <v>123.62400000000001</v>
      </c>
    </row>
    <row r="158" spans="1:26" x14ac:dyDescent="0.3">
      <c r="A158">
        <v>1180</v>
      </c>
      <c r="B158" s="2">
        <v>41798</v>
      </c>
      <c r="C158">
        <v>8</v>
      </c>
      <c r="D158" t="s">
        <v>56</v>
      </c>
      <c r="E158" t="s">
        <v>57</v>
      </c>
      <c r="F158" t="s">
        <v>58</v>
      </c>
      <c r="G158" t="s">
        <v>59</v>
      </c>
      <c r="H158">
        <v>99999</v>
      </c>
      <c r="I158" t="s">
        <v>30</v>
      </c>
      <c r="J158" t="s">
        <v>60</v>
      </c>
      <c r="K158" t="s">
        <v>61</v>
      </c>
      <c r="L158" s="2">
        <v>41800</v>
      </c>
      <c r="M158" t="s">
        <v>33</v>
      </c>
      <c r="N158" t="s">
        <v>63</v>
      </c>
      <c r="O158" t="s">
        <v>57</v>
      </c>
      <c r="P158" t="s">
        <v>58</v>
      </c>
      <c r="Q158" t="s">
        <v>59</v>
      </c>
      <c r="R158">
        <v>99999</v>
      </c>
      <c r="S158" t="s">
        <v>30</v>
      </c>
      <c r="T158" t="s">
        <v>35</v>
      </c>
      <c r="U158" t="s">
        <v>72</v>
      </c>
      <c r="V158" t="s">
        <v>73</v>
      </c>
      <c r="W158" s="3">
        <v>12.75</v>
      </c>
      <c r="X158">
        <v>92</v>
      </c>
      <c r="Y158" s="4">
        <v>1173</v>
      </c>
      <c r="Z158" s="3">
        <v>116.12700000000001</v>
      </c>
    </row>
    <row r="159" spans="1:26" x14ac:dyDescent="0.3">
      <c r="A159">
        <v>1181</v>
      </c>
      <c r="B159" s="2">
        <v>41815</v>
      </c>
      <c r="C159">
        <v>25</v>
      </c>
      <c r="D159" t="s">
        <v>137</v>
      </c>
      <c r="E159" t="s">
        <v>138</v>
      </c>
      <c r="F159" t="s">
        <v>99</v>
      </c>
      <c r="G159" t="s">
        <v>100</v>
      </c>
      <c r="H159">
        <v>99999</v>
      </c>
      <c r="I159" t="s">
        <v>30</v>
      </c>
      <c r="J159" t="s">
        <v>101</v>
      </c>
      <c r="K159" t="s">
        <v>45</v>
      </c>
      <c r="L159" s="2">
        <v>41817</v>
      </c>
      <c r="M159" t="s">
        <v>46</v>
      </c>
      <c r="N159" t="s">
        <v>139</v>
      </c>
      <c r="O159" t="s">
        <v>138</v>
      </c>
      <c r="P159" t="s">
        <v>99</v>
      </c>
      <c r="Q159" t="s">
        <v>100</v>
      </c>
      <c r="R159">
        <v>99999</v>
      </c>
      <c r="S159" t="s">
        <v>30</v>
      </c>
      <c r="T159" t="s">
        <v>79</v>
      </c>
      <c r="U159" t="s">
        <v>111</v>
      </c>
      <c r="V159" t="s">
        <v>112</v>
      </c>
      <c r="W159" s="3">
        <v>22</v>
      </c>
      <c r="X159">
        <v>93</v>
      </c>
      <c r="Y159" s="4">
        <v>2046</v>
      </c>
      <c r="Z159" s="3">
        <v>200.50800000000001</v>
      </c>
    </row>
    <row r="160" spans="1:26" x14ac:dyDescent="0.3">
      <c r="A160">
        <v>1182</v>
      </c>
      <c r="B160" s="2">
        <v>41816</v>
      </c>
      <c r="C160">
        <v>26</v>
      </c>
      <c r="D160" t="s">
        <v>140</v>
      </c>
      <c r="E160" t="s">
        <v>141</v>
      </c>
      <c r="F160" t="s">
        <v>115</v>
      </c>
      <c r="G160" t="s">
        <v>116</v>
      </c>
      <c r="H160">
        <v>99999</v>
      </c>
      <c r="I160" t="s">
        <v>30</v>
      </c>
      <c r="J160" t="s">
        <v>94</v>
      </c>
      <c r="K160" t="s">
        <v>95</v>
      </c>
      <c r="L160" s="2">
        <v>41818</v>
      </c>
      <c r="M160" t="s">
        <v>62</v>
      </c>
      <c r="N160" t="s">
        <v>142</v>
      </c>
      <c r="O160" t="s">
        <v>141</v>
      </c>
      <c r="P160" t="s">
        <v>115</v>
      </c>
      <c r="Q160" t="s">
        <v>116</v>
      </c>
      <c r="R160">
        <v>99999</v>
      </c>
      <c r="S160" t="s">
        <v>30</v>
      </c>
      <c r="T160" t="s">
        <v>48</v>
      </c>
      <c r="U160" t="s">
        <v>109</v>
      </c>
      <c r="V160" t="s">
        <v>110</v>
      </c>
      <c r="W160" s="3">
        <v>25</v>
      </c>
      <c r="X160">
        <v>18</v>
      </c>
      <c r="Y160" s="4">
        <v>450</v>
      </c>
      <c r="Z160" s="3">
        <v>42.75</v>
      </c>
    </row>
    <row r="161" spans="1:26" x14ac:dyDescent="0.3">
      <c r="A161">
        <v>1183</v>
      </c>
      <c r="B161" s="2">
        <v>41819</v>
      </c>
      <c r="C161">
        <v>29</v>
      </c>
      <c r="D161" t="s">
        <v>66</v>
      </c>
      <c r="E161" t="s">
        <v>67</v>
      </c>
      <c r="F161" t="s">
        <v>68</v>
      </c>
      <c r="G161" t="s">
        <v>69</v>
      </c>
      <c r="H161">
        <v>99999</v>
      </c>
      <c r="I161" t="s">
        <v>30</v>
      </c>
      <c r="J161" t="s">
        <v>70</v>
      </c>
      <c r="K161" t="s">
        <v>32</v>
      </c>
      <c r="L161" s="2">
        <v>41821</v>
      </c>
      <c r="M161" t="s">
        <v>33</v>
      </c>
      <c r="N161" t="s">
        <v>71</v>
      </c>
      <c r="O161" t="s">
        <v>67</v>
      </c>
      <c r="P161" t="s">
        <v>68</v>
      </c>
      <c r="Q161" t="s">
        <v>69</v>
      </c>
      <c r="R161">
        <v>99999</v>
      </c>
      <c r="S161" t="s">
        <v>30</v>
      </c>
      <c r="T161" t="s">
        <v>35</v>
      </c>
      <c r="U161" t="s">
        <v>143</v>
      </c>
      <c r="V161" t="s">
        <v>144</v>
      </c>
      <c r="W161">
        <v>39</v>
      </c>
      <c r="X161">
        <v>98</v>
      </c>
      <c r="Y161" s="4">
        <v>3822</v>
      </c>
      <c r="Z161" s="3">
        <v>397.48800000000006</v>
      </c>
    </row>
    <row r="162" spans="1:26" x14ac:dyDescent="0.3">
      <c r="A162">
        <v>1184</v>
      </c>
      <c r="B162" s="2">
        <v>41796</v>
      </c>
      <c r="C162">
        <v>6</v>
      </c>
      <c r="D162" t="s">
        <v>82</v>
      </c>
      <c r="E162" t="s">
        <v>83</v>
      </c>
      <c r="F162" t="s">
        <v>84</v>
      </c>
      <c r="G162" t="s">
        <v>85</v>
      </c>
      <c r="H162">
        <v>99999</v>
      </c>
      <c r="I162" t="s">
        <v>30</v>
      </c>
      <c r="J162" t="s">
        <v>86</v>
      </c>
      <c r="K162" t="s">
        <v>61</v>
      </c>
      <c r="L162" s="2">
        <v>41798</v>
      </c>
      <c r="M162" t="s">
        <v>62</v>
      </c>
      <c r="N162" t="s">
        <v>87</v>
      </c>
      <c r="O162" t="s">
        <v>83</v>
      </c>
      <c r="P162" t="s">
        <v>84</v>
      </c>
      <c r="Q162" t="s">
        <v>85</v>
      </c>
      <c r="R162">
        <v>99999</v>
      </c>
      <c r="S162" t="s">
        <v>30</v>
      </c>
      <c r="T162" t="s">
        <v>35</v>
      </c>
      <c r="U162" t="s">
        <v>49</v>
      </c>
      <c r="V162" t="s">
        <v>39</v>
      </c>
      <c r="W162">
        <v>30</v>
      </c>
      <c r="X162">
        <v>46</v>
      </c>
      <c r="Y162" s="4">
        <v>1380</v>
      </c>
      <c r="Z162" s="3">
        <v>135.24</v>
      </c>
    </row>
    <row r="163" spans="1:26" x14ac:dyDescent="0.3">
      <c r="A163">
        <v>1185</v>
      </c>
      <c r="B163" s="2">
        <v>41796</v>
      </c>
      <c r="C163">
        <v>6</v>
      </c>
      <c r="D163" t="s">
        <v>82</v>
      </c>
      <c r="E163" t="s">
        <v>83</v>
      </c>
      <c r="F163" t="s">
        <v>84</v>
      </c>
      <c r="G163" t="s">
        <v>85</v>
      </c>
      <c r="H163">
        <v>99999</v>
      </c>
      <c r="I163" t="s">
        <v>30</v>
      </c>
      <c r="J163" t="s">
        <v>86</v>
      </c>
      <c r="K163" t="s">
        <v>61</v>
      </c>
      <c r="L163" s="2">
        <v>41798</v>
      </c>
      <c r="M163" t="s">
        <v>62</v>
      </c>
      <c r="N163" t="s">
        <v>87</v>
      </c>
      <c r="O163" t="s">
        <v>83</v>
      </c>
      <c r="P163" t="s">
        <v>84</v>
      </c>
      <c r="Q163" t="s">
        <v>85</v>
      </c>
      <c r="R163">
        <v>99999</v>
      </c>
      <c r="S163" t="s">
        <v>30</v>
      </c>
      <c r="T163" t="s">
        <v>35</v>
      </c>
      <c r="U163" t="s">
        <v>50</v>
      </c>
      <c r="V163" t="s">
        <v>39</v>
      </c>
      <c r="W163">
        <v>53</v>
      </c>
      <c r="X163">
        <v>14</v>
      </c>
      <c r="Y163" s="4">
        <v>742</v>
      </c>
      <c r="Z163" s="3">
        <v>74.2</v>
      </c>
    </row>
    <row r="164" spans="1:26" x14ac:dyDescent="0.3">
      <c r="A164">
        <v>1186</v>
      </c>
      <c r="B164" s="2">
        <v>41794</v>
      </c>
      <c r="C164">
        <v>4</v>
      </c>
      <c r="D164" t="s">
        <v>40</v>
      </c>
      <c r="E164" t="s">
        <v>41</v>
      </c>
      <c r="F164" t="s">
        <v>42</v>
      </c>
      <c r="G164" t="s">
        <v>43</v>
      </c>
      <c r="H164">
        <v>99999</v>
      </c>
      <c r="I164" t="s">
        <v>30</v>
      </c>
      <c r="J164" t="s">
        <v>44</v>
      </c>
      <c r="K164" t="s">
        <v>45</v>
      </c>
      <c r="L164" s="2"/>
      <c r="N164" t="s">
        <v>47</v>
      </c>
      <c r="O164" t="s">
        <v>41</v>
      </c>
      <c r="P164" t="s">
        <v>42</v>
      </c>
      <c r="Q164" t="s">
        <v>43</v>
      </c>
      <c r="R164">
        <v>99999</v>
      </c>
      <c r="S164" t="s">
        <v>30</v>
      </c>
      <c r="U164" t="s">
        <v>145</v>
      </c>
      <c r="V164" t="s">
        <v>132</v>
      </c>
      <c r="W164">
        <v>38</v>
      </c>
      <c r="X164">
        <v>85</v>
      </c>
      <c r="Y164" s="4">
        <v>3230</v>
      </c>
      <c r="Z164" s="3">
        <v>319.77</v>
      </c>
    </row>
    <row r="165" spans="1:26" x14ac:dyDescent="0.3">
      <c r="A165">
        <v>1187</v>
      </c>
      <c r="B165" s="2">
        <v>41793</v>
      </c>
      <c r="C165">
        <v>3</v>
      </c>
      <c r="D165" t="s">
        <v>74</v>
      </c>
      <c r="E165" t="s">
        <v>75</v>
      </c>
      <c r="F165" t="s">
        <v>76</v>
      </c>
      <c r="G165" t="s">
        <v>77</v>
      </c>
      <c r="H165">
        <v>99999</v>
      </c>
      <c r="I165" t="s">
        <v>30</v>
      </c>
      <c r="J165" t="s">
        <v>31</v>
      </c>
      <c r="K165" t="s">
        <v>32</v>
      </c>
      <c r="L165" s="2"/>
      <c r="N165" t="s">
        <v>78</v>
      </c>
      <c r="O165" t="s">
        <v>75</v>
      </c>
      <c r="P165" t="s">
        <v>76</v>
      </c>
      <c r="Q165" t="s">
        <v>77</v>
      </c>
      <c r="R165">
        <v>99999</v>
      </c>
      <c r="S165" t="s">
        <v>30</v>
      </c>
      <c r="U165" t="s">
        <v>103</v>
      </c>
      <c r="V165" t="s">
        <v>37</v>
      </c>
      <c r="W165">
        <v>2.99</v>
      </c>
      <c r="X165">
        <v>88</v>
      </c>
      <c r="Y165" s="4">
        <v>263.12</v>
      </c>
      <c r="Z165" s="3">
        <v>25.522639999999999</v>
      </c>
    </row>
    <row r="166" spans="1:26" x14ac:dyDescent="0.3">
      <c r="A166">
        <v>1188</v>
      </c>
      <c r="B166" s="2">
        <v>41821</v>
      </c>
      <c r="C166">
        <v>1</v>
      </c>
      <c r="D166" t="s">
        <v>118</v>
      </c>
      <c r="E166" t="s">
        <v>119</v>
      </c>
      <c r="F166" t="s">
        <v>120</v>
      </c>
      <c r="G166" t="s">
        <v>121</v>
      </c>
      <c r="H166">
        <v>99999</v>
      </c>
      <c r="I166" t="s">
        <v>30</v>
      </c>
      <c r="J166" t="s">
        <v>60</v>
      </c>
      <c r="K166" t="s">
        <v>61</v>
      </c>
      <c r="L166" s="2"/>
      <c r="N166" t="s">
        <v>122</v>
      </c>
      <c r="O166" t="s">
        <v>119</v>
      </c>
      <c r="P166" t="s">
        <v>120</v>
      </c>
      <c r="Q166" t="s">
        <v>121</v>
      </c>
      <c r="R166">
        <v>99999</v>
      </c>
      <c r="S166" t="s">
        <v>30</v>
      </c>
      <c r="U166" t="s">
        <v>103</v>
      </c>
      <c r="V166" t="s">
        <v>37</v>
      </c>
      <c r="W166">
        <v>2.99</v>
      </c>
      <c r="X166">
        <v>81</v>
      </c>
      <c r="Y166" s="4">
        <v>242.19000000000003</v>
      </c>
      <c r="Z166" s="3">
        <v>23.976810000000004</v>
      </c>
    </row>
    <row r="167" spans="1:26" x14ac:dyDescent="0.3">
      <c r="A167">
        <v>1189</v>
      </c>
      <c r="B167" s="2">
        <v>41848</v>
      </c>
      <c r="C167">
        <v>28</v>
      </c>
      <c r="D167" t="s">
        <v>90</v>
      </c>
      <c r="E167" t="s">
        <v>91</v>
      </c>
      <c r="F167" t="s">
        <v>92</v>
      </c>
      <c r="G167" t="s">
        <v>93</v>
      </c>
      <c r="H167">
        <v>99999</v>
      </c>
      <c r="I167" t="s">
        <v>30</v>
      </c>
      <c r="J167" t="s">
        <v>94</v>
      </c>
      <c r="K167" t="s">
        <v>95</v>
      </c>
      <c r="L167" s="2">
        <v>41850</v>
      </c>
      <c r="M167" t="s">
        <v>62</v>
      </c>
      <c r="N167" t="s">
        <v>96</v>
      </c>
      <c r="O167" t="s">
        <v>91</v>
      </c>
      <c r="P167" t="s">
        <v>92</v>
      </c>
      <c r="Q167" t="s">
        <v>93</v>
      </c>
      <c r="R167">
        <v>99999</v>
      </c>
      <c r="S167" t="s">
        <v>30</v>
      </c>
      <c r="T167" t="s">
        <v>48</v>
      </c>
      <c r="U167" t="s">
        <v>80</v>
      </c>
      <c r="V167" t="s">
        <v>81</v>
      </c>
      <c r="W167">
        <v>9.65</v>
      </c>
      <c r="X167">
        <v>33</v>
      </c>
      <c r="Y167" s="4">
        <v>318.45</v>
      </c>
      <c r="Z167" s="3">
        <v>30.252749999999999</v>
      </c>
    </row>
    <row r="168" spans="1:26" x14ac:dyDescent="0.3">
      <c r="A168">
        <v>1190</v>
      </c>
      <c r="B168" s="2">
        <v>41848</v>
      </c>
      <c r="C168">
        <v>28</v>
      </c>
      <c r="D168" t="s">
        <v>90</v>
      </c>
      <c r="E168" t="s">
        <v>91</v>
      </c>
      <c r="F168" t="s">
        <v>92</v>
      </c>
      <c r="G168" t="s">
        <v>93</v>
      </c>
      <c r="H168">
        <v>99999</v>
      </c>
      <c r="I168" t="s">
        <v>30</v>
      </c>
      <c r="J168" t="s">
        <v>94</v>
      </c>
      <c r="K168" t="s">
        <v>95</v>
      </c>
      <c r="L168" s="2">
        <v>41850</v>
      </c>
      <c r="M168" t="s">
        <v>62</v>
      </c>
      <c r="N168" t="s">
        <v>96</v>
      </c>
      <c r="O168" t="s">
        <v>91</v>
      </c>
      <c r="P168" t="s">
        <v>92</v>
      </c>
      <c r="Q168" t="s">
        <v>93</v>
      </c>
      <c r="R168">
        <v>99999</v>
      </c>
      <c r="S168" t="s">
        <v>30</v>
      </c>
      <c r="T168" t="s">
        <v>48</v>
      </c>
      <c r="U168" t="s">
        <v>123</v>
      </c>
      <c r="V168" t="s">
        <v>124</v>
      </c>
      <c r="W168">
        <v>18.399999999999999</v>
      </c>
      <c r="X168">
        <v>47</v>
      </c>
      <c r="Y168" s="4">
        <v>864.8</v>
      </c>
      <c r="Z168" s="3">
        <v>90.804000000000002</v>
      </c>
    </row>
    <row r="169" spans="1:26" x14ac:dyDescent="0.3">
      <c r="A169">
        <v>1191</v>
      </c>
      <c r="B169" s="2">
        <v>41829</v>
      </c>
      <c r="C169">
        <v>9</v>
      </c>
      <c r="D169" t="s">
        <v>125</v>
      </c>
      <c r="E169" t="s">
        <v>126</v>
      </c>
      <c r="F169" t="s">
        <v>127</v>
      </c>
      <c r="G169" t="s">
        <v>128</v>
      </c>
      <c r="H169">
        <v>99999</v>
      </c>
      <c r="I169" t="s">
        <v>30</v>
      </c>
      <c r="J169" t="s">
        <v>129</v>
      </c>
      <c r="K169" t="s">
        <v>32</v>
      </c>
      <c r="L169" s="2">
        <v>41831</v>
      </c>
      <c r="M169" t="s">
        <v>46</v>
      </c>
      <c r="N169" t="s">
        <v>130</v>
      </c>
      <c r="O169" t="s">
        <v>126</v>
      </c>
      <c r="P169" t="s">
        <v>127</v>
      </c>
      <c r="Q169" t="s">
        <v>128</v>
      </c>
      <c r="R169">
        <v>99999</v>
      </c>
      <c r="S169" t="s">
        <v>30</v>
      </c>
      <c r="T169" t="s">
        <v>35</v>
      </c>
      <c r="U169" t="s">
        <v>131</v>
      </c>
      <c r="V169" t="s">
        <v>132</v>
      </c>
      <c r="W169">
        <v>19.5</v>
      </c>
      <c r="X169">
        <v>61</v>
      </c>
      <c r="Y169" s="4">
        <v>1189.5</v>
      </c>
      <c r="Z169" s="3">
        <v>123.70800000000001</v>
      </c>
    </row>
    <row r="170" spans="1:26" x14ac:dyDescent="0.3">
      <c r="A170">
        <v>1192</v>
      </c>
      <c r="B170" s="2">
        <v>41829</v>
      </c>
      <c r="C170">
        <v>9</v>
      </c>
      <c r="D170" t="s">
        <v>125</v>
      </c>
      <c r="E170" t="s">
        <v>126</v>
      </c>
      <c r="F170" t="s">
        <v>127</v>
      </c>
      <c r="G170" t="s">
        <v>128</v>
      </c>
      <c r="H170">
        <v>99999</v>
      </c>
      <c r="I170" t="s">
        <v>30</v>
      </c>
      <c r="J170" t="s">
        <v>129</v>
      </c>
      <c r="K170" t="s">
        <v>32</v>
      </c>
      <c r="L170" s="2">
        <v>41831</v>
      </c>
      <c r="M170" t="s">
        <v>46</v>
      </c>
      <c r="N170" t="s">
        <v>130</v>
      </c>
      <c r="O170" t="s">
        <v>126</v>
      </c>
      <c r="P170" t="s">
        <v>127</v>
      </c>
      <c r="Q170" t="s">
        <v>128</v>
      </c>
      <c r="R170">
        <v>99999</v>
      </c>
      <c r="S170" t="s">
        <v>30</v>
      </c>
      <c r="T170" t="s">
        <v>35</v>
      </c>
      <c r="U170" t="s">
        <v>133</v>
      </c>
      <c r="V170" t="s">
        <v>134</v>
      </c>
      <c r="W170">
        <v>34.799999999999997</v>
      </c>
      <c r="X170">
        <v>27</v>
      </c>
      <c r="Y170" s="4">
        <v>939.59999999999991</v>
      </c>
      <c r="Z170" s="3">
        <v>95.839199999999991</v>
      </c>
    </row>
    <row r="171" spans="1:26" x14ac:dyDescent="0.3">
      <c r="A171">
        <v>1193</v>
      </c>
      <c r="B171" s="2">
        <v>41826</v>
      </c>
      <c r="C171">
        <v>6</v>
      </c>
      <c r="D171" t="s">
        <v>82</v>
      </c>
      <c r="E171" t="s">
        <v>83</v>
      </c>
      <c r="F171" t="s">
        <v>84</v>
      </c>
      <c r="G171" t="s">
        <v>85</v>
      </c>
      <c r="H171">
        <v>99999</v>
      </c>
      <c r="I171" t="s">
        <v>30</v>
      </c>
      <c r="J171" t="s">
        <v>86</v>
      </c>
      <c r="K171" t="s">
        <v>61</v>
      </c>
      <c r="L171" s="2">
        <v>41828</v>
      </c>
      <c r="M171" t="s">
        <v>33</v>
      </c>
      <c r="N171" t="s">
        <v>87</v>
      </c>
      <c r="O171" t="s">
        <v>83</v>
      </c>
      <c r="P171" t="s">
        <v>84</v>
      </c>
      <c r="Q171" t="s">
        <v>85</v>
      </c>
      <c r="R171">
        <v>99999</v>
      </c>
      <c r="S171" t="s">
        <v>30</v>
      </c>
      <c r="T171" t="s">
        <v>48</v>
      </c>
      <c r="U171" t="s">
        <v>36</v>
      </c>
      <c r="V171" t="s">
        <v>37</v>
      </c>
      <c r="W171">
        <v>14</v>
      </c>
      <c r="X171">
        <v>84</v>
      </c>
      <c r="Y171" s="4">
        <v>1176</v>
      </c>
      <c r="Z171" s="3">
        <v>118.77600000000001</v>
      </c>
    </row>
    <row r="172" spans="1:26" x14ac:dyDescent="0.3">
      <c r="A172">
        <v>1194</v>
      </c>
      <c r="B172" s="2">
        <v>41828</v>
      </c>
      <c r="C172">
        <v>8</v>
      </c>
      <c r="D172" t="s">
        <v>56</v>
      </c>
      <c r="E172" t="s">
        <v>57</v>
      </c>
      <c r="F172" t="s">
        <v>58</v>
      </c>
      <c r="G172" t="s">
        <v>59</v>
      </c>
      <c r="H172">
        <v>99999</v>
      </c>
      <c r="I172" t="s">
        <v>30</v>
      </c>
      <c r="J172" t="s">
        <v>60</v>
      </c>
      <c r="K172" t="s">
        <v>61</v>
      </c>
      <c r="L172" s="2">
        <v>41830</v>
      </c>
      <c r="M172" t="s">
        <v>33</v>
      </c>
      <c r="N172" t="s">
        <v>63</v>
      </c>
      <c r="O172" t="s">
        <v>57</v>
      </c>
      <c r="P172" t="s">
        <v>58</v>
      </c>
      <c r="Q172" t="s">
        <v>59</v>
      </c>
      <c r="R172">
        <v>99999</v>
      </c>
      <c r="S172" t="s">
        <v>30</v>
      </c>
      <c r="T172" t="s">
        <v>35</v>
      </c>
      <c r="U172" t="s">
        <v>88</v>
      </c>
      <c r="V172" t="s">
        <v>89</v>
      </c>
      <c r="W172">
        <v>40</v>
      </c>
      <c r="X172">
        <v>91</v>
      </c>
      <c r="Y172" s="4">
        <v>3640</v>
      </c>
      <c r="Z172" s="3">
        <v>360.36</v>
      </c>
    </row>
    <row r="173" spans="1:26" x14ac:dyDescent="0.3">
      <c r="A173">
        <v>1195</v>
      </c>
      <c r="B173" s="2">
        <v>41828</v>
      </c>
      <c r="C173">
        <v>8</v>
      </c>
      <c r="D173" t="s">
        <v>56</v>
      </c>
      <c r="E173" t="s">
        <v>57</v>
      </c>
      <c r="F173" t="s">
        <v>58</v>
      </c>
      <c r="G173" t="s">
        <v>59</v>
      </c>
      <c r="H173">
        <v>99999</v>
      </c>
      <c r="I173" t="s">
        <v>30</v>
      </c>
      <c r="J173" t="s">
        <v>60</v>
      </c>
      <c r="K173" t="s">
        <v>61</v>
      </c>
      <c r="L173" s="2">
        <v>41830</v>
      </c>
      <c r="M173" t="s">
        <v>33</v>
      </c>
      <c r="N173" t="s">
        <v>63</v>
      </c>
      <c r="O173" t="s">
        <v>57</v>
      </c>
      <c r="P173" t="s">
        <v>58</v>
      </c>
      <c r="Q173" t="s">
        <v>59</v>
      </c>
      <c r="R173">
        <v>99999</v>
      </c>
      <c r="S173" t="s">
        <v>30</v>
      </c>
      <c r="T173" t="s">
        <v>35</v>
      </c>
      <c r="U173" t="s">
        <v>64</v>
      </c>
      <c r="V173" t="s">
        <v>65</v>
      </c>
      <c r="W173">
        <v>9.1999999999999993</v>
      </c>
      <c r="X173">
        <v>36</v>
      </c>
      <c r="Y173" s="4">
        <v>331.2</v>
      </c>
      <c r="Z173" s="3">
        <v>34.444800000000001</v>
      </c>
    </row>
    <row r="174" spans="1:26" x14ac:dyDescent="0.3">
      <c r="A174">
        <v>1196</v>
      </c>
      <c r="B174" s="2">
        <v>41845</v>
      </c>
      <c r="C174">
        <v>25</v>
      </c>
      <c r="D174" t="s">
        <v>137</v>
      </c>
      <c r="E174" t="s">
        <v>138</v>
      </c>
      <c r="F174" t="s">
        <v>99</v>
      </c>
      <c r="G174" t="s">
        <v>100</v>
      </c>
      <c r="H174">
        <v>99999</v>
      </c>
      <c r="I174" t="s">
        <v>30</v>
      </c>
      <c r="J174" t="s">
        <v>101</v>
      </c>
      <c r="K174" t="s">
        <v>45</v>
      </c>
      <c r="L174">
        <v>41847</v>
      </c>
      <c r="M174" t="s">
        <v>46</v>
      </c>
      <c r="N174" t="s">
        <v>139</v>
      </c>
      <c r="O174" t="s">
        <v>138</v>
      </c>
      <c r="P174" t="s">
        <v>99</v>
      </c>
      <c r="Q174" t="s">
        <v>100</v>
      </c>
      <c r="R174">
        <v>99999</v>
      </c>
      <c r="S174" t="s">
        <v>30</v>
      </c>
      <c r="T174" t="s">
        <v>79</v>
      </c>
      <c r="U174" t="s">
        <v>146</v>
      </c>
      <c r="V174" t="s">
        <v>65</v>
      </c>
      <c r="W174">
        <v>10</v>
      </c>
      <c r="X174">
        <v>34</v>
      </c>
      <c r="Y174" s="4">
        <v>340</v>
      </c>
      <c r="Z174" s="3">
        <v>34.340000000000003</v>
      </c>
    </row>
    <row r="175" spans="1:26" x14ac:dyDescent="0.3">
      <c r="A175">
        <v>1197</v>
      </c>
      <c r="B175" s="2">
        <v>41846</v>
      </c>
      <c r="C175">
        <v>26</v>
      </c>
      <c r="D175" t="s">
        <v>140</v>
      </c>
      <c r="E175" t="s">
        <v>141</v>
      </c>
      <c r="F175" t="s">
        <v>115</v>
      </c>
      <c r="G175" t="s">
        <v>116</v>
      </c>
      <c r="H175">
        <v>99999</v>
      </c>
      <c r="I175" t="s">
        <v>30</v>
      </c>
      <c r="J175" t="s">
        <v>94</v>
      </c>
      <c r="K175" t="s">
        <v>95</v>
      </c>
      <c r="L175">
        <v>41848</v>
      </c>
      <c r="M175" t="s">
        <v>62</v>
      </c>
      <c r="N175" t="s">
        <v>142</v>
      </c>
      <c r="O175" t="s">
        <v>141</v>
      </c>
      <c r="P175" t="s">
        <v>115</v>
      </c>
      <c r="Q175" t="s">
        <v>116</v>
      </c>
      <c r="R175">
        <v>99999</v>
      </c>
      <c r="S175" t="s">
        <v>30</v>
      </c>
      <c r="T175" t="s">
        <v>48</v>
      </c>
      <c r="U175" t="s">
        <v>147</v>
      </c>
      <c r="V175" t="s">
        <v>148</v>
      </c>
      <c r="W175">
        <v>21.35</v>
      </c>
      <c r="X175">
        <v>81</v>
      </c>
      <c r="Y175" s="4">
        <v>1729.3500000000001</v>
      </c>
      <c r="Z175" s="3">
        <v>178.12305000000003</v>
      </c>
    </row>
    <row r="176" spans="1:26" x14ac:dyDescent="0.3">
      <c r="A176">
        <v>1198</v>
      </c>
      <c r="B176" s="2">
        <v>41846</v>
      </c>
      <c r="C176">
        <v>26</v>
      </c>
      <c r="D176" t="s">
        <v>140</v>
      </c>
      <c r="E176" t="s">
        <v>141</v>
      </c>
      <c r="F176" t="s">
        <v>115</v>
      </c>
      <c r="G176" t="s">
        <v>116</v>
      </c>
      <c r="H176">
        <v>99999</v>
      </c>
      <c r="I176" t="s">
        <v>30</v>
      </c>
      <c r="J176" t="s">
        <v>94</v>
      </c>
      <c r="K176" t="s">
        <v>95</v>
      </c>
      <c r="L176">
        <v>41848</v>
      </c>
      <c r="M176" t="s">
        <v>62</v>
      </c>
      <c r="N176" t="s">
        <v>142</v>
      </c>
      <c r="O176" t="s">
        <v>141</v>
      </c>
      <c r="P176" t="s">
        <v>115</v>
      </c>
      <c r="Q176" t="s">
        <v>116</v>
      </c>
      <c r="R176">
        <v>99999</v>
      </c>
      <c r="S176" t="s">
        <v>30</v>
      </c>
      <c r="T176" t="s">
        <v>48</v>
      </c>
      <c r="U176" t="s">
        <v>80</v>
      </c>
      <c r="V176" t="s">
        <v>81</v>
      </c>
      <c r="W176">
        <v>9.65</v>
      </c>
      <c r="X176">
        <v>25</v>
      </c>
      <c r="Y176" s="4">
        <v>241.25</v>
      </c>
      <c r="Z176" s="3">
        <v>23.401250000000001</v>
      </c>
    </row>
    <row r="177" spans="1:26" x14ac:dyDescent="0.3">
      <c r="A177">
        <v>1199</v>
      </c>
      <c r="B177" s="2">
        <v>41846</v>
      </c>
      <c r="C177">
        <v>26</v>
      </c>
      <c r="D177" t="s">
        <v>140</v>
      </c>
      <c r="E177" t="s">
        <v>141</v>
      </c>
      <c r="F177" t="s">
        <v>115</v>
      </c>
      <c r="G177" t="s">
        <v>116</v>
      </c>
      <c r="H177">
        <v>99999</v>
      </c>
      <c r="I177" t="s">
        <v>30</v>
      </c>
      <c r="J177" t="s">
        <v>94</v>
      </c>
      <c r="K177" t="s">
        <v>95</v>
      </c>
      <c r="L177">
        <v>41848</v>
      </c>
      <c r="M177" t="s">
        <v>62</v>
      </c>
      <c r="N177" t="s">
        <v>142</v>
      </c>
      <c r="O177" t="s">
        <v>141</v>
      </c>
      <c r="P177" t="s">
        <v>115</v>
      </c>
      <c r="Q177" t="s">
        <v>116</v>
      </c>
      <c r="R177">
        <v>99999</v>
      </c>
      <c r="S177" t="s">
        <v>30</v>
      </c>
      <c r="T177" t="s">
        <v>48</v>
      </c>
      <c r="U177" t="s">
        <v>123</v>
      </c>
      <c r="V177" t="s">
        <v>124</v>
      </c>
      <c r="W177">
        <v>18.399999999999999</v>
      </c>
      <c r="X177">
        <v>12</v>
      </c>
      <c r="Y177" s="4">
        <v>220.79999999999998</v>
      </c>
      <c r="Z177" s="3">
        <v>22.08</v>
      </c>
    </row>
    <row r="178" spans="1:26" x14ac:dyDescent="0.3">
      <c r="A178">
        <v>1200</v>
      </c>
      <c r="B178" s="2">
        <v>41849</v>
      </c>
      <c r="C178">
        <v>29</v>
      </c>
      <c r="D178" t="s">
        <v>66</v>
      </c>
      <c r="E178" t="s">
        <v>67</v>
      </c>
      <c r="F178" t="s">
        <v>68</v>
      </c>
      <c r="G178" t="s">
        <v>69</v>
      </c>
      <c r="H178">
        <v>99999</v>
      </c>
      <c r="I178" t="s">
        <v>30</v>
      </c>
      <c r="J178" t="s">
        <v>70</v>
      </c>
      <c r="K178" t="s">
        <v>32</v>
      </c>
      <c r="L178" s="2">
        <v>41851</v>
      </c>
      <c r="M178" t="s">
        <v>33</v>
      </c>
      <c r="N178" t="s">
        <v>71</v>
      </c>
      <c r="O178" t="s">
        <v>67</v>
      </c>
      <c r="P178" t="s">
        <v>68</v>
      </c>
      <c r="Q178" t="s">
        <v>69</v>
      </c>
      <c r="R178">
        <v>99999</v>
      </c>
      <c r="S178" t="s">
        <v>30</v>
      </c>
      <c r="T178" t="s">
        <v>35</v>
      </c>
      <c r="U178" t="s">
        <v>36</v>
      </c>
      <c r="V178" t="s">
        <v>37</v>
      </c>
      <c r="W178">
        <v>14</v>
      </c>
      <c r="X178">
        <v>23</v>
      </c>
      <c r="Y178" s="4">
        <v>322</v>
      </c>
      <c r="Z178" s="3">
        <v>30.912000000000003</v>
      </c>
    </row>
    <row r="179" spans="1:26" x14ac:dyDescent="0.3">
      <c r="A179">
        <v>1201</v>
      </c>
      <c r="B179" s="2">
        <v>41826</v>
      </c>
      <c r="C179">
        <v>6</v>
      </c>
      <c r="D179" t="s">
        <v>82</v>
      </c>
      <c r="E179" t="s">
        <v>83</v>
      </c>
      <c r="F179" t="s">
        <v>84</v>
      </c>
      <c r="G179" t="s">
        <v>85</v>
      </c>
      <c r="H179">
        <v>99999</v>
      </c>
      <c r="I179" t="s">
        <v>30</v>
      </c>
      <c r="J179" t="s">
        <v>86</v>
      </c>
      <c r="K179" t="s">
        <v>61</v>
      </c>
      <c r="L179" s="2">
        <v>41828</v>
      </c>
      <c r="M179" t="s">
        <v>62</v>
      </c>
      <c r="N179" t="s">
        <v>87</v>
      </c>
      <c r="O179" t="s">
        <v>83</v>
      </c>
      <c r="P179" t="s">
        <v>84</v>
      </c>
      <c r="Q179" t="s">
        <v>85</v>
      </c>
      <c r="R179">
        <v>99999</v>
      </c>
      <c r="S179" t="s">
        <v>30</v>
      </c>
      <c r="T179" t="s">
        <v>35</v>
      </c>
      <c r="U179" t="s">
        <v>72</v>
      </c>
      <c r="V179" t="s">
        <v>73</v>
      </c>
      <c r="W179">
        <v>12.75</v>
      </c>
      <c r="X179">
        <v>76</v>
      </c>
      <c r="Y179" s="4">
        <v>969</v>
      </c>
      <c r="Z179" s="3">
        <v>97.869</v>
      </c>
    </row>
    <row r="180" spans="1:26" x14ac:dyDescent="0.3">
      <c r="A180">
        <v>1203</v>
      </c>
      <c r="B180" s="2">
        <v>41824</v>
      </c>
      <c r="C180">
        <v>4</v>
      </c>
      <c r="D180" t="s">
        <v>40</v>
      </c>
      <c r="E180" t="s">
        <v>41</v>
      </c>
      <c r="F180" t="s">
        <v>42</v>
      </c>
      <c r="G180" t="s">
        <v>43</v>
      </c>
      <c r="H180">
        <v>99999</v>
      </c>
      <c r="I180" t="s">
        <v>30</v>
      </c>
      <c r="J180" t="s">
        <v>44</v>
      </c>
      <c r="K180" t="s">
        <v>45</v>
      </c>
      <c r="L180" s="2">
        <v>41826</v>
      </c>
      <c r="M180" t="s">
        <v>46</v>
      </c>
      <c r="N180" t="s">
        <v>47</v>
      </c>
      <c r="O180" t="s">
        <v>41</v>
      </c>
      <c r="P180" t="s">
        <v>42</v>
      </c>
      <c r="Q180" t="s">
        <v>43</v>
      </c>
      <c r="R180">
        <v>99999</v>
      </c>
      <c r="S180" t="s">
        <v>30</v>
      </c>
      <c r="T180" t="s">
        <v>48</v>
      </c>
      <c r="U180" t="s">
        <v>149</v>
      </c>
      <c r="V180" t="s">
        <v>110</v>
      </c>
      <c r="W180">
        <v>81</v>
      </c>
      <c r="X180">
        <v>55</v>
      </c>
      <c r="Y180" s="4">
        <v>4455</v>
      </c>
      <c r="Z180" s="3">
        <v>445.5</v>
      </c>
    </row>
    <row r="181" spans="1:26" x14ac:dyDescent="0.3">
      <c r="A181">
        <v>1204</v>
      </c>
      <c r="B181" s="2">
        <v>41824</v>
      </c>
      <c r="C181">
        <v>4</v>
      </c>
      <c r="D181" t="s">
        <v>40</v>
      </c>
      <c r="E181" t="s">
        <v>41</v>
      </c>
      <c r="F181" t="s">
        <v>42</v>
      </c>
      <c r="G181" t="s">
        <v>43</v>
      </c>
      <c r="H181">
        <v>99999</v>
      </c>
      <c r="I181" t="s">
        <v>30</v>
      </c>
      <c r="J181" t="s">
        <v>44</v>
      </c>
      <c r="K181" t="s">
        <v>45</v>
      </c>
      <c r="L181" s="2">
        <v>41826</v>
      </c>
      <c r="M181" t="s">
        <v>46</v>
      </c>
      <c r="N181" t="s">
        <v>47</v>
      </c>
      <c r="O181" t="s">
        <v>41</v>
      </c>
      <c r="P181" t="s">
        <v>42</v>
      </c>
      <c r="Q181" t="s">
        <v>43</v>
      </c>
      <c r="R181">
        <v>99999</v>
      </c>
      <c r="S181" t="s">
        <v>30</v>
      </c>
      <c r="T181" t="s">
        <v>48</v>
      </c>
      <c r="U181" t="s">
        <v>150</v>
      </c>
      <c r="V181" t="s">
        <v>151</v>
      </c>
      <c r="W181">
        <v>7</v>
      </c>
      <c r="X181">
        <v>19</v>
      </c>
      <c r="Y181" s="4">
        <v>133</v>
      </c>
      <c r="Z181" s="3">
        <v>12.901</v>
      </c>
    </row>
    <row r="182" spans="1:26" x14ac:dyDescent="0.3">
      <c r="A182">
        <v>1206</v>
      </c>
      <c r="B182" s="2">
        <v>41828</v>
      </c>
      <c r="C182">
        <v>8</v>
      </c>
      <c r="D182" t="s">
        <v>56</v>
      </c>
      <c r="E182" t="s">
        <v>57</v>
      </c>
      <c r="F182" t="s">
        <v>58</v>
      </c>
      <c r="G182" t="s">
        <v>59</v>
      </c>
      <c r="H182">
        <v>99999</v>
      </c>
      <c r="I182" t="s">
        <v>30</v>
      </c>
      <c r="J182" t="s">
        <v>60</v>
      </c>
      <c r="K182" t="s">
        <v>61</v>
      </c>
      <c r="L182" s="2">
        <v>41830</v>
      </c>
      <c r="M182" t="s">
        <v>62</v>
      </c>
      <c r="N182" t="s">
        <v>63</v>
      </c>
      <c r="O182" t="s">
        <v>57</v>
      </c>
      <c r="P182" t="s">
        <v>58</v>
      </c>
      <c r="Q182" t="s">
        <v>59</v>
      </c>
      <c r="R182">
        <v>99999</v>
      </c>
      <c r="S182" t="s">
        <v>30</v>
      </c>
      <c r="T182" t="s">
        <v>48</v>
      </c>
      <c r="U182" t="s">
        <v>133</v>
      </c>
      <c r="V182" t="s">
        <v>134</v>
      </c>
      <c r="W182">
        <v>34.799999999999997</v>
      </c>
      <c r="X182">
        <v>27</v>
      </c>
      <c r="Y182" s="4">
        <v>939.59999999999991</v>
      </c>
      <c r="Z182" s="3">
        <v>89.261999999999986</v>
      </c>
    </row>
    <row r="183" spans="1:26" x14ac:dyDescent="0.3">
      <c r="A183">
        <v>1209</v>
      </c>
      <c r="B183" s="2">
        <v>41823</v>
      </c>
      <c r="C183">
        <v>3</v>
      </c>
      <c r="D183" t="s">
        <v>74</v>
      </c>
      <c r="E183" t="s">
        <v>75</v>
      </c>
      <c r="F183" t="s">
        <v>76</v>
      </c>
      <c r="G183" t="s">
        <v>77</v>
      </c>
      <c r="H183">
        <v>99999</v>
      </c>
      <c r="I183" t="s">
        <v>30</v>
      </c>
      <c r="J183" t="s">
        <v>31</v>
      </c>
      <c r="K183" t="s">
        <v>32</v>
      </c>
      <c r="L183" s="2">
        <v>41825</v>
      </c>
      <c r="M183" t="s">
        <v>33</v>
      </c>
      <c r="N183" t="s">
        <v>78</v>
      </c>
      <c r="O183" t="s">
        <v>75</v>
      </c>
      <c r="P183" t="s">
        <v>76</v>
      </c>
      <c r="Q183" t="s">
        <v>77</v>
      </c>
      <c r="R183">
        <v>99999</v>
      </c>
      <c r="S183" t="s">
        <v>30</v>
      </c>
      <c r="T183" t="s">
        <v>79</v>
      </c>
      <c r="U183" t="s">
        <v>135</v>
      </c>
      <c r="V183" t="s">
        <v>112</v>
      </c>
      <c r="W183">
        <v>10</v>
      </c>
      <c r="X183">
        <v>99</v>
      </c>
      <c r="Y183" s="4">
        <v>990</v>
      </c>
      <c r="Z183" s="3">
        <v>95.039999999999992</v>
      </c>
    </row>
    <row r="184" spans="1:26" x14ac:dyDescent="0.3">
      <c r="A184">
        <v>1210</v>
      </c>
      <c r="B184" s="2">
        <v>41823</v>
      </c>
      <c r="C184">
        <v>3</v>
      </c>
      <c r="D184" t="s">
        <v>74</v>
      </c>
      <c r="E184" t="s">
        <v>75</v>
      </c>
      <c r="F184" t="s">
        <v>76</v>
      </c>
      <c r="G184" t="s">
        <v>77</v>
      </c>
      <c r="H184">
        <v>99999</v>
      </c>
      <c r="I184" t="s">
        <v>30</v>
      </c>
      <c r="J184" t="s">
        <v>31</v>
      </c>
      <c r="K184" t="s">
        <v>32</v>
      </c>
      <c r="L184" s="2">
        <v>41825</v>
      </c>
      <c r="M184" t="s">
        <v>33</v>
      </c>
      <c r="N184" t="s">
        <v>78</v>
      </c>
      <c r="O184" t="s">
        <v>75</v>
      </c>
      <c r="P184" t="s">
        <v>76</v>
      </c>
      <c r="Q184" t="s">
        <v>77</v>
      </c>
      <c r="R184">
        <v>99999</v>
      </c>
      <c r="S184" t="s">
        <v>30</v>
      </c>
      <c r="T184" t="s">
        <v>79</v>
      </c>
      <c r="U184" t="s">
        <v>88</v>
      </c>
      <c r="V184" t="s">
        <v>89</v>
      </c>
      <c r="W184">
        <v>40</v>
      </c>
      <c r="X184">
        <v>10</v>
      </c>
      <c r="Y184" s="4">
        <v>400</v>
      </c>
      <c r="Z184" s="3">
        <v>40</v>
      </c>
    </row>
    <row r="185" spans="1:26" x14ac:dyDescent="0.3">
      <c r="A185">
        <v>1214</v>
      </c>
      <c r="B185" s="2">
        <v>41830</v>
      </c>
      <c r="C185">
        <v>10</v>
      </c>
      <c r="D185" t="s">
        <v>97</v>
      </c>
      <c r="E185" t="s">
        <v>98</v>
      </c>
      <c r="F185" t="s">
        <v>99</v>
      </c>
      <c r="G185" t="s">
        <v>100</v>
      </c>
      <c r="H185">
        <v>99999</v>
      </c>
      <c r="I185" t="s">
        <v>30</v>
      </c>
      <c r="J185" t="s">
        <v>101</v>
      </c>
      <c r="K185" t="s">
        <v>45</v>
      </c>
      <c r="L185" s="2">
        <v>41832</v>
      </c>
      <c r="M185" t="s">
        <v>33</v>
      </c>
      <c r="N185" t="s">
        <v>102</v>
      </c>
      <c r="O185" t="s">
        <v>98</v>
      </c>
      <c r="P185" t="s">
        <v>99</v>
      </c>
      <c r="Q185" t="s">
        <v>100</v>
      </c>
      <c r="R185">
        <v>99999</v>
      </c>
      <c r="S185" t="s">
        <v>30</v>
      </c>
      <c r="T185" t="s">
        <v>48</v>
      </c>
      <c r="U185" t="s">
        <v>136</v>
      </c>
      <c r="V185" t="s">
        <v>39</v>
      </c>
      <c r="W185">
        <v>10</v>
      </c>
      <c r="X185">
        <v>80</v>
      </c>
      <c r="Y185" s="4">
        <v>800</v>
      </c>
      <c r="Z185" s="3">
        <v>77.599999999999994</v>
      </c>
    </row>
    <row r="186" spans="1:26" x14ac:dyDescent="0.3">
      <c r="A186">
        <v>1216</v>
      </c>
      <c r="B186" s="2">
        <v>41830</v>
      </c>
      <c r="C186">
        <v>10</v>
      </c>
      <c r="D186" t="s">
        <v>97</v>
      </c>
      <c r="E186" t="s">
        <v>98</v>
      </c>
      <c r="F186" t="s">
        <v>99</v>
      </c>
      <c r="G186" t="s">
        <v>100</v>
      </c>
      <c r="H186">
        <v>99999</v>
      </c>
      <c r="I186" t="s">
        <v>30</v>
      </c>
      <c r="J186" t="s">
        <v>101</v>
      </c>
      <c r="K186" t="s">
        <v>45</v>
      </c>
      <c r="L186" s="2"/>
      <c r="M186" t="s">
        <v>46</v>
      </c>
      <c r="N186" t="s">
        <v>102</v>
      </c>
      <c r="O186" t="s">
        <v>98</v>
      </c>
      <c r="P186" t="s">
        <v>99</v>
      </c>
      <c r="Q186" t="s">
        <v>100</v>
      </c>
      <c r="R186">
        <v>99999</v>
      </c>
      <c r="S186" t="s">
        <v>30</v>
      </c>
      <c r="U186" t="s">
        <v>38</v>
      </c>
      <c r="V186" t="s">
        <v>39</v>
      </c>
      <c r="W186">
        <v>3.5</v>
      </c>
      <c r="X186">
        <v>27</v>
      </c>
      <c r="Y186" s="4">
        <v>94.5</v>
      </c>
      <c r="Z186" s="3">
        <v>9.072000000000001</v>
      </c>
    </row>
    <row r="187" spans="1:26" x14ac:dyDescent="0.3">
      <c r="A187">
        <v>1217</v>
      </c>
      <c r="B187" s="2">
        <v>41831</v>
      </c>
      <c r="C187">
        <v>11</v>
      </c>
      <c r="D187" t="s">
        <v>113</v>
      </c>
      <c r="E187" t="s">
        <v>114</v>
      </c>
      <c r="F187" t="s">
        <v>115</v>
      </c>
      <c r="G187" t="s">
        <v>116</v>
      </c>
      <c r="H187">
        <v>99999</v>
      </c>
      <c r="I187" t="s">
        <v>30</v>
      </c>
      <c r="J187" t="s">
        <v>94</v>
      </c>
      <c r="K187" t="s">
        <v>95</v>
      </c>
      <c r="M187" t="s">
        <v>62</v>
      </c>
      <c r="N187" t="s">
        <v>117</v>
      </c>
      <c r="O187" t="s">
        <v>114</v>
      </c>
      <c r="P187" t="s">
        <v>115</v>
      </c>
      <c r="Q187" t="s">
        <v>116</v>
      </c>
      <c r="R187">
        <v>99999</v>
      </c>
      <c r="S187" t="s">
        <v>30</v>
      </c>
      <c r="U187" t="s">
        <v>88</v>
      </c>
      <c r="V187" t="s">
        <v>89</v>
      </c>
      <c r="W187">
        <v>40</v>
      </c>
      <c r="X187">
        <v>97</v>
      </c>
      <c r="Y187" s="4">
        <v>3880</v>
      </c>
      <c r="Z187" s="3">
        <v>380.24</v>
      </c>
    </row>
    <row r="188" spans="1:26" x14ac:dyDescent="0.3">
      <c r="A188">
        <v>1218</v>
      </c>
      <c r="B188" s="2">
        <v>41821</v>
      </c>
      <c r="C188">
        <v>1</v>
      </c>
      <c r="D188" t="s">
        <v>118</v>
      </c>
      <c r="E188" t="s">
        <v>119</v>
      </c>
      <c r="F188" t="s">
        <v>120</v>
      </c>
      <c r="G188" t="s">
        <v>121</v>
      </c>
      <c r="H188">
        <v>99999</v>
      </c>
      <c r="I188" t="s">
        <v>30</v>
      </c>
      <c r="J188" t="s">
        <v>60</v>
      </c>
      <c r="K188" t="s">
        <v>61</v>
      </c>
      <c r="M188" t="s">
        <v>62</v>
      </c>
      <c r="N188" t="s">
        <v>122</v>
      </c>
      <c r="O188" t="s">
        <v>119</v>
      </c>
      <c r="P188" t="s">
        <v>120</v>
      </c>
      <c r="Q188" t="s">
        <v>121</v>
      </c>
      <c r="R188">
        <v>99999</v>
      </c>
      <c r="S188" t="s">
        <v>30</v>
      </c>
      <c r="U188" t="s">
        <v>123</v>
      </c>
      <c r="V188" t="s">
        <v>124</v>
      </c>
      <c r="W188">
        <v>18.399999999999999</v>
      </c>
      <c r="X188">
        <v>42</v>
      </c>
      <c r="Y188" s="4">
        <v>772.8</v>
      </c>
      <c r="Z188" s="3">
        <v>80.371200000000002</v>
      </c>
    </row>
    <row r="189" spans="1:26" x14ac:dyDescent="0.3">
      <c r="A189">
        <v>1219</v>
      </c>
      <c r="B189" s="2">
        <v>41848</v>
      </c>
      <c r="C189">
        <v>28</v>
      </c>
      <c r="D189" t="s">
        <v>90</v>
      </c>
      <c r="E189" t="s">
        <v>91</v>
      </c>
      <c r="F189" t="s">
        <v>92</v>
      </c>
      <c r="G189" t="s">
        <v>93</v>
      </c>
      <c r="H189">
        <v>99999</v>
      </c>
      <c r="I189" t="s">
        <v>30</v>
      </c>
      <c r="J189" t="s">
        <v>94</v>
      </c>
      <c r="K189" t="s">
        <v>95</v>
      </c>
      <c r="L189">
        <v>41850</v>
      </c>
      <c r="M189" t="s">
        <v>62</v>
      </c>
      <c r="N189" t="s">
        <v>96</v>
      </c>
      <c r="O189" t="s">
        <v>91</v>
      </c>
      <c r="P189" t="s">
        <v>92</v>
      </c>
      <c r="Q189" t="s">
        <v>93</v>
      </c>
      <c r="R189">
        <v>99999</v>
      </c>
      <c r="S189" t="s">
        <v>30</v>
      </c>
      <c r="T189" t="s">
        <v>48</v>
      </c>
      <c r="U189" t="s">
        <v>55</v>
      </c>
      <c r="V189" t="s">
        <v>37</v>
      </c>
      <c r="W189" s="3">
        <v>46</v>
      </c>
      <c r="X189">
        <v>24</v>
      </c>
      <c r="Y189" s="4">
        <v>1104</v>
      </c>
      <c r="Z189" s="3">
        <v>105.98399999999999</v>
      </c>
    </row>
    <row r="190" spans="1:26" x14ac:dyDescent="0.3">
      <c r="A190">
        <v>1220</v>
      </c>
      <c r="B190" s="2">
        <v>41829</v>
      </c>
      <c r="C190">
        <v>9</v>
      </c>
      <c r="D190" t="s">
        <v>125</v>
      </c>
      <c r="E190" t="s">
        <v>126</v>
      </c>
      <c r="F190" t="s">
        <v>127</v>
      </c>
      <c r="G190" t="s">
        <v>128</v>
      </c>
      <c r="H190">
        <v>99999</v>
      </c>
      <c r="I190" t="s">
        <v>30</v>
      </c>
      <c r="J190" t="s">
        <v>129</v>
      </c>
      <c r="K190" t="s">
        <v>32</v>
      </c>
      <c r="L190" s="2">
        <v>41831</v>
      </c>
      <c r="M190" t="s">
        <v>46</v>
      </c>
      <c r="N190" t="s">
        <v>130</v>
      </c>
      <c r="O190" t="s">
        <v>126</v>
      </c>
      <c r="P190" t="s">
        <v>127</v>
      </c>
      <c r="Q190" t="s">
        <v>128</v>
      </c>
      <c r="R190">
        <v>99999</v>
      </c>
      <c r="S190" t="s">
        <v>30</v>
      </c>
      <c r="T190" t="s">
        <v>35</v>
      </c>
      <c r="U190" t="s">
        <v>80</v>
      </c>
      <c r="V190" t="s">
        <v>81</v>
      </c>
      <c r="W190" s="3">
        <v>9.65</v>
      </c>
      <c r="X190">
        <v>90</v>
      </c>
      <c r="Y190" s="4">
        <v>868.5</v>
      </c>
      <c r="Z190" s="3">
        <v>83.376000000000005</v>
      </c>
    </row>
    <row r="191" spans="1:26" x14ac:dyDescent="0.3">
      <c r="A191">
        <v>1221</v>
      </c>
      <c r="B191" s="2">
        <v>41826</v>
      </c>
      <c r="C191">
        <v>6</v>
      </c>
      <c r="D191" t="s">
        <v>82</v>
      </c>
      <c r="E191" t="s">
        <v>83</v>
      </c>
      <c r="F191" t="s">
        <v>84</v>
      </c>
      <c r="G191" t="s">
        <v>85</v>
      </c>
      <c r="H191">
        <v>99999</v>
      </c>
      <c r="I191" t="s">
        <v>30</v>
      </c>
      <c r="J191" t="s">
        <v>86</v>
      </c>
      <c r="K191" t="s">
        <v>61</v>
      </c>
      <c r="L191" s="2">
        <v>41828</v>
      </c>
      <c r="M191" t="s">
        <v>33</v>
      </c>
      <c r="N191" t="s">
        <v>87</v>
      </c>
      <c r="O191" t="s">
        <v>83</v>
      </c>
      <c r="P191" t="s">
        <v>84</v>
      </c>
      <c r="Q191" t="s">
        <v>85</v>
      </c>
      <c r="R191">
        <v>99999</v>
      </c>
      <c r="S191" t="s">
        <v>30</v>
      </c>
      <c r="T191" t="s">
        <v>48</v>
      </c>
      <c r="U191" t="s">
        <v>72</v>
      </c>
      <c r="V191" t="s">
        <v>73</v>
      </c>
      <c r="W191" s="3">
        <v>12.75</v>
      </c>
      <c r="X191">
        <v>28</v>
      </c>
      <c r="Y191" s="4">
        <v>357</v>
      </c>
      <c r="Z191" s="3">
        <v>35.700000000000003</v>
      </c>
    </row>
    <row r="192" spans="1:26" x14ac:dyDescent="0.3">
      <c r="A192">
        <v>1222</v>
      </c>
      <c r="B192" s="2">
        <v>41879</v>
      </c>
      <c r="C192">
        <v>28</v>
      </c>
      <c r="D192" t="s">
        <v>90</v>
      </c>
      <c r="E192" t="s">
        <v>91</v>
      </c>
      <c r="F192" t="s">
        <v>92</v>
      </c>
      <c r="G192" t="s">
        <v>93</v>
      </c>
      <c r="H192">
        <v>99999</v>
      </c>
      <c r="I192" t="s">
        <v>30</v>
      </c>
      <c r="J192" t="s">
        <v>94</v>
      </c>
      <c r="K192" t="s">
        <v>95</v>
      </c>
      <c r="L192" s="2">
        <v>41881</v>
      </c>
      <c r="M192" t="s">
        <v>62</v>
      </c>
      <c r="N192" t="s">
        <v>96</v>
      </c>
      <c r="O192" t="s">
        <v>91</v>
      </c>
      <c r="P192" t="s">
        <v>92</v>
      </c>
      <c r="Q192" t="s">
        <v>93</v>
      </c>
      <c r="R192">
        <v>99999</v>
      </c>
      <c r="S192" t="s">
        <v>30</v>
      </c>
      <c r="T192" t="s">
        <v>35</v>
      </c>
      <c r="U192" t="s">
        <v>55</v>
      </c>
      <c r="V192" t="s">
        <v>37</v>
      </c>
      <c r="W192" s="3">
        <v>46</v>
      </c>
      <c r="X192">
        <v>28</v>
      </c>
      <c r="Y192" s="4">
        <v>1288</v>
      </c>
      <c r="Z192" s="3">
        <v>133.95200000000003</v>
      </c>
    </row>
    <row r="193" spans="1:26" x14ac:dyDescent="0.3">
      <c r="A193">
        <v>1223</v>
      </c>
      <c r="B193" s="2">
        <v>41859</v>
      </c>
      <c r="C193">
        <v>8</v>
      </c>
      <c r="D193" t="s">
        <v>56</v>
      </c>
      <c r="E193" t="s">
        <v>57</v>
      </c>
      <c r="F193" t="s">
        <v>58</v>
      </c>
      <c r="G193" t="s">
        <v>59</v>
      </c>
      <c r="H193">
        <v>99999</v>
      </c>
      <c r="I193" t="s">
        <v>30</v>
      </c>
      <c r="J193" t="s">
        <v>60</v>
      </c>
      <c r="K193" t="s">
        <v>61</v>
      </c>
      <c r="L193" s="2">
        <v>41861</v>
      </c>
      <c r="M193" t="s">
        <v>62</v>
      </c>
      <c r="N193" t="s">
        <v>63</v>
      </c>
      <c r="O193" t="s">
        <v>57</v>
      </c>
      <c r="P193" t="s">
        <v>58</v>
      </c>
      <c r="Q193" t="s">
        <v>59</v>
      </c>
      <c r="R193">
        <v>99999</v>
      </c>
      <c r="S193" t="s">
        <v>30</v>
      </c>
      <c r="T193" t="s">
        <v>35</v>
      </c>
      <c r="U193" t="s">
        <v>72</v>
      </c>
      <c r="V193" t="s">
        <v>73</v>
      </c>
      <c r="W193" s="3">
        <v>12.75</v>
      </c>
      <c r="X193">
        <v>57</v>
      </c>
      <c r="Y193" s="4">
        <v>726.75</v>
      </c>
      <c r="Z193" s="3">
        <v>69.768000000000001</v>
      </c>
    </row>
    <row r="194" spans="1:26" x14ac:dyDescent="0.3">
      <c r="A194">
        <v>1224</v>
      </c>
      <c r="B194" s="2">
        <v>41861</v>
      </c>
      <c r="C194">
        <v>10</v>
      </c>
      <c r="D194" t="s">
        <v>97</v>
      </c>
      <c r="E194" t="s">
        <v>98</v>
      </c>
      <c r="F194" t="s">
        <v>99</v>
      </c>
      <c r="G194" t="s">
        <v>100</v>
      </c>
      <c r="H194">
        <v>99999</v>
      </c>
      <c r="I194" t="s">
        <v>30</v>
      </c>
      <c r="J194" t="s">
        <v>101</v>
      </c>
      <c r="K194" t="s">
        <v>45</v>
      </c>
      <c r="L194" s="2">
        <v>41863</v>
      </c>
      <c r="M194" t="s">
        <v>33</v>
      </c>
      <c r="N194" t="s">
        <v>102</v>
      </c>
      <c r="O194" t="s">
        <v>98</v>
      </c>
      <c r="P194" t="s">
        <v>99</v>
      </c>
      <c r="Q194" t="s">
        <v>100</v>
      </c>
      <c r="R194">
        <v>99999</v>
      </c>
      <c r="S194" t="s">
        <v>30</v>
      </c>
      <c r="T194" t="s">
        <v>48</v>
      </c>
      <c r="U194" t="s">
        <v>103</v>
      </c>
      <c r="V194" t="s">
        <v>37</v>
      </c>
      <c r="W194" s="3">
        <v>2.99</v>
      </c>
      <c r="X194">
        <v>23</v>
      </c>
      <c r="Y194" s="4">
        <v>68.77000000000001</v>
      </c>
      <c r="Z194" s="3">
        <v>6.6706900000000013</v>
      </c>
    </row>
    <row r="195" spans="1:26" x14ac:dyDescent="0.3">
      <c r="A195">
        <v>1225</v>
      </c>
      <c r="B195" s="2">
        <v>41858</v>
      </c>
      <c r="C195">
        <v>7</v>
      </c>
      <c r="D195" t="s">
        <v>104</v>
      </c>
      <c r="E195" t="s">
        <v>105</v>
      </c>
      <c r="F195" t="s">
        <v>106</v>
      </c>
      <c r="G195" t="s">
        <v>107</v>
      </c>
      <c r="H195">
        <v>99999</v>
      </c>
      <c r="I195" t="s">
        <v>30</v>
      </c>
      <c r="J195" t="s">
        <v>60</v>
      </c>
      <c r="K195" t="s">
        <v>61</v>
      </c>
      <c r="L195" s="2"/>
      <c r="N195" t="s">
        <v>108</v>
      </c>
      <c r="O195" t="s">
        <v>105</v>
      </c>
      <c r="P195" t="s">
        <v>106</v>
      </c>
      <c r="Q195" t="s">
        <v>107</v>
      </c>
      <c r="R195">
        <v>99999</v>
      </c>
      <c r="S195" t="s">
        <v>30</v>
      </c>
      <c r="U195" t="s">
        <v>55</v>
      </c>
      <c r="V195" t="s">
        <v>37</v>
      </c>
      <c r="W195" s="3">
        <v>46</v>
      </c>
      <c r="X195">
        <v>86</v>
      </c>
      <c r="Y195" s="4">
        <v>3956</v>
      </c>
      <c r="Z195" s="3">
        <v>399.55600000000004</v>
      </c>
    </row>
    <row r="196" spans="1:26" x14ac:dyDescent="0.3">
      <c r="A196">
        <v>1226</v>
      </c>
      <c r="B196" s="2">
        <v>41861</v>
      </c>
      <c r="C196">
        <v>10</v>
      </c>
      <c r="D196" t="s">
        <v>97</v>
      </c>
      <c r="E196" t="s">
        <v>98</v>
      </c>
      <c r="F196" t="s">
        <v>99</v>
      </c>
      <c r="G196" t="s">
        <v>100</v>
      </c>
      <c r="H196">
        <v>99999</v>
      </c>
      <c r="I196" t="s">
        <v>30</v>
      </c>
      <c r="J196" t="s">
        <v>101</v>
      </c>
      <c r="K196" t="s">
        <v>45</v>
      </c>
      <c r="L196" s="2">
        <v>41863</v>
      </c>
      <c r="M196" t="s">
        <v>46</v>
      </c>
      <c r="N196" t="s">
        <v>102</v>
      </c>
      <c r="O196" t="s">
        <v>98</v>
      </c>
      <c r="P196" t="s">
        <v>99</v>
      </c>
      <c r="Q196" t="s">
        <v>100</v>
      </c>
      <c r="R196">
        <v>99999</v>
      </c>
      <c r="S196" t="s">
        <v>30</v>
      </c>
      <c r="U196" t="s">
        <v>109</v>
      </c>
      <c r="V196" t="s">
        <v>110</v>
      </c>
      <c r="W196" s="3">
        <v>25</v>
      </c>
      <c r="X196">
        <v>47</v>
      </c>
      <c r="Y196" s="4">
        <v>1175</v>
      </c>
      <c r="Z196" s="3">
        <v>116.325</v>
      </c>
    </row>
    <row r="197" spans="1:26" x14ac:dyDescent="0.3">
      <c r="A197">
        <v>1227</v>
      </c>
      <c r="B197" s="2">
        <v>41861</v>
      </c>
      <c r="C197">
        <v>10</v>
      </c>
      <c r="D197" t="s">
        <v>97</v>
      </c>
      <c r="E197" t="s">
        <v>98</v>
      </c>
      <c r="F197" t="s">
        <v>99</v>
      </c>
      <c r="G197" t="s">
        <v>100</v>
      </c>
      <c r="H197">
        <v>99999</v>
      </c>
      <c r="I197" t="s">
        <v>30</v>
      </c>
      <c r="J197" t="s">
        <v>101</v>
      </c>
      <c r="K197" t="s">
        <v>45</v>
      </c>
      <c r="L197" s="2">
        <v>41863</v>
      </c>
      <c r="M197" t="s">
        <v>46</v>
      </c>
      <c r="N197" t="s">
        <v>102</v>
      </c>
      <c r="O197" t="s">
        <v>98</v>
      </c>
      <c r="P197" t="s">
        <v>99</v>
      </c>
      <c r="Q197" t="s">
        <v>100</v>
      </c>
      <c r="R197">
        <v>99999</v>
      </c>
      <c r="S197" t="s">
        <v>30</v>
      </c>
      <c r="U197" t="s">
        <v>111</v>
      </c>
      <c r="V197" t="s">
        <v>112</v>
      </c>
      <c r="W197" s="3">
        <v>22</v>
      </c>
      <c r="X197">
        <v>97</v>
      </c>
      <c r="Y197" s="4">
        <v>2134</v>
      </c>
      <c r="Z197" s="3">
        <v>221.93600000000001</v>
      </c>
    </row>
    <row r="198" spans="1:26" x14ac:dyDescent="0.3">
      <c r="A198">
        <v>1228</v>
      </c>
      <c r="B198" s="2">
        <v>41861</v>
      </c>
      <c r="C198">
        <v>10</v>
      </c>
      <c r="D198" t="s">
        <v>97</v>
      </c>
      <c r="E198" t="s">
        <v>98</v>
      </c>
      <c r="F198" t="s">
        <v>99</v>
      </c>
      <c r="G198" t="s">
        <v>100</v>
      </c>
      <c r="H198">
        <v>99999</v>
      </c>
      <c r="I198" t="s">
        <v>30</v>
      </c>
      <c r="J198" t="s">
        <v>101</v>
      </c>
      <c r="K198" t="s">
        <v>45</v>
      </c>
      <c r="L198" s="2">
        <v>41863</v>
      </c>
      <c r="M198" t="s">
        <v>46</v>
      </c>
      <c r="N198" t="s">
        <v>102</v>
      </c>
      <c r="O198" t="s">
        <v>98</v>
      </c>
      <c r="P198" t="s">
        <v>99</v>
      </c>
      <c r="Q198" t="s">
        <v>100</v>
      </c>
      <c r="R198">
        <v>99999</v>
      </c>
      <c r="S198" t="s">
        <v>30</v>
      </c>
      <c r="U198" t="s">
        <v>64</v>
      </c>
      <c r="V198" t="s">
        <v>65</v>
      </c>
      <c r="W198" s="3">
        <v>9.1999999999999993</v>
      </c>
      <c r="X198">
        <v>96</v>
      </c>
      <c r="Y198" s="4">
        <v>883.19999999999993</v>
      </c>
      <c r="Z198" s="3">
        <v>86.553599999999989</v>
      </c>
    </row>
    <row r="199" spans="1:26" x14ac:dyDescent="0.3">
      <c r="A199">
        <v>1229</v>
      </c>
      <c r="B199" s="2">
        <v>41862</v>
      </c>
      <c r="C199">
        <v>11</v>
      </c>
      <c r="D199" t="s">
        <v>113</v>
      </c>
      <c r="E199" t="s">
        <v>114</v>
      </c>
      <c r="F199" t="s">
        <v>115</v>
      </c>
      <c r="G199" t="s">
        <v>116</v>
      </c>
      <c r="H199">
        <v>99999</v>
      </c>
      <c r="I199" t="s">
        <v>30</v>
      </c>
      <c r="J199" t="s">
        <v>94</v>
      </c>
      <c r="K199" t="s">
        <v>95</v>
      </c>
      <c r="L199" s="2"/>
      <c r="M199" t="s">
        <v>62</v>
      </c>
      <c r="N199" t="s">
        <v>117</v>
      </c>
      <c r="O199" t="s">
        <v>114</v>
      </c>
      <c r="P199" t="s">
        <v>115</v>
      </c>
      <c r="Q199" t="s">
        <v>116</v>
      </c>
      <c r="R199">
        <v>99999</v>
      </c>
      <c r="S199" t="s">
        <v>30</v>
      </c>
      <c r="U199" t="s">
        <v>38</v>
      </c>
      <c r="V199" t="s">
        <v>39</v>
      </c>
      <c r="W199" s="3">
        <v>3.5</v>
      </c>
      <c r="X199">
        <v>31</v>
      </c>
      <c r="Y199" s="4">
        <v>108.5</v>
      </c>
      <c r="Z199" s="3">
        <v>10.850000000000001</v>
      </c>
    </row>
    <row r="200" spans="1:26" x14ac:dyDescent="0.3">
      <c r="A200">
        <v>1230</v>
      </c>
      <c r="B200" s="2">
        <v>41862</v>
      </c>
      <c r="C200">
        <v>11</v>
      </c>
      <c r="D200" t="s">
        <v>113</v>
      </c>
      <c r="E200" t="s">
        <v>114</v>
      </c>
      <c r="F200" t="s">
        <v>115</v>
      </c>
      <c r="G200" t="s">
        <v>116</v>
      </c>
      <c r="H200">
        <v>99999</v>
      </c>
      <c r="I200" t="s">
        <v>30</v>
      </c>
      <c r="J200" t="s">
        <v>94</v>
      </c>
      <c r="K200" t="s">
        <v>95</v>
      </c>
      <c r="L200" s="2"/>
      <c r="M200" t="s">
        <v>62</v>
      </c>
      <c r="N200" t="s">
        <v>117</v>
      </c>
      <c r="O200" t="s">
        <v>114</v>
      </c>
      <c r="P200" t="s">
        <v>115</v>
      </c>
      <c r="Q200" t="s">
        <v>116</v>
      </c>
      <c r="R200">
        <v>99999</v>
      </c>
      <c r="S200" t="s">
        <v>30</v>
      </c>
      <c r="U200" t="s">
        <v>103</v>
      </c>
      <c r="V200" t="s">
        <v>37</v>
      </c>
      <c r="W200" s="3">
        <v>2.99</v>
      </c>
      <c r="X200">
        <v>52</v>
      </c>
      <c r="Y200" s="4">
        <v>155.48000000000002</v>
      </c>
      <c r="Z200" s="3">
        <v>16.014440000000004</v>
      </c>
    </row>
    <row r="201" spans="1:26" x14ac:dyDescent="0.3">
      <c r="A201">
        <v>1231</v>
      </c>
      <c r="B201" s="2">
        <v>41852</v>
      </c>
      <c r="C201">
        <v>1</v>
      </c>
      <c r="D201" t="s">
        <v>118</v>
      </c>
      <c r="E201" t="s">
        <v>119</v>
      </c>
      <c r="F201" t="s">
        <v>120</v>
      </c>
      <c r="G201" t="s">
        <v>121</v>
      </c>
      <c r="H201">
        <v>99999</v>
      </c>
      <c r="I201" t="s">
        <v>30</v>
      </c>
      <c r="J201" t="s">
        <v>60</v>
      </c>
      <c r="K201" t="s">
        <v>61</v>
      </c>
      <c r="L201" s="2"/>
      <c r="N201" t="s">
        <v>122</v>
      </c>
      <c r="O201" t="s">
        <v>119</v>
      </c>
      <c r="P201" t="s">
        <v>120</v>
      </c>
      <c r="Q201" t="s">
        <v>121</v>
      </c>
      <c r="R201">
        <v>99999</v>
      </c>
      <c r="S201" t="s">
        <v>30</v>
      </c>
      <c r="U201" t="s">
        <v>54</v>
      </c>
      <c r="V201" t="s">
        <v>37</v>
      </c>
      <c r="W201" s="3">
        <v>18</v>
      </c>
      <c r="X201">
        <v>91</v>
      </c>
      <c r="Y201" s="4">
        <v>1638</v>
      </c>
      <c r="Z201" s="3">
        <v>158.886</v>
      </c>
    </row>
    <row r="202" spans="1:26" x14ac:dyDescent="0.3">
      <c r="A202">
        <v>1232</v>
      </c>
      <c r="B202" s="2">
        <v>41852</v>
      </c>
      <c r="C202">
        <v>1</v>
      </c>
      <c r="D202" t="s">
        <v>118</v>
      </c>
      <c r="E202" t="s">
        <v>119</v>
      </c>
      <c r="F202" t="s">
        <v>120</v>
      </c>
      <c r="G202" t="s">
        <v>121</v>
      </c>
      <c r="H202">
        <v>99999</v>
      </c>
      <c r="I202" t="s">
        <v>30</v>
      </c>
      <c r="J202" t="s">
        <v>60</v>
      </c>
      <c r="K202" t="s">
        <v>61</v>
      </c>
      <c r="L202" s="2"/>
      <c r="N202" t="s">
        <v>122</v>
      </c>
      <c r="O202" t="s">
        <v>119</v>
      </c>
      <c r="P202" t="s">
        <v>120</v>
      </c>
      <c r="Q202" t="s">
        <v>121</v>
      </c>
      <c r="R202">
        <v>99999</v>
      </c>
      <c r="S202" t="s">
        <v>30</v>
      </c>
      <c r="U202" t="s">
        <v>55</v>
      </c>
      <c r="V202" t="s">
        <v>37</v>
      </c>
      <c r="W202" s="3">
        <v>46</v>
      </c>
      <c r="X202">
        <v>14</v>
      </c>
      <c r="Y202" s="4">
        <v>644</v>
      </c>
      <c r="Z202" s="3">
        <v>63.756000000000007</v>
      </c>
    </row>
    <row r="203" spans="1:26" x14ac:dyDescent="0.3">
      <c r="A203">
        <v>1233</v>
      </c>
      <c r="B203" s="2">
        <v>41852</v>
      </c>
      <c r="C203">
        <v>1</v>
      </c>
      <c r="D203" t="s">
        <v>118</v>
      </c>
      <c r="E203" t="s">
        <v>119</v>
      </c>
      <c r="F203" t="s">
        <v>120</v>
      </c>
      <c r="G203" t="s">
        <v>121</v>
      </c>
      <c r="H203">
        <v>99999</v>
      </c>
      <c r="I203" t="s">
        <v>30</v>
      </c>
      <c r="J203" t="s">
        <v>60</v>
      </c>
      <c r="K203" t="s">
        <v>61</v>
      </c>
      <c r="L203" s="2"/>
      <c r="N203" t="s">
        <v>122</v>
      </c>
      <c r="O203" t="s">
        <v>119</v>
      </c>
      <c r="P203" t="s">
        <v>120</v>
      </c>
      <c r="Q203" t="s">
        <v>121</v>
      </c>
      <c r="R203">
        <v>99999</v>
      </c>
      <c r="S203" t="s">
        <v>30</v>
      </c>
      <c r="U203" t="s">
        <v>103</v>
      </c>
      <c r="V203" t="s">
        <v>37</v>
      </c>
      <c r="W203">
        <v>2.99</v>
      </c>
      <c r="X203">
        <v>44</v>
      </c>
      <c r="Y203" s="4">
        <v>131.56</v>
      </c>
      <c r="Z203" s="3">
        <v>13.287560000000001</v>
      </c>
    </row>
    <row r="204" spans="1:26" x14ac:dyDescent="0.3">
      <c r="A204">
        <v>1234</v>
      </c>
      <c r="B204" s="2">
        <v>41879</v>
      </c>
      <c r="C204">
        <v>28</v>
      </c>
      <c r="D204" t="s">
        <v>90</v>
      </c>
      <c r="E204" t="s">
        <v>91</v>
      </c>
      <c r="F204" t="s">
        <v>92</v>
      </c>
      <c r="G204" t="s">
        <v>93</v>
      </c>
      <c r="H204">
        <v>99999</v>
      </c>
      <c r="I204" t="s">
        <v>30</v>
      </c>
      <c r="J204" t="s">
        <v>94</v>
      </c>
      <c r="K204" t="s">
        <v>95</v>
      </c>
      <c r="L204" s="2">
        <v>41881</v>
      </c>
      <c r="M204" t="s">
        <v>62</v>
      </c>
      <c r="N204" t="s">
        <v>96</v>
      </c>
      <c r="O204" t="s">
        <v>91</v>
      </c>
      <c r="P204" t="s">
        <v>92</v>
      </c>
      <c r="Q204" t="s">
        <v>93</v>
      </c>
      <c r="R204">
        <v>99999</v>
      </c>
      <c r="S204" t="s">
        <v>30</v>
      </c>
      <c r="T204" t="s">
        <v>48</v>
      </c>
      <c r="U204" t="s">
        <v>80</v>
      </c>
      <c r="V204" t="s">
        <v>81</v>
      </c>
      <c r="W204">
        <v>9.65</v>
      </c>
      <c r="X204">
        <v>97</v>
      </c>
      <c r="Y204" s="4">
        <v>936.05000000000007</v>
      </c>
      <c r="Z204" s="3">
        <v>95.477100000000021</v>
      </c>
    </row>
    <row r="205" spans="1:26" x14ac:dyDescent="0.3">
      <c r="A205">
        <v>1235</v>
      </c>
      <c r="B205" s="2">
        <v>41879</v>
      </c>
      <c r="C205">
        <v>28</v>
      </c>
      <c r="D205" t="s">
        <v>90</v>
      </c>
      <c r="E205" t="s">
        <v>91</v>
      </c>
      <c r="F205" t="s">
        <v>92</v>
      </c>
      <c r="G205" t="s">
        <v>93</v>
      </c>
      <c r="H205">
        <v>99999</v>
      </c>
      <c r="I205" t="s">
        <v>30</v>
      </c>
      <c r="J205" t="s">
        <v>94</v>
      </c>
      <c r="K205" t="s">
        <v>95</v>
      </c>
      <c r="L205" s="2">
        <v>41881</v>
      </c>
      <c r="M205" t="s">
        <v>62</v>
      </c>
      <c r="N205" t="s">
        <v>96</v>
      </c>
      <c r="O205" t="s">
        <v>91</v>
      </c>
      <c r="P205" t="s">
        <v>92</v>
      </c>
      <c r="Q205" t="s">
        <v>93</v>
      </c>
      <c r="R205">
        <v>99999</v>
      </c>
      <c r="S205" t="s">
        <v>30</v>
      </c>
      <c r="T205" t="s">
        <v>48</v>
      </c>
      <c r="U205" t="s">
        <v>123</v>
      </c>
      <c r="V205" t="s">
        <v>124</v>
      </c>
      <c r="W205">
        <v>18.399999999999999</v>
      </c>
      <c r="X205">
        <v>80</v>
      </c>
      <c r="Y205" s="4">
        <v>1472</v>
      </c>
      <c r="Z205" s="3">
        <v>150.14400000000003</v>
      </c>
    </row>
    <row r="206" spans="1:26" x14ac:dyDescent="0.3">
      <c r="A206">
        <v>1236</v>
      </c>
      <c r="B206" s="2">
        <v>41860</v>
      </c>
      <c r="C206">
        <v>9</v>
      </c>
      <c r="D206" t="s">
        <v>125</v>
      </c>
      <c r="E206" t="s">
        <v>126</v>
      </c>
      <c r="F206" t="s">
        <v>127</v>
      </c>
      <c r="G206" t="s">
        <v>128</v>
      </c>
      <c r="H206">
        <v>99999</v>
      </c>
      <c r="I206" t="s">
        <v>30</v>
      </c>
      <c r="J206" t="s">
        <v>129</v>
      </c>
      <c r="K206" t="s">
        <v>32</v>
      </c>
      <c r="L206" s="2">
        <v>41862</v>
      </c>
      <c r="M206" t="s">
        <v>46</v>
      </c>
      <c r="N206" t="s">
        <v>130</v>
      </c>
      <c r="O206" t="s">
        <v>126</v>
      </c>
      <c r="P206" t="s">
        <v>127</v>
      </c>
      <c r="Q206" t="s">
        <v>128</v>
      </c>
      <c r="R206">
        <v>99999</v>
      </c>
      <c r="S206" t="s">
        <v>30</v>
      </c>
      <c r="T206" t="s">
        <v>35</v>
      </c>
      <c r="U206" t="s">
        <v>131</v>
      </c>
      <c r="V206" t="s">
        <v>132</v>
      </c>
      <c r="W206">
        <v>19.5</v>
      </c>
      <c r="X206">
        <v>66</v>
      </c>
      <c r="Y206" s="4">
        <v>1287</v>
      </c>
      <c r="Z206" s="3">
        <v>132.56100000000001</v>
      </c>
    </row>
    <row r="207" spans="1:26" x14ac:dyDescent="0.3">
      <c r="A207">
        <v>1237</v>
      </c>
      <c r="B207" s="2">
        <v>41860</v>
      </c>
      <c r="C207">
        <v>9</v>
      </c>
      <c r="D207" t="s">
        <v>125</v>
      </c>
      <c r="E207" t="s">
        <v>126</v>
      </c>
      <c r="F207" t="s">
        <v>127</v>
      </c>
      <c r="G207" t="s">
        <v>128</v>
      </c>
      <c r="H207">
        <v>99999</v>
      </c>
      <c r="I207" t="s">
        <v>30</v>
      </c>
      <c r="J207" t="s">
        <v>129</v>
      </c>
      <c r="K207" t="s">
        <v>32</v>
      </c>
      <c r="L207" s="2">
        <v>41862</v>
      </c>
      <c r="M207" t="s">
        <v>46</v>
      </c>
      <c r="N207" t="s">
        <v>130</v>
      </c>
      <c r="O207" t="s">
        <v>126</v>
      </c>
      <c r="P207" t="s">
        <v>127</v>
      </c>
      <c r="Q207" t="s">
        <v>128</v>
      </c>
      <c r="R207">
        <v>99999</v>
      </c>
      <c r="S207" t="s">
        <v>30</v>
      </c>
      <c r="T207" t="s">
        <v>35</v>
      </c>
      <c r="U207" t="s">
        <v>133</v>
      </c>
      <c r="V207" t="s">
        <v>134</v>
      </c>
      <c r="W207">
        <v>34.799999999999997</v>
      </c>
      <c r="X207">
        <v>32</v>
      </c>
      <c r="Y207" s="4">
        <v>1113.5999999999999</v>
      </c>
      <c r="Z207" s="3">
        <v>111.36</v>
      </c>
    </row>
    <row r="208" spans="1:26" x14ac:dyDescent="0.3">
      <c r="A208">
        <v>1238</v>
      </c>
      <c r="B208" s="2">
        <v>41857</v>
      </c>
      <c r="C208">
        <v>6</v>
      </c>
      <c r="D208" t="s">
        <v>82</v>
      </c>
      <c r="E208" t="s">
        <v>83</v>
      </c>
      <c r="F208" t="s">
        <v>84</v>
      </c>
      <c r="G208" t="s">
        <v>85</v>
      </c>
      <c r="H208">
        <v>99999</v>
      </c>
      <c r="I208" t="s">
        <v>30</v>
      </c>
      <c r="J208" t="s">
        <v>86</v>
      </c>
      <c r="K208" t="s">
        <v>61</v>
      </c>
      <c r="L208" s="2">
        <v>41859</v>
      </c>
      <c r="M208" t="s">
        <v>33</v>
      </c>
      <c r="N208" t="s">
        <v>87</v>
      </c>
      <c r="O208" t="s">
        <v>83</v>
      </c>
      <c r="P208" t="s">
        <v>84</v>
      </c>
      <c r="Q208" t="s">
        <v>85</v>
      </c>
      <c r="R208">
        <v>99999</v>
      </c>
      <c r="S208" t="s">
        <v>30</v>
      </c>
      <c r="T208" t="s">
        <v>48</v>
      </c>
      <c r="U208" t="s">
        <v>36</v>
      </c>
      <c r="V208" t="s">
        <v>37</v>
      </c>
      <c r="W208">
        <v>14</v>
      </c>
      <c r="X208">
        <v>52</v>
      </c>
      <c r="Y208" s="4">
        <v>728</v>
      </c>
      <c r="Z208" s="3">
        <v>72.8</v>
      </c>
    </row>
    <row r="209" spans="1:26" x14ac:dyDescent="0.3">
      <c r="A209">
        <v>1239</v>
      </c>
      <c r="B209" s="2">
        <v>41859</v>
      </c>
      <c r="C209">
        <v>8</v>
      </c>
      <c r="D209" t="s">
        <v>56</v>
      </c>
      <c r="E209" t="s">
        <v>57</v>
      </c>
      <c r="F209" t="s">
        <v>58</v>
      </c>
      <c r="G209" t="s">
        <v>59</v>
      </c>
      <c r="H209">
        <v>99999</v>
      </c>
      <c r="I209" t="s">
        <v>30</v>
      </c>
      <c r="J209" t="s">
        <v>60</v>
      </c>
      <c r="K209" t="s">
        <v>61</v>
      </c>
      <c r="L209" s="2">
        <v>41861</v>
      </c>
      <c r="M209" t="s">
        <v>33</v>
      </c>
      <c r="N209" t="s">
        <v>63</v>
      </c>
      <c r="O209" t="s">
        <v>57</v>
      </c>
      <c r="P209" t="s">
        <v>58</v>
      </c>
      <c r="Q209" t="s">
        <v>59</v>
      </c>
      <c r="R209">
        <v>99999</v>
      </c>
      <c r="S209" t="s">
        <v>30</v>
      </c>
      <c r="T209" t="s">
        <v>35</v>
      </c>
      <c r="U209" t="s">
        <v>88</v>
      </c>
      <c r="V209" t="s">
        <v>89</v>
      </c>
      <c r="W209">
        <v>40</v>
      </c>
      <c r="X209">
        <v>78</v>
      </c>
      <c r="Y209" s="4">
        <v>3120</v>
      </c>
      <c r="Z209" s="3">
        <v>318.24</v>
      </c>
    </row>
    <row r="210" spans="1:26" x14ac:dyDescent="0.3">
      <c r="A210">
        <v>1240</v>
      </c>
      <c r="B210" s="2">
        <v>41859</v>
      </c>
      <c r="C210">
        <v>8</v>
      </c>
      <c r="D210" t="s">
        <v>56</v>
      </c>
      <c r="E210" t="s">
        <v>57</v>
      </c>
      <c r="F210" t="s">
        <v>58</v>
      </c>
      <c r="G210" t="s">
        <v>59</v>
      </c>
      <c r="H210">
        <v>99999</v>
      </c>
      <c r="I210" t="s">
        <v>30</v>
      </c>
      <c r="J210" t="s">
        <v>60</v>
      </c>
      <c r="K210" t="s">
        <v>61</v>
      </c>
      <c r="L210" s="2">
        <v>41861</v>
      </c>
      <c r="M210" t="s">
        <v>33</v>
      </c>
      <c r="N210" t="s">
        <v>63</v>
      </c>
      <c r="O210" t="s">
        <v>57</v>
      </c>
      <c r="P210" t="s">
        <v>58</v>
      </c>
      <c r="Q210" t="s">
        <v>59</v>
      </c>
      <c r="R210">
        <v>99999</v>
      </c>
      <c r="S210" t="s">
        <v>30</v>
      </c>
      <c r="T210" t="s">
        <v>35</v>
      </c>
      <c r="U210" t="s">
        <v>64</v>
      </c>
      <c r="V210" t="s">
        <v>65</v>
      </c>
      <c r="W210">
        <v>9.1999999999999993</v>
      </c>
      <c r="X210">
        <v>54</v>
      </c>
      <c r="Y210" s="4">
        <v>496.79999999999995</v>
      </c>
      <c r="Z210" s="3">
        <v>49.183199999999999</v>
      </c>
    </row>
    <row r="211" spans="1:26" x14ac:dyDescent="0.3">
      <c r="A211">
        <v>1241</v>
      </c>
      <c r="B211" s="2">
        <v>41876</v>
      </c>
      <c r="C211">
        <v>25</v>
      </c>
      <c r="D211" t="s">
        <v>137</v>
      </c>
      <c r="E211" t="s">
        <v>138</v>
      </c>
      <c r="F211" t="s">
        <v>99</v>
      </c>
      <c r="G211" t="s">
        <v>100</v>
      </c>
      <c r="H211">
        <v>99999</v>
      </c>
      <c r="I211" t="s">
        <v>30</v>
      </c>
      <c r="J211" t="s">
        <v>101</v>
      </c>
      <c r="K211" t="s">
        <v>45</v>
      </c>
      <c r="L211" s="2">
        <v>41878</v>
      </c>
      <c r="M211" t="s">
        <v>46</v>
      </c>
      <c r="N211" t="s">
        <v>139</v>
      </c>
      <c r="O211" t="s">
        <v>138</v>
      </c>
      <c r="P211" t="s">
        <v>99</v>
      </c>
      <c r="Q211" t="s">
        <v>100</v>
      </c>
      <c r="R211">
        <v>99999</v>
      </c>
      <c r="S211" t="s">
        <v>30</v>
      </c>
      <c r="T211" t="s">
        <v>79</v>
      </c>
      <c r="U211" t="s">
        <v>146</v>
      </c>
      <c r="V211" t="s">
        <v>65</v>
      </c>
      <c r="W211">
        <v>10</v>
      </c>
      <c r="X211">
        <v>55</v>
      </c>
      <c r="Y211" s="4">
        <v>550</v>
      </c>
      <c r="Z211" s="3">
        <v>52.25</v>
      </c>
    </row>
    <row r="212" spans="1:26" x14ac:dyDescent="0.3">
      <c r="A212">
        <v>1242</v>
      </c>
      <c r="B212" s="2">
        <v>41877</v>
      </c>
      <c r="C212">
        <v>26</v>
      </c>
      <c r="D212" t="s">
        <v>140</v>
      </c>
      <c r="E212" t="s">
        <v>141</v>
      </c>
      <c r="F212" t="s">
        <v>115</v>
      </c>
      <c r="G212" t="s">
        <v>116</v>
      </c>
      <c r="H212">
        <v>99999</v>
      </c>
      <c r="I212" t="s">
        <v>30</v>
      </c>
      <c r="J212" t="s">
        <v>94</v>
      </c>
      <c r="K212" t="s">
        <v>95</v>
      </c>
      <c r="L212" s="2">
        <v>41879</v>
      </c>
      <c r="M212" t="s">
        <v>62</v>
      </c>
      <c r="N212" t="s">
        <v>142</v>
      </c>
      <c r="O212" t="s">
        <v>141</v>
      </c>
      <c r="P212" t="s">
        <v>115</v>
      </c>
      <c r="Q212" t="s">
        <v>116</v>
      </c>
      <c r="R212">
        <v>99999</v>
      </c>
      <c r="S212" t="s">
        <v>30</v>
      </c>
      <c r="T212" t="s">
        <v>48</v>
      </c>
      <c r="U212" t="s">
        <v>147</v>
      </c>
      <c r="V212" t="s">
        <v>148</v>
      </c>
      <c r="W212">
        <v>21.35</v>
      </c>
      <c r="X212">
        <v>60</v>
      </c>
      <c r="Y212" s="4">
        <v>1281</v>
      </c>
      <c r="Z212" s="3">
        <v>129.381</v>
      </c>
    </row>
    <row r="213" spans="1:26" x14ac:dyDescent="0.3">
      <c r="A213">
        <v>1243</v>
      </c>
      <c r="B213" s="2">
        <v>41877</v>
      </c>
      <c r="C213">
        <v>26</v>
      </c>
      <c r="D213" t="s">
        <v>140</v>
      </c>
      <c r="E213" t="s">
        <v>141</v>
      </c>
      <c r="F213" t="s">
        <v>115</v>
      </c>
      <c r="G213" t="s">
        <v>116</v>
      </c>
      <c r="H213">
        <v>99999</v>
      </c>
      <c r="I213" t="s">
        <v>30</v>
      </c>
      <c r="J213" t="s">
        <v>94</v>
      </c>
      <c r="K213" t="s">
        <v>95</v>
      </c>
      <c r="L213" s="2">
        <v>41879</v>
      </c>
      <c r="M213" t="s">
        <v>62</v>
      </c>
      <c r="N213" t="s">
        <v>142</v>
      </c>
      <c r="O213" t="s">
        <v>141</v>
      </c>
      <c r="P213" t="s">
        <v>115</v>
      </c>
      <c r="Q213" t="s">
        <v>116</v>
      </c>
      <c r="R213">
        <v>99999</v>
      </c>
      <c r="S213" t="s">
        <v>30</v>
      </c>
      <c r="T213" t="s">
        <v>48</v>
      </c>
      <c r="U213" t="s">
        <v>80</v>
      </c>
      <c r="V213" t="s">
        <v>81</v>
      </c>
      <c r="W213">
        <v>9.65</v>
      </c>
      <c r="X213">
        <v>19</v>
      </c>
      <c r="Y213" s="4">
        <v>183.35</v>
      </c>
      <c r="Z213" s="3">
        <v>17.41825</v>
      </c>
    </row>
    <row r="214" spans="1:26" x14ac:dyDescent="0.3">
      <c r="A214">
        <v>1244</v>
      </c>
      <c r="B214" s="2">
        <v>41877</v>
      </c>
      <c r="C214">
        <v>26</v>
      </c>
      <c r="D214" t="s">
        <v>140</v>
      </c>
      <c r="E214" t="s">
        <v>141</v>
      </c>
      <c r="F214" t="s">
        <v>115</v>
      </c>
      <c r="G214" t="s">
        <v>116</v>
      </c>
      <c r="H214">
        <v>99999</v>
      </c>
      <c r="I214" t="s">
        <v>30</v>
      </c>
      <c r="J214" t="s">
        <v>94</v>
      </c>
      <c r="K214" t="s">
        <v>95</v>
      </c>
      <c r="L214" s="2">
        <v>41879</v>
      </c>
      <c r="M214" t="s">
        <v>62</v>
      </c>
      <c r="N214" t="s">
        <v>142</v>
      </c>
      <c r="O214" t="s">
        <v>141</v>
      </c>
      <c r="P214" t="s">
        <v>115</v>
      </c>
      <c r="Q214" t="s">
        <v>116</v>
      </c>
      <c r="R214">
        <v>99999</v>
      </c>
      <c r="S214" t="s">
        <v>30</v>
      </c>
      <c r="T214" t="s">
        <v>48</v>
      </c>
      <c r="U214" t="s">
        <v>123</v>
      </c>
      <c r="V214" t="s">
        <v>124</v>
      </c>
      <c r="W214">
        <v>18.399999999999999</v>
      </c>
      <c r="X214">
        <v>66</v>
      </c>
      <c r="Y214" s="4">
        <v>1214.3999999999999</v>
      </c>
      <c r="Z214" s="3">
        <v>125.08320000000001</v>
      </c>
    </row>
    <row r="215" spans="1:26" x14ac:dyDescent="0.3">
      <c r="A215">
        <v>1245</v>
      </c>
      <c r="B215" s="2">
        <v>41880</v>
      </c>
      <c r="C215">
        <v>29</v>
      </c>
      <c r="D215" t="s">
        <v>66</v>
      </c>
      <c r="E215" t="s">
        <v>67</v>
      </c>
      <c r="F215" t="s">
        <v>68</v>
      </c>
      <c r="G215" t="s">
        <v>69</v>
      </c>
      <c r="H215">
        <v>99999</v>
      </c>
      <c r="I215" t="s">
        <v>30</v>
      </c>
      <c r="J215" t="s">
        <v>70</v>
      </c>
      <c r="K215" t="s">
        <v>32</v>
      </c>
      <c r="L215" s="2">
        <v>41882</v>
      </c>
      <c r="M215" t="s">
        <v>33</v>
      </c>
      <c r="N215" t="s">
        <v>71</v>
      </c>
      <c r="O215" t="s">
        <v>67</v>
      </c>
      <c r="P215" t="s">
        <v>68</v>
      </c>
      <c r="Q215" t="s">
        <v>69</v>
      </c>
      <c r="R215">
        <v>99999</v>
      </c>
      <c r="S215" t="s">
        <v>30</v>
      </c>
      <c r="T215" t="s">
        <v>35</v>
      </c>
      <c r="U215" t="s">
        <v>36</v>
      </c>
      <c r="V215" t="s">
        <v>37</v>
      </c>
      <c r="W215">
        <v>14</v>
      </c>
      <c r="X215">
        <v>42</v>
      </c>
      <c r="Y215" s="4">
        <v>588</v>
      </c>
      <c r="Z215" s="3">
        <v>59.388000000000005</v>
      </c>
    </row>
    <row r="216" spans="1:26" x14ac:dyDescent="0.3">
      <c r="A216">
        <v>1246</v>
      </c>
      <c r="B216" s="2">
        <v>41857</v>
      </c>
      <c r="C216">
        <v>6</v>
      </c>
      <c r="D216" t="s">
        <v>82</v>
      </c>
      <c r="E216" t="s">
        <v>83</v>
      </c>
      <c r="F216" t="s">
        <v>84</v>
      </c>
      <c r="G216" t="s">
        <v>85</v>
      </c>
      <c r="H216">
        <v>99999</v>
      </c>
      <c r="I216" t="s">
        <v>30</v>
      </c>
      <c r="J216" t="s">
        <v>86</v>
      </c>
      <c r="K216" t="s">
        <v>61</v>
      </c>
      <c r="L216">
        <v>41859</v>
      </c>
      <c r="M216" t="s">
        <v>62</v>
      </c>
      <c r="N216" t="s">
        <v>87</v>
      </c>
      <c r="O216" t="s">
        <v>83</v>
      </c>
      <c r="P216" t="s">
        <v>84</v>
      </c>
      <c r="Q216" t="s">
        <v>85</v>
      </c>
      <c r="R216">
        <v>99999</v>
      </c>
      <c r="S216" t="s">
        <v>30</v>
      </c>
      <c r="T216" t="s">
        <v>35</v>
      </c>
      <c r="U216" t="s">
        <v>72</v>
      </c>
      <c r="V216" t="s">
        <v>73</v>
      </c>
      <c r="W216">
        <v>12.75</v>
      </c>
      <c r="X216">
        <v>72</v>
      </c>
      <c r="Y216" s="4">
        <v>918</v>
      </c>
      <c r="Z216" s="3">
        <v>89.046000000000006</v>
      </c>
    </row>
    <row r="217" spans="1:26" x14ac:dyDescent="0.3">
      <c r="A217">
        <v>1248</v>
      </c>
      <c r="B217" s="2">
        <v>41855</v>
      </c>
      <c r="C217">
        <v>4</v>
      </c>
      <c r="D217" t="s">
        <v>40</v>
      </c>
      <c r="E217" t="s">
        <v>41</v>
      </c>
      <c r="F217" t="s">
        <v>42</v>
      </c>
      <c r="G217" t="s">
        <v>43</v>
      </c>
      <c r="H217">
        <v>99999</v>
      </c>
      <c r="I217" t="s">
        <v>30</v>
      </c>
      <c r="J217" t="s">
        <v>44</v>
      </c>
      <c r="K217" t="s">
        <v>45</v>
      </c>
      <c r="L217">
        <v>41857</v>
      </c>
      <c r="M217" t="s">
        <v>46</v>
      </c>
      <c r="N217" t="s">
        <v>47</v>
      </c>
      <c r="O217" t="s">
        <v>41</v>
      </c>
      <c r="P217" t="s">
        <v>42</v>
      </c>
      <c r="Q217" t="s">
        <v>43</v>
      </c>
      <c r="R217">
        <v>99999</v>
      </c>
      <c r="S217" t="s">
        <v>30</v>
      </c>
      <c r="T217" t="s">
        <v>48</v>
      </c>
      <c r="U217" t="s">
        <v>149</v>
      </c>
      <c r="V217" t="s">
        <v>110</v>
      </c>
      <c r="W217">
        <v>81</v>
      </c>
      <c r="X217">
        <v>32</v>
      </c>
      <c r="Y217" s="4">
        <v>2592</v>
      </c>
      <c r="Z217" s="3">
        <v>251.42399999999998</v>
      </c>
    </row>
    <row r="218" spans="1:26" x14ac:dyDescent="0.3">
      <c r="A218">
        <v>1249</v>
      </c>
      <c r="B218" s="2">
        <v>41855</v>
      </c>
      <c r="C218">
        <v>4</v>
      </c>
      <c r="D218" t="s">
        <v>40</v>
      </c>
      <c r="E218" t="s">
        <v>41</v>
      </c>
      <c r="F218" t="s">
        <v>42</v>
      </c>
      <c r="G218" t="s">
        <v>43</v>
      </c>
      <c r="H218">
        <v>99999</v>
      </c>
      <c r="I218" t="s">
        <v>30</v>
      </c>
      <c r="J218" t="s">
        <v>44</v>
      </c>
      <c r="K218" t="s">
        <v>45</v>
      </c>
      <c r="L218">
        <v>41857</v>
      </c>
      <c r="M218" t="s">
        <v>46</v>
      </c>
      <c r="N218" t="s">
        <v>47</v>
      </c>
      <c r="O218" t="s">
        <v>41</v>
      </c>
      <c r="P218" t="s">
        <v>42</v>
      </c>
      <c r="Q218" t="s">
        <v>43</v>
      </c>
      <c r="R218">
        <v>99999</v>
      </c>
      <c r="S218" t="s">
        <v>30</v>
      </c>
      <c r="T218" t="s">
        <v>48</v>
      </c>
      <c r="U218" t="s">
        <v>150</v>
      </c>
      <c r="V218" t="s">
        <v>151</v>
      </c>
      <c r="W218">
        <v>7</v>
      </c>
      <c r="X218">
        <v>76</v>
      </c>
      <c r="Y218" s="4">
        <v>532</v>
      </c>
      <c r="Z218" s="3">
        <v>53.732000000000006</v>
      </c>
    </row>
    <row r="219" spans="1:26" x14ac:dyDescent="0.3">
      <c r="A219">
        <v>1250</v>
      </c>
      <c r="B219" s="2">
        <v>41892</v>
      </c>
      <c r="C219">
        <v>10</v>
      </c>
      <c r="D219" t="s">
        <v>97</v>
      </c>
      <c r="E219" t="s">
        <v>98</v>
      </c>
      <c r="F219" t="s">
        <v>99</v>
      </c>
      <c r="G219" t="s">
        <v>100</v>
      </c>
      <c r="H219">
        <v>99999</v>
      </c>
      <c r="I219" t="s">
        <v>30</v>
      </c>
      <c r="J219" t="s">
        <v>101</v>
      </c>
      <c r="K219" t="s">
        <v>45</v>
      </c>
      <c r="L219">
        <v>41894</v>
      </c>
      <c r="M219" t="s">
        <v>46</v>
      </c>
      <c r="N219" t="s">
        <v>102</v>
      </c>
      <c r="O219" t="s">
        <v>98</v>
      </c>
      <c r="P219" t="s">
        <v>99</v>
      </c>
      <c r="Q219" t="s">
        <v>100</v>
      </c>
      <c r="R219">
        <v>99999</v>
      </c>
      <c r="S219" t="s">
        <v>30</v>
      </c>
      <c r="U219" t="s">
        <v>64</v>
      </c>
      <c r="V219" t="s">
        <v>65</v>
      </c>
      <c r="W219">
        <v>9.1999999999999993</v>
      </c>
      <c r="X219">
        <v>83</v>
      </c>
      <c r="Y219" s="4">
        <v>763.59999999999991</v>
      </c>
      <c r="Z219" s="3">
        <v>74.832799999999992</v>
      </c>
    </row>
    <row r="220" spans="1:26" x14ac:dyDescent="0.3">
      <c r="A220">
        <v>1251</v>
      </c>
      <c r="B220" s="2">
        <v>41893</v>
      </c>
      <c r="C220">
        <v>11</v>
      </c>
      <c r="D220" t="s">
        <v>113</v>
      </c>
      <c r="E220" t="s">
        <v>114</v>
      </c>
      <c r="F220" t="s">
        <v>115</v>
      </c>
      <c r="G220" t="s">
        <v>116</v>
      </c>
      <c r="H220">
        <v>99999</v>
      </c>
      <c r="I220" t="s">
        <v>30</v>
      </c>
      <c r="J220" t="s">
        <v>94</v>
      </c>
      <c r="K220" t="s">
        <v>95</v>
      </c>
      <c r="L220" s="2"/>
      <c r="M220" t="s">
        <v>62</v>
      </c>
      <c r="N220" t="s">
        <v>117</v>
      </c>
      <c r="O220" t="s">
        <v>114</v>
      </c>
      <c r="P220" t="s">
        <v>115</v>
      </c>
      <c r="Q220" t="s">
        <v>116</v>
      </c>
      <c r="R220">
        <v>99999</v>
      </c>
      <c r="S220" t="s">
        <v>30</v>
      </c>
      <c r="U220" t="s">
        <v>38</v>
      </c>
      <c r="V220" t="s">
        <v>39</v>
      </c>
      <c r="W220">
        <v>3.5</v>
      </c>
      <c r="X220">
        <v>91</v>
      </c>
      <c r="Y220" s="4">
        <v>318.5</v>
      </c>
      <c r="Z220" s="3">
        <v>31.213000000000001</v>
      </c>
    </row>
    <row r="221" spans="1:26" x14ac:dyDescent="0.3">
      <c r="A221">
        <v>1252</v>
      </c>
      <c r="B221" s="2">
        <v>41893</v>
      </c>
      <c r="C221">
        <v>11</v>
      </c>
      <c r="D221" t="s">
        <v>113</v>
      </c>
      <c r="E221" t="s">
        <v>114</v>
      </c>
      <c r="F221" t="s">
        <v>115</v>
      </c>
      <c r="G221" t="s">
        <v>116</v>
      </c>
      <c r="H221">
        <v>99999</v>
      </c>
      <c r="I221" t="s">
        <v>30</v>
      </c>
      <c r="J221" t="s">
        <v>94</v>
      </c>
      <c r="K221" t="s">
        <v>95</v>
      </c>
      <c r="L221" s="2"/>
      <c r="M221" t="s">
        <v>62</v>
      </c>
      <c r="N221" t="s">
        <v>117</v>
      </c>
      <c r="O221" t="s">
        <v>114</v>
      </c>
      <c r="P221" t="s">
        <v>115</v>
      </c>
      <c r="Q221" t="s">
        <v>116</v>
      </c>
      <c r="R221">
        <v>99999</v>
      </c>
      <c r="S221" t="s">
        <v>30</v>
      </c>
      <c r="U221" t="s">
        <v>103</v>
      </c>
      <c r="V221" t="s">
        <v>37</v>
      </c>
      <c r="W221">
        <v>2.99</v>
      </c>
      <c r="X221">
        <v>64</v>
      </c>
      <c r="Y221" s="4">
        <v>191.36</v>
      </c>
      <c r="Z221" s="3">
        <v>19.518720000000002</v>
      </c>
    </row>
    <row r="222" spans="1:26" x14ac:dyDescent="0.3">
      <c r="A222">
        <v>1253</v>
      </c>
      <c r="B222" s="2">
        <v>41883</v>
      </c>
      <c r="C222">
        <v>1</v>
      </c>
      <c r="D222" t="s">
        <v>118</v>
      </c>
      <c r="E222" t="s">
        <v>119</v>
      </c>
      <c r="F222" t="s">
        <v>120</v>
      </c>
      <c r="G222" t="s">
        <v>121</v>
      </c>
      <c r="H222">
        <v>99999</v>
      </c>
      <c r="I222" t="s">
        <v>30</v>
      </c>
      <c r="J222" t="s">
        <v>60</v>
      </c>
      <c r="K222" t="s">
        <v>61</v>
      </c>
      <c r="L222" s="2"/>
      <c r="N222" t="s">
        <v>122</v>
      </c>
      <c r="O222" t="s">
        <v>119</v>
      </c>
      <c r="P222" t="s">
        <v>120</v>
      </c>
      <c r="Q222" t="s">
        <v>121</v>
      </c>
      <c r="R222">
        <v>99999</v>
      </c>
      <c r="S222" t="s">
        <v>30</v>
      </c>
      <c r="U222" t="s">
        <v>54</v>
      </c>
      <c r="V222" t="s">
        <v>37</v>
      </c>
      <c r="W222">
        <v>18</v>
      </c>
      <c r="X222">
        <v>58</v>
      </c>
      <c r="Y222" s="4">
        <v>1044</v>
      </c>
      <c r="Z222" s="3">
        <v>103.35600000000001</v>
      </c>
    </row>
    <row r="223" spans="1:26" x14ac:dyDescent="0.3">
      <c r="A223">
        <v>1254</v>
      </c>
      <c r="B223" s="2">
        <v>41883</v>
      </c>
      <c r="C223">
        <v>1</v>
      </c>
      <c r="D223" t="s">
        <v>118</v>
      </c>
      <c r="E223" t="s">
        <v>119</v>
      </c>
      <c r="F223" t="s">
        <v>120</v>
      </c>
      <c r="G223" t="s">
        <v>121</v>
      </c>
      <c r="H223">
        <v>99999</v>
      </c>
      <c r="I223" t="s">
        <v>30</v>
      </c>
      <c r="J223" t="s">
        <v>60</v>
      </c>
      <c r="K223" t="s">
        <v>61</v>
      </c>
      <c r="L223" s="2"/>
      <c r="N223" t="s">
        <v>122</v>
      </c>
      <c r="O223" t="s">
        <v>119</v>
      </c>
      <c r="P223" t="s">
        <v>120</v>
      </c>
      <c r="Q223" t="s">
        <v>121</v>
      </c>
      <c r="R223">
        <v>99999</v>
      </c>
      <c r="S223" t="s">
        <v>30</v>
      </c>
      <c r="U223" t="s">
        <v>55</v>
      </c>
      <c r="V223" t="s">
        <v>37</v>
      </c>
      <c r="W223" s="3">
        <v>46</v>
      </c>
      <c r="X223">
        <v>97</v>
      </c>
      <c r="Y223" s="4">
        <v>4462</v>
      </c>
      <c r="Z223" s="3">
        <v>464.04800000000006</v>
      </c>
    </row>
    <row r="224" spans="1:26" x14ac:dyDescent="0.3">
      <c r="A224">
        <v>1255</v>
      </c>
      <c r="B224" s="2">
        <v>41883</v>
      </c>
      <c r="C224">
        <v>1</v>
      </c>
      <c r="D224" t="s">
        <v>118</v>
      </c>
      <c r="E224" t="s">
        <v>119</v>
      </c>
      <c r="F224" t="s">
        <v>120</v>
      </c>
      <c r="G224" t="s">
        <v>121</v>
      </c>
      <c r="H224">
        <v>99999</v>
      </c>
      <c r="I224" t="s">
        <v>30</v>
      </c>
      <c r="J224" t="s">
        <v>60</v>
      </c>
      <c r="K224" t="s">
        <v>61</v>
      </c>
      <c r="L224" s="2"/>
      <c r="N224" t="s">
        <v>122</v>
      </c>
      <c r="O224" t="s">
        <v>119</v>
      </c>
      <c r="P224" t="s">
        <v>120</v>
      </c>
      <c r="Q224" t="s">
        <v>121</v>
      </c>
      <c r="R224">
        <v>99999</v>
      </c>
      <c r="S224" t="s">
        <v>30</v>
      </c>
      <c r="U224" t="s">
        <v>103</v>
      </c>
      <c r="V224" t="s">
        <v>37</v>
      </c>
      <c r="W224" s="3">
        <v>2.99</v>
      </c>
      <c r="X224">
        <v>14</v>
      </c>
      <c r="Y224" s="4">
        <v>41.86</v>
      </c>
      <c r="Z224" s="3">
        <v>4.35344</v>
      </c>
    </row>
    <row r="225" spans="1:26" x14ac:dyDescent="0.3">
      <c r="A225">
        <v>1256</v>
      </c>
      <c r="B225" s="2">
        <v>41910</v>
      </c>
      <c r="C225">
        <v>28</v>
      </c>
      <c r="D225" t="s">
        <v>90</v>
      </c>
      <c r="E225" t="s">
        <v>91</v>
      </c>
      <c r="F225" t="s">
        <v>92</v>
      </c>
      <c r="G225" t="s">
        <v>93</v>
      </c>
      <c r="H225">
        <v>99999</v>
      </c>
      <c r="I225" t="s">
        <v>30</v>
      </c>
      <c r="J225" t="s">
        <v>94</v>
      </c>
      <c r="K225" t="s">
        <v>95</v>
      </c>
      <c r="L225" s="2">
        <v>41912</v>
      </c>
      <c r="M225" t="s">
        <v>62</v>
      </c>
      <c r="N225" t="s">
        <v>96</v>
      </c>
      <c r="O225" t="s">
        <v>91</v>
      </c>
      <c r="P225" t="s">
        <v>92</v>
      </c>
      <c r="Q225" t="s">
        <v>93</v>
      </c>
      <c r="R225">
        <v>99999</v>
      </c>
      <c r="S225" t="s">
        <v>30</v>
      </c>
      <c r="T225" t="s">
        <v>48</v>
      </c>
      <c r="U225" t="s">
        <v>80</v>
      </c>
      <c r="V225" t="s">
        <v>81</v>
      </c>
      <c r="W225" s="3">
        <v>9.65</v>
      </c>
      <c r="X225">
        <v>68</v>
      </c>
      <c r="Y225" s="4">
        <v>656.2</v>
      </c>
      <c r="Z225" s="3">
        <v>64.307600000000008</v>
      </c>
    </row>
    <row r="226" spans="1:26" x14ac:dyDescent="0.3">
      <c r="A226">
        <v>1257</v>
      </c>
      <c r="B226" s="2">
        <v>41910</v>
      </c>
      <c r="C226">
        <v>28</v>
      </c>
      <c r="D226" t="s">
        <v>90</v>
      </c>
      <c r="E226" t="s">
        <v>91</v>
      </c>
      <c r="F226" t="s">
        <v>92</v>
      </c>
      <c r="G226" t="s">
        <v>93</v>
      </c>
      <c r="H226">
        <v>99999</v>
      </c>
      <c r="I226" t="s">
        <v>30</v>
      </c>
      <c r="J226" t="s">
        <v>94</v>
      </c>
      <c r="K226" t="s">
        <v>95</v>
      </c>
      <c r="L226">
        <v>41912</v>
      </c>
      <c r="M226" t="s">
        <v>62</v>
      </c>
      <c r="N226" t="s">
        <v>96</v>
      </c>
      <c r="O226" t="s">
        <v>91</v>
      </c>
      <c r="P226" t="s">
        <v>92</v>
      </c>
      <c r="Q226" t="s">
        <v>93</v>
      </c>
      <c r="R226">
        <v>99999</v>
      </c>
      <c r="S226" t="s">
        <v>30</v>
      </c>
      <c r="T226" t="s">
        <v>48</v>
      </c>
      <c r="U226" t="s">
        <v>123</v>
      </c>
      <c r="V226" t="s">
        <v>124</v>
      </c>
      <c r="W226" s="3">
        <v>18.399999999999999</v>
      </c>
      <c r="X226">
        <v>32</v>
      </c>
      <c r="Y226" s="4">
        <v>588.79999999999995</v>
      </c>
      <c r="Z226" s="3">
        <v>58.879999999999995</v>
      </c>
    </row>
    <row r="227" spans="1:26" x14ac:dyDescent="0.3">
      <c r="A227">
        <v>1258</v>
      </c>
      <c r="B227" s="2">
        <v>41891</v>
      </c>
      <c r="C227">
        <v>9</v>
      </c>
      <c r="D227" t="s">
        <v>125</v>
      </c>
      <c r="E227" t="s">
        <v>126</v>
      </c>
      <c r="F227" t="s">
        <v>127</v>
      </c>
      <c r="G227" t="s">
        <v>128</v>
      </c>
      <c r="H227">
        <v>99999</v>
      </c>
      <c r="I227" t="s">
        <v>30</v>
      </c>
      <c r="J227" t="s">
        <v>129</v>
      </c>
      <c r="K227" t="s">
        <v>32</v>
      </c>
      <c r="L227" s="2">
        <v>41893</v>
      </c>
      <c r="M227" t="s">
        <v>46</v>
      </c>
      <c r="N227" t="s">
        <v>130</v>
      </c>
      <c r="O227" t="s">
        <v>126</v>
      </c>
      <c r="P227" t="s">
        <v>127</v>
      </c>
      <c r="Q227" t="s">
        <v>128</v>
      </c>
      <c r="R227">
        <v>99999</v>
      </c>
      <c r="S227" t="s">
        <v>30</v>
      </c>
      <c r="T227" t="s">
        <v>35</v>
      </c>
      <c r="U227" t="s">
        <v>131</v>
      </c>
      <c r="V227" t="s">
        <v>132</v>
      </c>
      <c r="W227" s="3">
        <v>19.5</v>
      </c>
      <c r="X227">
        <v>48</v>
      </c>
      <c r="Y227" s="4">
        <v>936</v>
      </c>
      <c r="Z227" s="3">
        <v>94.536000000000016</v>
      </c>
    </row>
    <row r="228" spans="1:26" x14ac:dyDescent="0.3">
      <c r="A228">
        <v>1259</v>
      </c>
      <c r="B228" s="2">
        <v>41891</v>
      </c>
      <c r="C228">
        <v>9</v>
      </c>
      <c r="D228" t="s">
        <v>125</v>
      </c>
      <c r="E228" t="s">
        <v>126</v>
      </c>
      <c r="F228" t="s">
        <v>127</v>
      </c>
      <c r="G228" t="s">
        <v>128</v>
      </c>
      <c r="H228">
        <v>99999</v>
      </c>
      <c r="I228" t="s">
        <v>30</v>
      </c>
      <c r="J228" t="s">
        <v>129</v>
      </c>
      <c r="K228" t="s">
        <v>32</v>
      </c>
      <c r="L228" s="2">
        <v>41893</v>
      </c>
      <c r="M228" t="s">
        <v>46</v>
      </c>
      <c r="N228" t="s">
        <v>130</v>
      </c>
      <c r="O228" t="s">
        <v>126</v>
      </c>
      <c r="P228" t="s">
        <v>127</v>
      </c>
      <c r="Q228" t="s">
        <v>128</v>
      </c>
      <c r="R228">
        <v>99999</v>
      </c>
      <c r="S228" t="s">
        <v>30</v>
      </c>
      <c r="T228" t="s">
        <v>35</v>
      </c>
      <c r="U228" t="s">
        <v>133</v>
      </c>
      <c r="V228" t="s">
        <v>134</v>
      </c>
      <c r="W228" s="3">
        <v>34.799999999999997</v>
      </c>
      <c r="X228">
        <v>57</v>
      </c>
      <c r="Y228" s="4">
        <v>1983.6</v>
      </c>
      <c r="Z228" s="3">
        <v>194.39280000000002</v>
      </c>
    </row>
    <row r="229" spans="1:26" x14ac:dyDescent="0.3">
      <c r="A229">
        <v>1260</v>
      </c>
      <c r="B229" s="2">
        <v>41888</v>
      </c>
      <c r="C229">
        <v>6</v>
      </c>
      <c r="D229" t="s">
        <v>82</v>
      </c>
      <c r="E229" t="s">
        <v>83</v>
      </c>
      <c r="F229" t="s">
        <v>84</v>
      </c>
      <c r="G229" t="s">
        <v>85</v>
      </c>
      <c r="H229">
        <v>99999</v>
      </c>
      <c r="I229" t="s">
        <v>30</v>
      </c>
      <c r="J229" t="s">
        <v>86</v>
      </c>
      <c r="K229" t="s">
        <v>61</v>
      </c>
      <c r="L229" s="2">
        <v>41890</v>
      </c>
      <c r="M229" t="s">
        <v>33</v>
      </c>
      <c r="N229" t="s">
        <v>87</v>
      </c>
      <c r="O229" t="s">
        <v>83</v>
      </c>
      <c r="P229" t="s">
        <v>84</v>
      </c>
      <c r="Q229" t="s">
        <v>85</v>
      </c>
      <c r="R229">
        <v>99999</v>
      </c>
      <c r="S229" t="s">
        <v>30</v>
      </c>
      <c r="T229" t="s">
        <v>48</v>
      </c>
      <c r="U229" t="s">
        <v>36</v>
      </c>
      <c r="V229" t="s">
        <v>37</v>
      </c>
      <c r="W229" s="3">
        <v>14</v>
      </c>
      <c r="X229">
        <v>67</v>
      </c>
      <c r="Y229" s="4">
        <v>938</v>
      </c>
      <c r="Z229" s="3">
        <v>98.490000000000009</v>
      </c>
    </row>
    <row r="230" spans="1:26" x14ac:dyDescent="0.3">
      <c r="A230">
        <v>1261</v>
      </c>
      <c r="B230" s="2">
        <v>41890</v>
      </c>
      <c r="C230">
        <v>8</v>
      </c>
      <c r="D230" t="s">
        <v>56</v>
      </c>
      <c r="E230" t="s">
        <v>57</v>
      </c>
      <c r="F230" t="s">
        <v>58</v>
      </c>
      <c r="G230" t="s">
        <v>59</v>
      </c>
      <c r="H230">
        <v>99999</v>
      </c>
      <c r="I230" t="s">
        <v>30</v>
      </c>
      <c r="J230" t="s">
        <v>60</v>
      </c>
      <c r="K230" t="s">
        <v>61</v>
      </c>
      <c r="L230">
        <v>41892</v>
      </c>
      <c r="M230" t="s">
        <v>33</v>
      </c>
      <c r="N230" t="s">
        <v>63</v>
      </c>
      <c r="O230" t="s">
        <v>57</v>
      </c>
      <c r="P230" t="s">
        <v>58</v>
      </c>
      <c r="Q230" t="s">
        <v>59</v>
      </c>
      <c r="R230">
        <v>99999</v>
      </c>
      <c r="S230" t="s">
        <v>30</v>
      </c>
      <c r="T230" t="s">
        <v>35</v>
      </c>
      <c r="U230" t="s">
        <v>88</v>
      </c>
      <c r="V230" t="s">
        <v>89</v>
      </c>
      <c r="W230" s="3">
        <v>40</v>
      </c>
      <c r="X230">
        <v>48</v>
      </c>
      <c r="Y230" s="4">
        <v>1920</v>
      </c>
      <c r="Z230" s="3">
        <v>188.16</v>
      </c>
    </row>
    <row r="231" spans="1:26" x14ac:dyDescent="0.3">
      <c r="A231">
        <v>1262</v>
      </c>
      <c r="B231" s="2">
        <v>41890</v>
      </c>
      <c r="C231">
        <v>8</v>
      </c>
      <c r="D231" t="s">
        <v>56</v>
      </c>
      <c r="E231" t="s">
        <v>57</v>
      </c>
      <c r="F231" t="s">
        <v>58</v>
      </c>
      <c r="G231" t="s">
        <v>59</v>
      </c>
      <c r="H231">
        <v>99999</v>
      </c>
      <c r="I231" t="s">
        <v>30</v>
      </c>
      <c r="J231" t="s">
        <v>60</v>
      </c>
      <c r="K231" t="s">
        <v>61</v>
      </c>
      <c r="L231">
        <v>41892</v>
      </c>
      <c r="M231" t="s">
        <v>33</v>
      </c>
      <c r="N231" t="s">
        <v>63</v>
      </c>
      <c r="O231" t="s">
        <v>57</v>
      </c>
      <c r="P231" t="s">
        <v>58</v>
      </c>
      <c r="Q231" t="s">
        <v>59</v>
      </c>
      <c r="R231">
        <v>99999</v>
      </c>
      <c r="S231" t="s">
        <v>30</v>
      </c>
      <c r="T231" t="s">
        <v>35</v>
      </c>
      <c r="U231" t="s">
        <v>64</v>
      </c>
      <c r="V231" t="s">
        <v>65</v>
      </c>
      <c r="W231" s="3">
        <v>9.1999999999999993</v>
      </c>
      <c r="X231">
        <v>77</v>
      </c>
      <c r="Y231" s="4">
        <v>708.4</v>
      </c>
      <c r="Z231" s="3">
        <v>72.256799999999998</v>
      </c>
    </row>
    <row r="232" spans="1:26" x14ac:dyDescent="0.3">
      <c r="A232">
        <v>1263</v>
      </c>
      <c r="B232" s="2">
        <v>41907</v>
      </c>
      <c r="C232">
        <v>25</v>
      </c>
      <c r="D232" t="s">
        <v>137</v>
      </c>
      <c r="E232" t="s">
        <v>138</v>
      </c>
      <c r="F232" t="s">
        <v>99</v>
      </c>
      <c r="G232" t="s">
        <v>100</v>
      </c>
      <c r="H232">
        <v>99999</v>
      </c>
      <c r="I232" t="s">
        <v>30</v>
      </c>
      <c r="J232" t="s">
        <v>101</v>
      </c>
      <c r="K232" t="s">
        <v>45</v>
      </c>
      <c r="L232">
        <v>41909</v>
      </c>
      <c r="M232" t="s">
        <v>46</v>
      </c>
      <c r="N232" t="s">
        <v>139</v>
      </c>
      <c r="O232" t="s">
        <v>138</v>
      </c>
      <c r="P232" t="s">
        <v>99</v>
      </c>
      <c r="Q232" t="s">
        <v>100</v>
      </c>
      <c r="R232">
        <v>99999</v>
      </c>
      <c r="S232" t="s">
        <v>30</v>
      </c>
      <c r="T232" t="s">
        <v>79</v>
      </c>
      <c r="U232" t="s">
        <v>146</v>
      </c>
      <c r="V232" t="s">
        <v>65</v>
      </c>
      <c r="W232" s="3">
        <v>10</v>
      </c>
      <c r="X232">
        <v>94</v>
      </c>
      <c r="Y232" s="4">
        <v>940</v>
      </c>
      <c r="Z232" s="3">
        <v>97.76</v>
      </c>
    </row>
    <row r="233" spans="1:26" x14ac:dyDescent="0.3">
      <c r="A233">
        <v>1264</v>
      </c>
      <c r="B233" s="2">
        <v>41908</v>
      </c>
      <c r="C233">
        <v>26</v>
      </c>
      <c r="D233" t="s">
        <v>140</v>
      </c>
      <c r="E233" t="s">
        <v>141</v>
      </c>
      <c r="F233" t="s">
        <v>115</v>
      </c>
      <c r="G233" t="s">
        <v>116</v>
      </c>
      <c r="H233">
        <v>99999</v>
      </c>
      <c r="I233" t="s">
        <v>30</v>
      </c>
      <c r="J233" t="s">
        <v>94</v>
      </c>
      <c r="K233" t="s">
        <v>95</v>
      </c>
      <c r="L233">
        <v>41910</v>
      </c>
      <c r="M233" t="s">
        <v>62</v>
      </c>
      <c r="N233" t="s">
        <v>142</v>
      </c>
      <c r="O233" t="s">
        <v>141</v>
      </c>
      <c r="P233" t="s">
        <v>115</v>
      </c>
      <c r="Q233" t="s">
        <v>116</v>
      </c>
      <c r="R233">
        <v>99999</v>
      </c>
      <c r="S233" t="s">
        <v>30</v>
      </c>
      <c r="T233" t="s">
        <v>48</v>
      </c>
      <c r="U233" t="s">
        <v>147</v>
      </c>
      <c r="V233" t="s">
        <v>148</v>
      </c>
      <c r="W233" s="3">
        <v>21.35</v>
      </c>
      <c r="X233">
        <v>54</v>
      </c>
      <c r="Y233" s="4">
        <v>1152.9000000000001</v>
      </c>
      <c r="Z233" s="3">
        <v>121.05450000000003</v>
      </c>
    </row>
    <row r="234" spans="1:26" x14ac:dyDescent="0.3">
      <c r="A234">
        <v>1265</v>
      </c>
      <c r="B234" s="2">
        <v>41908</v>
      </c>
      <c r="C234">
        <v>26</v>
      </c>
      <c r="D234" t="s">
        <v>140</v>
      </c>
      <c r="E234" t="s">
        <v>141</v>
      </c>
      <c r="F234" t="s">
        <v>115</v>
      </c>
      <c r="G234" t="s">
        <v>116</v>
      </c>
      <c r="H234">
        <v>99999</v>
      </c>
      <c r="I234" t="s">
        <v>30</v>
      </c>
      <c r="J234" t="s">
        <v>94</v>
      </c>
      <c r="K234" t="s">
        <v>95</v>
      </c>
      <c r="L234">
        <v>41910</v>
      </c>
      <c r="M234" t="s">
        <v>62</v>
      </c>
      <c r="N234" t="s">
        <v>142</v>
      </c>
      <c r="O234" t="s">
        <v>141</v>
      </c>
      <c r="P234" t="s">
        <v>115</v>
      </c>
      <c r="Q234" t="s">
        <v>116</v>
      </c>
      <c r="R234">
        <v>99999</v>
      </c>
      <c r="S234" t="s">
        <v>30</v>
      </c>
      <c r="T234" t="s">
        <v>48</v>
      </c>
      <c r="U234" t="s">
        <v>80</v>
      </c>
      <c r="V234" t="s">
        <v>81</v>
      </c>
      <c r="W234" s="3">
        <v>9.65</v>
      </c>
      <c r="X234">
        <v>43</v>
      </c>
      <c r="Y234" s="4">
        <v>414.95</v>
      </c>
      <c r="Z234" s="3">
        <v>40.250150000000005</v>
      </c>
    </row>
    <row r="235" spans="1:26" x14ac:dyDescent="0.3">
      <c r="A235">
        <v>1266</v>
      </c>
      <c r="B235" s="2">
        <v>41908</v>
      </c>
      <c r="C235">
        <v>26</v>
      </c>
      <c r="D235" t="s">
        <v>140</v>
      </c>
      <c r="E235" t="s">
        <v>141</v>
      </c>
      <c r="F235" t="s">
        <v>115</v>
      </c>
      <c r="G235" t="s">
        <v>116</v>
      </c>
      <c r="H235">
        <v>99999</v>
      </c>
      <c r="I235" t="s">
        <v>30</v>
      </c>
      <c r="J235" t="s">
        <v>94</v>
      </c>
      <c r="K235" t="s">
        <v>95</v>
      </c>
      <c r="L235" s="2">
        <v>41910</v>
      </c>
      <c r="M235" t="s">
        <v>62</v>
      </c>
      <c r="N235" t="s">
        <v>142</v>
      </c>
      <c r="O235" t="s">
        <v>141</v>
      </c>
      <c r="P235" t="s">
        <v>115</v>
      </c>
      <c r="Q235" t="s">
        <v>116</v>
      </c>
      <c r="R235">
        <v>99999</v>
      </c>
      <c r="S235" t="s">
        <v>30</v>
      </c>
      <c r="T235" t="s">
        <v>48</v>
      </c>
      <c r="U235" t="s">
        <v>123</v>
      </c>
      <c r="V235" t="s">
        <v>124</v>
      </c>
      <c r="W235" s="3">
        <v>18.399999999999999</v>
      </c>
      <c r="X235">
        <v>71</v>
      </c>
      <c r="Y235" s="4">
        <v>1306.3999999999999</v>
      </c>
      <c r="Z235" s="3">
        <v>134.55919999999998</v>
      </c>
    </row>
    <row r="236" spans="1:26" x14ac:dyDescent="0.3">
      <c r="A236">
        <v>1267</v>
      </c>
      <c r="B236" s="2">
        <v>41911</v>
      </c>
      <c r="C236">
        <v>29</v>
      </c>
      <c r="D236" t="s">
        <v>66</v>
      </c>
      <c r="E236" t="s">
        <v>67</v>
      </c>
      <c r="F236" t="s">
        <v>68</v>
      </c>
      <c r="G236" t="s">
        <v>69</v>
      </c>
      <c r="H236">
        <v>99999</v>
      </c>
      <c r="I236" t="s">
        <v>30</v>
      </c>
      <c r="J236" t="s">
        <v>70</v>
      </c>
      <c r="K236" t="s">
        <v>32</v>
      </c>
      <c r="L236" s="2">
        <v>41913</v>
      </c>
      <c r="M236" t="s">
        <v>33</v>
      </c>
      <c r="N236" t="s">
        <v>71</v>
      </c>
      <c r="O236" t="s">
        <v>67</v>
      </c>
      <c r="P236" t="s">
        <v>68</v>
      </c>
      <c r="Q236" t="s">
        <v>69</v>
      </c>
      <c r="R236">
        <v>99999</v>
      </c>
      <c r="S236" t="s">
        <v>30</v>
      </c>
      <c r="T236" t="s">
        <v>35</v>
      </c>
      <c r="U236" t="s">
        <v>36</v>
      </c>
      <c r="V236" t="s">
        <v>37</v>
      </c>
      <c r="W236" s="3">
        <v>14</v>
      </c>
      <c r="X236">
        <v>50</v>
      </c>
      <c r="Y236" s="4">
        <v>700</v>
      </c>
      <c r="Z236" s="3">
        <v>67.2</v>
      </c>
    </row>
    <row r="237" spans="1:26" x14ac:dyDescent="0.3">
      <c r="A237">
        <v>1268</v>
      </c>
      <c r="B237" s="2">
        <v>41888</v>
      </c>
      <c r="C237">
        <v>6</v>
      </c>
      <c r="D237" t="s">
        <v>82</v>
      </c>
      <c r="E237" t="s">
        <v>83</v>
      </c>
      <c r="F237" t="s">
        <v>84</v>
      </c>
      <c r="G237" t="s">
        <v>85</v>
      </c>
      <c r="H237">
        <v>99999</v>
      </c>
      <c r="I237" t="s">
        <v>30</v>
      </c>
      <c r="J237" t="s">
        <v>86</v>
      </c>
      <c r="K237" t="s">
        <v>61</v>
      </c>
      <c r="L237" s="2">
        <v>41890</v>
      </c>
      <c r="M237" t="s">
        <v>62</v>
      </c>
      <c r="N237" t="s">
        <v>87</v>
      </c>
      <c r="O237" t="s">
        <v>83</v>
      </c>
      <c r="P237" t="s">
        <v>84</v>
      </c>
      <c r="Q237" t="s">
        <v>85</v>
      </c>
      <c r="R237">
        <v>99999</v>
      </c>
      <c r="S237" t="s">
        <v>30</v>
      </c>
      <c r="T237" t="s">
        <v>35</v>
      </c>
      <c r="U237" t="s">
        <v>72</v>
      </c>
      <c r="V237" t="s">
        <v>73</v>
      </c>
      <c r="W237" s="3">
        <v>12.75</v>
      </c>
      <c r="X237">
        <v>96</v>
      </c>
      <c r="Y237" s="4">
        <v>1224</v>
      </c>
      <c r="Z237" s="3">
        <v>119.952</v>
      </c>
    </row>
    <row r="238" spans="1:26" x14ac:dyDescent="0.3">
      <c r="A238">
        <v>1270</v>
      </c>
      <c r="B238" s="2">
        <v>41886</v>
      </c>
      <c r="C238">
        <v>4</v>
      </c>
      <c r="D238" t="s">
        <v>40</v>
      </c>
      <c r="E238" t="s">
        <v>41</v>
      </c>
      <c r="F238" t="s">
        <v>42</v>
      </c>
      <c r="G238" t="s">
        <v>43</v>
      </c>
      <c r="H238">
        <v>99999</v>
      </c>
      <c r="I238" t="s">
        <v>30</v>
      </c>
      <c r="J238" t="s">
        <v>44</v>
      </c>
      <c r="K238" t="s">
        <v>45</v>
      </c>
      <c r="L238" s="2">
        <v>41888</v>
      </c>
      <c r="M238" t="s">
        <v>46</v>
      </c>
      <c r="N238" t="s">
        <v>47</v>
      </c>
      <c r="O238" t="s">
        <v>41</v>
      </c>
      <c r="P238" t="s">
        <v>42</v>
      </c>
      <c r="Q238" t="s">
        <v>43</v>
      </c>
      <c r="R238">
        <v>99999</v>
      </c>
      <c r="S238" t="s">
        <v>30</v>
      </c>
      <c r="T238" t="s">
        <v>48</v>
      </c>
      <c r="U238" t="s">
        <v>149</v>
      </c>
      <c r="V238" t="s">
        <v>110</v>
      </c>
      <c r="W238" s="3">
        <v>81</v>
      </c>
      <c r="X238">
        <v>54</v>
      </c>
      <c r="Y238" s="4">
        <v>4374</v>
      </c>
      <c r="Z238" s="3">
        <v>437.40000000000003</v>
      </c>
    </row>
    <row r="239" spans="1:26" x14ac:dyDescent="0.3">
      <c r="A239">
        <v>1271</v>
      </c>
      <c r="B239" s="2">
        <v>41886</v>
      </c>
      <c r="C239">
        <v>4</v>
      </c>
      <c r="D239" t="s">
        <v>40</v>
      </c>
      <c r="E239" t="s">
        <v>41</v>
      </c>
      <c r="F239" t="s">
        <v>42</v>
      </c>
      <c r="G239" t="s">
        <v>43</v>
      </c>
      <c r="H239">
        <v>99999</v>
      </c>
      <c r="I239" t="s">
        <v>30</v>
      </c>
      <c r="J239" t="s">
        <v>44</v>
      </c>
      <c r="K239" t="s">
        <v>45</v>
      </c>
      <c r="L239" s="2">
        <v>41888</v>
      </c>
      <c r="M239" t="s">
        <v>46</v>
      </c>
      <c r="N239" t="s">
        <v>47</v>
      </c>
      <c r="O239" t="s">
        <v>41</v>
      </c>
      <c r="P239" t="s">
        <v>42</v>
      </c>
      <c r="Q239" t="s">
        <v>43</v>
      </c>
      <c r="R239">
        <v>99999</v>
      </c>
      <c r="S239" t="s">
        <v>30</v>
      </c>
      <c r="T239" t="s">
        <v>48</v>
      </c>
      <c r="U239" t="s">
        <v>150</v>
      </c>
      <c r="V239" t="s">
        <v>151</v>
      </c>
      <c r="W239" s="3">
        <v>7</v>
      </c>
      <c r="X239">
        <v>39</v>
      </c>
      <c r="Y239" s="4">
        <v>273</v>
      </c>
      <c r="Z239" s="3">
        <v>27.3</v>
      </c>
    </row>
    <row r="240" spans="1:26" x14ac:dyDescent="0.3">
      <c r="A240">
        <v>1273</v>
      </c>
      <c r="B240" s="2">
        <v>41890</v>
      </c>
      <c r="C240">
        <v>8</v>
      </c>
      <c r="D240" t="s">
        <v>56</v>
      </c>
      <c r="E240" t="s">
        <v>57</v>
      </c>
      <c r="F240" t="s">
        <v>58</v>
      </c>
      <c r="G240" t="s">
        <v>59</v>
      </c>
      <c r="H240">
        <v>99999</v>
      </c>
      <c r="I240" t="s">
        <v>30</v>
      </c>
      <c r="J240" t="s">
        <v>60</v>
      </c>
      <c r="K240" t="s">
        <v>61</v>
      </c>
      <c r="L240" s="2">
        <v>41892</v>
      </c>
      <c r="M240" t="s">
        <v>62</v>
      </c>
      <c r="N240" t="s">
        <v>63</v>
      </c>
      <c r="O240" t="s">
        <v>57</v>
      </c>
      <c r="P240" t="s">
        <v>58</v>
      </c>
      <c r="Q240" t="s">
        <v>59</v>
      </c>
      <c r="R240">
        <v>99999</v>
      </c>
      <c r="S240" t="s">
        <v>30</v>
      </c>
      <c r="T240" t="s">
        <v>48</v>
      </c>
      <c r="U240" t="s">
        <v>133</v>
      </c>
      <c r="V240" t="s">
        <v>134</v>
      </c>
      <c r="W240" s="3">
        <v>34.799999999999997</v>
      </c>
      <c r="X240">
        <v>63</v>
      </c>
      <c r="Y240" s="4">
        <v>2192.3999999999996</v>
      </c>
      <c r="Z240" s="3">
        <v>230.202</v>
      </c>
    </row>
    <row r="241" spans="1:26" x14ac:dyDescent="0.3">
      <c r="A241">
        <v>1276</v>
      </c>
      <c r="B241" s="2">
        <v>41885</v>
      </c>
      <c r="C241">
        <v>3</v>
      </c>
      <c r="D241" t="s">
        <v>74</v>
      </c>
      <c r="E241" t="s">
        <v>75</v>
      </c>
      <c r="F241" t="s">
        <v>76</v>
      </c>
      <c r="G241" t="s">
        <v>77</v>
      </c>
      <c r="H241">
        <v>99999</v>
      </c>
      <c r="I241" t="s">
        <v>30</v>
      </c>
      <c r="J241" t="s">
        <v>31</v>
      </c>
      <c r="K241" t="s">
        <v>32</v>
      </c>
      <c r="L241" s="2">
        <v>41887</v>
      </c>
      <c r="M241" t="s">
        <v>33</v>
      </c>
      <c r="N241" t="s">
        <v>78</v>
      </c>
      <c r="O241" t="s">
        <v>75</v>
      </c>
      <c r="P241" t="s">
        <v>76</v>
      </c>
      <c r="Q241" t="s">
        <v>77</v>
      </c>
      <c r="R241">
        <v>99999</v>
      </c>
      <c r="S241" t="s">
        <v>30</v>
      </c>
      <c r="T241" t="s">
        <v>79</v>
      </c>
      <c r="U241" t="s">
        <v>135</v>
      </c>
      <c r="V241" t="s">
        <v>112</v>
      </c>
      <c r="W241" s="3">
        <v>10</v>
      </c>
      <c r="X241">
        <v>71</v>
      </c>
      <c r="Y241" s="4">
        <v>710</v>
      </c>
      <c r="Z241" s="3">
        <v>73.13</v>
      </c>
    </row>
    <row r="242" spans="1:26" x14ac:dyDescent="0.3">
      <c r="A242">
        <v>1277</v>
      </c>
      <c r="B242" s="2">
        <v>41885</v>
      </c>
      <c r="C242">
        <v>3</v>
      </c>
      <c r="D242" t="s">
        <v>74</v>
      </c>
      <c r="E242" t="s">
        <v>75</v>
      </c>
      <c r="F242" t="s">
        <v>76</v>
      </c>
      <c r="G242" t="s">
        <v>77</v>
      </c>
      <c r="H242">
        <v>99999</v>
      </c>
      <c r="I242" t="s">
        <v>30</v>
      </c>
      <c r="J242" t="s">
        <v>31</v>
      </c>
      <c r="K242" t="s">
        <v>32</v>
      </c>
      <c r="L242" s="2">
        <v>41887</v>
      </c>
      <c r="M242" t="s">
        <v>33</v>
      </c>
      <c r="N242" t="s">
        <v>78</v>
      </c>
      <c r="O242" t="s">
        <v>75</v>
      </c>
      <c r="P242" t="s">
        <v>76</v>
      </c>
      <c r="Q242" t="s">
        <v>77</v>
      </c>
      <c r="R242">
        <v>99999</v>
      </c>
      <c r="S242" t="s">
        <v>30</v>
      </c>
      <c r="T242" t="s">
        <v>79</v>
      </c>
      <c r="U242" t="s">
        <v>88</v>
      </c>
      <c r="V242" t="s">
        <v>89</v>
      </c>
      <c r="W242" s="3">
        <v>40</v>
      </c>
      <c r="X242">
        <v>88</v>
      </c>
      <c r="Y242" s="4">
        <v>3520</v>
      </c>
      <c r="Z242" s="3">
        <v>366.08000000000004</v>
      </c>
    </row>
    <row r="243" spans="1:26" x14ac:dyDescent="0.3">
      <c r="A243">
        <v>1281</v>
      </c>
      <c r="B243" s="2">
        <v>41892</v>
      </c>
      <c r="C243">
        <v>10</v>
      </c>
      <c r="D243" t="s">
        <v>97</v>
      </c>
      <c r="E243" t="s">
        <v>98</v>
      </c>
      <c r="F243" t="s">
        <v>99</v>
      </c>
      <c r="G243" t="s">
        <v>100</v>
      </c>
      <c r="H243">
        <v>99999</v>
      </c>
      <c r="I243" t="s">
        <v>30</v>
      </c>
      <c r="J243" t="s">
        <v>101</v>
      </c>
      <c r="K243" t="s">
        <v>45</v>
      </c>
      <c r="L243" s="2">
        <v>41894</v>
      </c>
      <c r="M243" t="s">
        <v>33</v>
      </c>
      <c r="N243" t="s">
        <v>102</v>
      </c>
      <c r="O243" t="s">
        <v>98</v>
      </c>
      <c r="P243" t="s">
        <v>99</v>
      </c>
      <c r="Q243" t="s">
        <v>100</v>
      </c>
      <c r="R243">
        <v>99999</v>
      </c>
      <c r="S243" t="s">
        <v>30</v>
      </c>
      <c r="T243" t="s">
        <v>48</v>
      </c>
      <c r="U243" t="s">
        <v>136</v>
      </c>
      <c r="V243" t="s">
        <v>39</v>
      </c>
      <c r="W243" s="3">
        <v>10</v>
      </c>
      <c r="X243">
        <v>59</v>
      </c>
      <c r="Y243" s="4">
        <v>590</v>
      </c>
      <c r="Z243" s="3">
        <v>59.59</v>
      </c>
    </row>
    <row r="244" spans="1:26" x14ac:dyDescent="0.3">
      <c r="A244">
        <v>1282</v>
      </c>
      <c r="B244" s="2">
        <v>41918</v>
      </c>
      <c r="C244">
        <v>6</v>
      </c>
      <c r="D244" t="s">
        <v>82</v>
      </c>
      <c r="E244" t="s">
        <v>83</v>
      </c>
      <c r="F244" t="s">
        <v>84</v>
      </c>
      <c r="G244" t="s">
        <v>85</v>
      </c>
      <c r="H244">
        <v>99999</v>
      </c>
      <c r="I244" t="s">
        <v>30</v>
      </c>
      <c r="J244" t="s">
        <v>86</v>
      </c>
      <c r="K244" t="s">
        <v>61</v>
      </c>
      <c r="L244" s="2">
        <v>41920</v>
      </c>
      <c r="M244" t="s">
        <v>33</v>
      </c>
      <c r="N244" t="s">
        <v>87</v>
      </c>
      <c r="O244" t="s">
        <v>83</v>
      </c>
      <c r="P244" t="s">
        <v>84</v>
      </c>
      <c r="Q244" t="s">
        <v>85</v>
      </c>
      <c r="R244">
        <v>99999</v>
      </c>
      <c r="S244" t="s">
        <v>30</v>
      </c>
      <c r="T244" t="s">
        <v>48</v>
      </c>
      <c r="U244" t="s">
        <v>88</v>
      </c>
      <c r="V244" t="s">
        <v>89</v>
      </c>
      <c r="W244" s="3">
        <v>40</v>
      </c>
      <c r="X244">
        <v>94</v>
      </c>
      <c r="Y244" s="4">
        <v>3760</v>
      </c>
      <c r="Z244" s="3">
        <v>376</v>
      </c>
    </row>
    <row r="245" spans="1:26" x14ac:dyDescent="0.3">
      <c r="A245">
        <v>1283</v>
      </c>
      <c r="B245" s="2">
        <v>41940</v>
      </c>
      <c r="C245">
        <v>28</v>
      </c>
      <c r="D245" t="s">
        <v>90</v>
      </c>
      <c r="E245" t="s">
        <v>91</v>
      </c>
      <c r="F245" t="s">
        <v>92</v>
      </c>
      <c r="G245" t="s">
        <v>93</v>
      </c>
      <c r="H245">
        <v>99999</v>
      </c>
      <c r="I245" t="s">
        <v>30</v>
      </c>
      <c r="J245" t="s">
        <v>94</v>
      </c>
      <c r="K245" t="s">
        <v>95</v>
      </c>
      <c r="L245" s="2">
        <v>41942</v>
      </c>
      <c r="M245" t="s">
        <v>62</v>
      </c>
      <c r="N245" t="s">
        <v>96</v>
      </c>
      <c r="O245" t="s">
        <v>91</v>
      </c>
      <c r="P245" t="s">
        <v>92</v>
      </c>
      <c r="Q245" t="s">
        <v>93</v>
      </c>
      <c r="R245">
        <v>99999</v>
      </c>
      <c r="S245" t="s">
        <v>30</v>
      </c>
      <c r="T245" t="s">
        <v>35</v>
      </c>
      <c r="U245" t="s">
        <v>55</v>
      </c>
      <c r="V245" t="s">
        <v>37</v>
      </c>
      <c r="W245" s="3">
        <v>46</v>
      </c>
      <c r="X245">
        <v>86</v>
      </c>
      <c r="Y245" s="4">
        <v>3956</v>
      </c>
      <c r="Z245" s="3">
        <v>379.77600000000001</v>
      </c>
    </row>
    <row r="246" spans="1:26" x14ac:dyDescent="0.3">
      <c r="A246">
        <v>1284</v>
      </c>
      <c r="B246" s="2">
        <v>41920</v>
      </c>
      <c r="C246">
        <v>8</v>
      </c>
      <c r="D246" t="s">
        <v>56</v>
      </c>
      <c r="E246" t="s">
        <v>57</v>
      </c>
      <c r="F246" t="s">
        <v>58</v>
      </c>
      <c r="G246" t="s">
        <v>59</v>
      </c>
      <c r="H246">
        <v>99999</v>
      </c>
      <c r="I246" t="s">
        <v>30</v>
      </c>
      <c r="J246" t="s">
        <v>60</v>
      </c>
      <c r="K246" t="s">
        <v>61</v>
      </c>
      <c r="L246" s="2">
        <v>41922</v>
      </c>
      <c r="M246" t="s">
        <v>62</v>
      </c>
      <c r="N246" t="s">
        <v>63</v>
      </c>
      <c r="O246" t="s">
        <v>57</v>
      </c>
      <c r="P246" t="s">
        <v>58</v>
      </c>
      <c r="Q246" t="s">
        <v>59</v>
      </c>
      <c r="R246">
        <v>99999</v>
      </c>
      <c r="S246" t="s">
        <v>30</v>
      </c>
      <c r="T246" t="s">
        <v>35</v>
      </c>
      <c r="U246" t="s">
        <v>72</v>
      </c>
      <c r="V246" t="s">
        <v>73</v>
      </c>
      <c r="W246" s="3">
        <v>12.75</v>
      </c>
      <c r="X246">
        <v>61</v>
      </c>
      <c r="Y246" s="4">
        <v>777.75</v>
      </c>
      <c r="Z246" s="3">
        <v>78.552750000000003</v>
      </c>
    </row>
    <row r="247" spans="1:26" x14ac:dyDescent="0.3">
      <c r="A247">
        <v>1285</v>
      </c>
      <c r="B247" s="2">
        <v>41922</v>
      </c>
      <c r="C247">
        <v>10</v>
      </c>
      <c r="D247" t="s">
        <v>97</v>
      </c>
      <c r="E247" t="s">
        <v>98</v>
      </c>
      <c r="F247" t="s">
        <v>99</v>
      </c>
      <c r="G247" t="s">
        <v>100</v>
      </c>
      <c r="H247">
        <v>99999</v>
      </c>
      <c r="I247" t="s">
        <v>30</v>
      </c>
      <c r="J247" t="s">
        <v>101</v>
      </c>
      <c r="K247" t="s">
        <v>45</v>
      </c>
      <c r="L247" s="2">
        <v>41924</v>
      </c>
      <c r="M247" t="s">
        <v>33</v>
      </c>
      <c r="N247" t="s">
        <v>102</v>
      </c>
      <c r="O247" t="s">
        <v>98</v>
      </c>
      <c r="P247" t="s">
        <v>99</v>
      </c>
      <c r="Q247" t="s">
        <v>100</v>
      </c>
      <c r="R247">
        <v>99999</v>
      </c>
      <c r="S247" t="s">
        <v>30</v>
      </c>
      <c r="T247" t="s">
        <v>48</v>
      </c>
      <c r="U247" t="s">
        <v>103</v>
      </c>
      <c r="V247" t="s">
        <v>37</v>
      </c>
      <c r="W247" s="3">
        <v>2.99</v>
      </c>
      <c r="X247">
        <v>32</v>
      </c>
      <c r="Y247" s="4">
        <v>95.68</v>
      </c>
      <c r="Z247" s="3">
        <v>9.7593600000000009</v>
      </c>
    </row>
    <row r="248" spans="1:26" x14ac:dyDescent="0.3">
      <c r="A248">
        <v>1286</v>
      </c>
      <c r="B248" s="2">
        <v>41919</v>
      </c>
      <c r="C248">
        <v>7</v>
      </c>
      <c r="D248" t="s">
        <v>104</v>
      </c>
      <c r="E248" t="s">
        <v>105</v>
      </c>
      <c r="F248" t="s">
        <v>106</v>
      </c>
      <c r="G248" t="s">
        <v>107</v>
      </c>
      <c r="H248">
        <v>99999</v>
      </c>
      <c r="I248" t="s">
        <v>30</v>
      </c>
      <c r="J248" t="s">
        <v>60</v>
      </c>
      <c r="K248" t="s">
        <v>61</v>
      </c>
      <c r="L248" s="2"/>
      <c r="N248" t="s">
        <v>108</v>
      </c>
      <c r="O248" t="s">
        <v>105</v>
      </c>
      <c r="P248" t="s">
        <v>106</v>
      </c>
      <c r="Q248" t="s">
        <v>107</v>
      </c>
      <c r="R248">
        <v>99999</v>
      </c>
      <c r="S248" t="s">
        <v>30</v>
      </c>
      <c r="U248" t="s">
        <v>55</v>
      </c>
      <c r="V248" t="s">
        <v>37</v>
      </c>
      <c r="W248">
        <v>46</v>
      </c>
      <c r="X248">
        <v>62</v>
      </c>
      <c r="Y248" s="4">
        <v>2852</v>
      </c>
      <c r="Z248" s="3">
        <v>290.904</v>
      </c>
    </row>
    <row r="249" spans="1:26" x14ac:dyDescent="0.3">
      <c r="A249">
        <v>1287</v>
      </c>
      <c r="B249" s="2">
        <v>41922</v>
      </c>
      <c r="C249">
        <v>10</v>
      </c>
      <c r="D249" t="s">
        <v>97</v>
      </c>
      <c r="E249" t="s">
        <v>98</v>
      </c>
      <c r="F249" t="s">
        <v>99</v>
      </c>
      <c r="G249" t="s">
        <v>100</v>
      </c>
      <c r="H249">
        <v>99999</v>
      </c>
      <c r="I249" t="s">
        <v>30</v>
      </c>
      <c r="J249" t="s">
        <v>101</v>
      </c>
      <c r="K249" t="s">
        <v>45</v>
      </c>
      <c r="L249" s="2">
        <v>41924</v>
      </c>
      <c r="M249" t="s">
        <v>46</v>
      </c>
      <c r="N249" t="s">
        <v>102</v>
      </c>
      <c r="O249" t="s">
        <v>98</v>
      </c>
      <c r="P249" t="s">
        <v>99</v>
      </c>
      <c r="Q249" t="s">
        <v>100</v>
      </c>
      <c r="R249">
        <v>99999</v>
      </c>
      <c r="S249" t="s">
        <v>30</v>
      </c>
      <c r="U249" t="s">
        <v>109</v>
      </c>
      <c r="V249" t="s">
        <v>110</v>
      </c>
      <c r="W249">
        <v>25</v>
      </c>
      <c r="X249">
        <v>60</v>
      </c>
      <c r="Y249" s="4">
        <v>1500</v>
      </c>
      <c r="Z249" s="3">
        <v>154.5</v>
      </c>
    </row>
    <row r="250" spans="1:26" x14ac:dyDescent="0.3">
      <c r="A250">
        <v>1288</v>
      </c>
      <c r="B250" s="2">
        <v>41922</v>
      </c>
      <c r="C250">
        <v>10</v>
      </c>
      <c r="D250" t="s">
        <v>97</v>
      </c>
      <c r="E250" t="s">
        <v>98</v>
      </c>
      <c r="F250" t="s">
        <v>99</v>
      </c>
      <c r="G250" t="s">
        <v>100</v>
      </c>
      <c r="H250">
        <v>99999</v>
      </c>
      <c r="I250" t="s">
        <v>30</v>
      </c>
      <c r="J250" t="s">
        <v>101</v>
      </c>
      <c r="K250" t="s">
        <v>45</v>
      </c>
      <c r="L250" s="2">
        <v>41924</v>
      </c>
      <c r="M250" t="s">
        <v>46</v>
      </c>
      <c r="N250" t="s">
        <v>102</v>
      </c>
      <c r="O250" t="s">
        <v>98</v>
      </c>
      <c r="P250" t="s">
        <v>99</v>
      </c>
      <c r="Q250" t="s">
        <v>100</v>
      </c>
      <c r="R250">
        <v>99999</v>
      </c>
      <c r="S250" t="s">
        <v>30</v>
      </c>
      <c r="U250" t="s">
        <v>111</v>
      </c>
      <c r="V250" t="s">
        <v>112</v>
      </c>
      <c r="W250">
        <v>22</v>
      </c>
      <c r="X250">
        <v>51</v>
      </c>
      <c r="Y250" s="4">
        <v>1122</v>
      </c>
      <c r="Z250" s="3">
        <v>109.956</v>
      </c>
    </row>
    <row r="251" spans="1:26" x14ac:dyDescent="0.3">
      <c r="A251">
        <v>1289</v>
      </c>
      <c r="B251" s="2">
        <v>41922</v>
      </c>
      <c r="C251">
        <v>10</v>
      </c>
      <c r="D251" t="s">
        <v>97</v>
      </c>
      <c r="E251" t="s">
        <v>98</v>
      </c>
      <c r="F251" t="s">
        <v>99</v>
      </c>
      <c r="G251" t="s">
        <v>100</v>
      </c>
      <c r="H251">
        <v>99999</v>
      </c>
      <c r="I251" t="s">
        <v>30</v>
      </c>
      <c r="J251" t="s">
        <v>101</v>
      </c>
      <c r="K251" t="s">
        <v>45</v>
      </c>
      <c r="L251" s="2">
        <v>41924</v>
      </c>
      <c r="M251" t="s">
        <v>46</v>
      </c>
      <c r="N251" t="s">
        <v>102</v>
      </c>
      <c r="O251" t="s">
        <v>98</v>
      </c>
      <c r="P251" t="s">
        <v>99</v>
      </c>
      <c r="Q251" t="s">
        <v>100</v>
      </c>
      <c r="R251">
        <v>99999</v>
      </c>
      <c r="S251" t="s">
        <v>30</v>
      </c>
      <c r="U251" t="s">
        <v>64</v>
      </c>
      <c r="V251" t="s">
        <v>65</v>
      </c>
      <c r="W251" s="3">
        <v>9.1999999999999993</v>
      </c>
      <c r="X251">
        <v>49</v>
      </c>
      <c r="Y251" s="4">
        <v>450.79999999999995</v>
      </c>
      <c r="Z251" s="3">
        <v>44.629199999999997</v>
      </c>
    </row>
    <row r="252" spans="1:26" x14ac:dyDescent="0.3">
      <c r="A252">
        <v>1290</v>
      </c>
      <c r="B252" s="2">
        <v>41923</v>
      </c>
      <c r="C252">
        <v>11</v>
      </c>
      <c r="D252" t="s">
        <v>113</v>
      </c>
      <c r="E252" t="s">
        <v>114</v>
      </c>
      <c r="F252" t="s">
        <v>115</v>
      </c>
      <c r="G252" t="s">
        <v>116</v>
      </c>
      <c r="H252">
        <v>99999</v>
      </c>
      <c r="I252" t="s">
        <v>30</v>
      </c>
      <c r="J252" t="s">
        <v>94</v>
      </c>
      <c r="K252" t="s">
        <v>95</v>
      </c>
      <c r="M252" t="s">
        <v>62</v>
      </c>
      <c r="N252" t="s">
        <v>117</v>
      </c>
      <c r="O252" t="s">
        <v>114</v>
      </c>
      <c r="P252" t="s">
        <v>115</v>
      </c>
      <c r="Q252" t="s">
        <v>116</v>
      </c>
      <c r="R252">
        <v>99999</v>
      </c>
      <c r="S252" t="s">
        <v>30</v>
      </c>
      <c r="U252" t="s">
        <v>38</v>
      </c>
      <c r="V252" t="s">
        <v>39</v>
      </c>
      <c r="W252" s="3">
        <v>3.5</v>
      </c>
      <c r="X252">
        <v>20</v>
      </c>
      <c r="Y252" s="4">
        <v>70</v>
      </c>
      <c r="Z252" s="3">
        <v>6.93</v>
      </c>
    </row>
    <row r="253" spans="1:26" x14ac:dyDescent="0.3">
      <c r="A253">
        <v>1291</v>
      </c>
      <c r="B253" s="2">
        <v>41923</v>
      </c>
      <c r="C253">
        <v>11</v>
      </c>
      <c r="D253" t="s">
        <v>113</v>
      </c>
      <c r="E253" t="s">
        <v>114</v>
      </c>
      <c r="F253" t="s">
        <v>115</v>
      </c>
      <c r="G253" t="s">
        <v>116</v>
      </c>
      <c r="H253">
        <v>99999</v>
      </c>
      <c r="I253" t="s">
        <v>30</v>
      </c>
      <c r="J253" t="s">
        <v>94</v>
      </c>
      <c r="K253" t="s">
        <v>95</v>
      </c>
      <c r="M253" t="s">
        <v>62</v>
      </c>
      <c r="N253" t="s">
        <v>117</v>
      </c>
      <c r="O253" t="s">
        <v>114</v>
      </c>
      <c r="P253" t="s">
        <v>115</v>
      </c>
      <c r="Q253" t="s">
        <v>116</v>
      </c>
      <c r="R253">
        <v>99999</v>
      </c>
      <c r="S253" t="s">
        <v>30</v>
      </c>
      <c r="U253" t="s">
        <v>103</v>
      </c>
      <c r="V253" t="s">
        <v>37</v>
      </c>
      <c r="W253" s="3">
        <v>2.99</v>
      </c>
      <c r="X253">
        <v>49</v>
      </c>
      <c r="Y253" s="4">
        <v>146.51000000000002</v>
      </c>
      <c r="Z253" s="3">
        <v>14.651000000000003</v>
      </c>
    </row>
    <row r="254" spans="1:26" x14ac:dyDescent="0.3">
      <c r="A254">
        <v>1292</v>
      </c>
      <c r="B254" s="2">
        <v>41913</v>
      </c>
      <c r="C254">
        <v>1</v>
      </c>
      <c r="D254" t="s">
        <v>118</v>
      </c>
      <c r="E254" t="s">
        <v>119</v>
      </c>
      <c r="F254" t="s">
        <v>120</v>
      </c>
      <c r="G254" t="s">
        <v>121</v>
      </c>
      <c r="H254">
        <v>99999</v>
      </c>
      <c r="I254" t="s">
        <v>30</v>
      </c>
      <c r="J254" t="s">
        <v>60</v>
      </c>
      <c r="K254" t="s">
        <v>61</v>
      </c>
      <c r="N254" t="s">
        <v>122</v>
      </c>
      <c r="O254" t="s">
        <v>119</v>
      </c>
      <c r="P254" t="s">
        <v>120</v>
      </c>
      <c r="Q254" t="s">
        <v>121</v>
      </c>
      <c r="R254">
        <v>99999</v>
      </c>
      <c r="S254" t="s">
        <v>30</v>
      </c>
      <c r="U254" t="s">
        <v>54</v>
      </c>
      <c r="V254" t="s">
        <v>37</v>
      </c>
      <c r="W254" s="3">
        <v>18</v>
      </c>
      <c r="X254">
        <v>22</v>
      </c>
      <c r="Y254" s="4">
        <v>396</v>
      </c>
      <c r="Z254" s="3">
        <v>38.015999999999998</v>
      </c>
    </row>
    <row r="255" spans="1:26" x14ac:dyDescent="0.3">
      <c r="A255">
        <v>1293</v>
      </c>
      <c r="B255" s="2">
        <v>41913</v>
      </c>
      <c r="C255">
        <v>1</v>
      </c>
      <c r="D255" t="s">
        <v>118</v>
      </c>
      <c r="E255" t="s">
        <v>119</v>
      </c>
      <c r="F255" t="s">
        <v>120</v>
      </c>
      <c r="G255" t="s">
        <v>121</v>
      </c>
      <c r="H255">
        <v>99999</v>
      </c>
      <c r="I255" t="s">
        <v>30</v>
      </c>
      <c r="J255" t="s">
        <v>60</v>
      </c>
      <c r="K255" t="s">
        <v>61</v>
      </c>
      <c r="N255" t="s">
        <v>122</v>
      </c>
      <c r="O255" t="s">
        <v>119</v>
      </c>
      <c r="P255" t="s">
        <v>120</v>
      </c>
      <c r="Q255" t="s">
        <v>121</v>
      </c>
      <c r="R255">
        <v>99999</v>
      </c>
      <c r="S255" t="s">
        <v>30</v>
      </c>
      <c r="U255" t="s">
        <v>55</v>
      </c>
      <c r="V255" t="s">
        <v>37</v>
      </c>
      <c r="W255" s="3">
        <v>46</v>
      </c>
      <c r="X255">
        <v>73</v>
      </c>
      <c r="Y255" s="4">
        <v>3358</v>
      </c>
      <c r="Z255" s="3">
        <v>339.15800000000002</v>
      </c>
    </row>
    <row r="256" spans="1:26" x14ac:dyDescent="0.3">
      <c r="A256">
        <v>1294</v>
      </c>
      <c r="B256" s="2">
        <v>41913</v>
      </c>
      <c r="C256">
        <v>1</v>
      </c>
      <c r="D256" t="s">
        <v>118</v>
      </c>
      <c r="E256" t="s">
        <v>119</v>
      </c>
      <c r="F256" t="s">
        <v>120</v>
      </c>
      <c r="G256" t="s">
        <v>121</v>
      </c>
      <c r="H256">
        <v>99999</v>
      </c>
      <c r="I256" t="s">
        <v>30</v>
      </c>
      <c r="J256" t="s">
        <v>60</v>
      </c>
      <c r="K256" t="s">
        <v>61</v>
      </c>
      <c r="N256" t="s">
        <v>122</v>
      </c>
      <c r="O256" t="s">
        <v>119</v>
      </c>
      <c r="P256" t="s">
        <v>120</v>
      </c>
      <c r="Q256" t="s">
        <v>121</v>
      </c>
      <c r="R256">
        <v>99999</v>
      </c>
      <c r="S256" t="s">
        <v>30</v>
      </c>
      <c r="U256" t="s">
        <v>103</v>
      </c>
      <c r="V256" t="s">
        <v>37</v>
      </c>
      <c r="W256" s="3">
        <v>2.99</v>
      </c>
      <c r="X256">
        <v>85</v>
      </c>
      <c r="Y256" s="4">
        <v>254.15</v>
      </c>
      <c r="Z256" s="3">
        <v>24.652550000000002</v>
      </c>
    </row>
    <row r="257" spans="1:26" x14ac:dyDescent="0.3">
      <c r="A257">
        <v>1295</v>
      </c>
      <c r="B257" s="2">
        <v>41940</v>
      </c>
      <c r="C257">
        <v>28</v>
      </c>
      <c r="D257" t="s">
        <v>90</v>
      </c>
      <c r="E257" t="s">
        <v>91</v>
      </c>
      <c r="F257" t="s">
        <v>92</v>
      </c>
      <c r="G257" t="s">
        <v>93</v>
      </c>
      <c r="H257">
        <v>99999</v>
      </c>
      <c r="I257" t="s">
        <v>30</v>
      </c>
      <c r="J257" t="s">
        <v>94</v>
      </c>
      <c r="K257" t="s">
        <v>95</v>
      </c>
      <c r="L257" s="2">
        <v>41942</v>
      </c>
      <c r="M257" t="s">
        <v>62</v>
      </c>
      <c r="N257" t="s">
        <v>96</v>
      </c>
      <c r="O257" t="s">
        <v>91</v>
      </c>
      <c r="P257" t="s">
        <v>92</v>
      </c>
      <c r="Q257" t="s">
        <v>93</v>
      </c>
      <c r="R257">
        <v>99999</v>
      </c>
      <c r="S257" t="s">
        <v>30</v>
      </c>
      <c r="T257" t="s">
        <v>48</v>
      </c>
      <c r="U257" t="s">
        <v>80</v>
      </c>
      <c r="V257" t="s">
        <v>81</v>
      </c>
      <c r="W257" s="3">
        <v>9.65</v>
      </c>
      <c r="X257">
        <v>44</v>
      </c>
      <c r="Y257" s="4">
        <v>424.6</v>
      </c>
      <c r="Z257" s="3">
        <v>44.158400000000007</v>
      </c>
    </row>
    <row r="258" spans="1:26" x14ac:dyDescent="0.3">
      <c r="A258">
        <v>1296</v>
      </c>
      <c r="B258" s="2">
        <v>41940</v>
      </c>
      <c r="C258">
        <v>28</v>
      </c>
      <c r="D258" t="s">
        <v>90</v>
      </c>
      <c r="E258" t="s">
        <v>91</v>
      </c>
      <c r="F258" t="s">
        <v>92</v>
      </c>
      <c r="G258" t="s">
        <v>93</v>
      </c>
      <c r="H258">
        <v>99999</v>
      </c>
      <c r="I258" t="s">
        <v>30</v>
      </c>
      <c r="J258" t="s">
        <v>94</v>
      </c>
      <c r="K258" t="s">
        <v>95</v>
      </c>
      <c r="L258" s="2">
        <v>41942</v>
      </c>
      <c r="M258" t="s">
        <v>62</v>
      </c>
      <c r="N258" t="s">
        <v>96</v>
      </c>
      <c r="O258" t="s">
        <v>91</v>
      </c>
      <c r="P258" t="s">
        <v>92</v>
      </c>
      <c r="Q258" t="s">
        <v>93</v>
      </c>
      <c r="R258">
        <v>99999</v>
      </c>
      <c r="S258" t="s">
        <v>30</v>
      </c>
      <c r="T258" t="s">
        <v>48</v>
      </c>
      <c r="U258" t="s">
        <v>123</v>
      </c>
      <c r="V258" t="s">
        <v>124</v>
      </c>
      <c r="W258" s="3">
        <v>18.399999999999999</v>
      </c>
      <c r="X258">
        <v>24</v>
      </c>
      <c r="Y258" s="4">
        <v>441.59999999999997</v>
      </c>
      <c r="Z258" s="3">
        <v>42.835199999999993</v>
      </c>
    </row>
    <row r="259" spans="1:26" x14ac:dyDescent="0.3">
      <c r="A259">
        <v>1297</v>
      </c>
      <c r="B259" s="2">
        <v>41921</v>
      </c>
      <c r="C259">
        <v>9</v>
      </c>
      <c r="D259" t="s">
        <v>125</v>
      </c>
      <c r="E259" t="s">
        <v>126</v>
      </c>
      <c r="F259" t="s">
        <v>127</v>
      </c>
      <c r="G259" t="s">
        <v>128</v>
      </c>
      <c r="H259">
        <v>99999</v>
      </c>
      <c r="I259" t="s">
        <v>30</v>
      </c>
      <c r="J259" t="s">
        <v>129</v>
      </c>
      <c r="K259" t="s">
        <v>32</v>
      </c>
      <c r="L259" s="2">
        <v>41923</v>
      </c>
      <c r="M259" t="s">
        <v>46</v>
      </c>
      <c r="N259" t="s">
        <v>130</v>
      </c>
      <c r="O259" t="s">
        <v>126</v>
      </c>
      <c r="P259" t="s">
        <v>127</v>
      </c>
      <c r="Q259" t="s">
        <v>128</v>
      </c>
      <c r="R259">
        <v>99999</v>
      </c>
      <c r="S259" t="s">
        <v>30</v>
      </c>
      <c r="T259" t="s">
        <v>35</v>
      </c>
      <c r="U259" t="s">
        <v>131</v>
      </c>
      <c r="V259" t="s">
        <v>132</v>
      </c>
      <c r="W259" s="3">
        <v>19.5</v>
      </c>
      <c r="X259">
        <v>64</v>
      </c>
      <c r="Y259" s="4">
        <v>1248</v>
      </c>
      <c r="Z259" s="3">
        <v>119.80800000000001</v>
      </c>
    </row>
    <row r="260" spans="1:26" x14ac:dyDescent="0.3">
      <c r="A260">
        <v>1298</v>
      </c>
      <c r="B260" s="2">
        <v>41921</v>
      </c>
      <c r="C260">
        <v>9</v>
      </c>
      <c r="D260" t="s">
        <v>125</v>
      </c>
      <c r="E260" t="s">
        <v>126</v>
      </c>
      <c r="F260" t="s">
        <v>127</v>
      </c>
      <c r="G260" t="s">
        <v>128</v>
      </c>
      <c r="H260">
        <v>99999</v>
      </c>
      <c r="I260" t="s">
        <v>30</v>
      </c>
      <c r="J260" t="s">
        <v>129</v>
      </c>
      <c r="K260" t="s">
        <v>32</v>
      </c>
      <c r="L260" s="2">
        <v>41923</v>
      </c>
      <c r="M260" t="s">
        <v>46</v>
      </c>
      <c r="N260" t="s">
        <v>130</v>
      </c>
      <c r="O260" t="s">
        <v>126</v>
      </c>
      <c r="P260" t="s">
        <v>127</v>
      </c>
      <c r="Q260" t="s">
        <v>128</v>
      </c>
      <c r="R260">
        <v>99999</v>
      </c>
      <c r="S260" t="s">
        <v>30</v>
      </c>
      <c r="T260" t="s">
        <v>35</v>
      </c>
      <c r="U260" t="s">
        <v>133</v>
      </c>
      <c r="V260" t="s">
        <v>134</v>
      </c>
      <c r="W260" s="3">
        <v>34.799999999999997</v>
      </c>
      <c r="X260">
        <v>70</v>
      </c>
      <c r="Y260" s="4">
        <v>2436</v>
      </c>
      <c r="Z260" s="3">
        <v>246.03600000000003</v>
      </c>
    </row>
    <row r="261" spans="1:26" x14ac:dyDescent="0.3">
      <c r="A261">
        <v>1299</v>
      </c>
      <c r="B261" s="2">
        <v>41918</v>
      </c>
      <c r="C261">
        <v>6</v>
      </c>
      <c r="D261" t="s">
        <v>82</v>
      </c>
      <c r="E261" t="s">
        <v>83</v>
      </c>
      <c r="F261" t="s">
        <v>84</v>
      </c>
      <c r="G261" t="s">
        <v>85</v>
      </c>
      <c r="H261">
        <v>99999</v>
      </c>
      <c r="I261" t="s">
        <v>30</v>
      </c>
      <c r="J261" t="s">
        <v>86</v>
      </c>
      <c r="K261" t="s">
        <v>61</v>
      </c>
      <c r="L261" s="2">
        <v>41920</v>
      </c>
      <c r="M261" t="s">
        <v>33</v>
      </c>
      <c r="N261" t="s">
        <v>87</v>
      </c>
      <c r="O261" t="s">
        <v>83</v>
      </c>
      <c r="P261" t="s">
        <v>84</v>
      </c>
      <c r="Q261" t="s">
        <v>85</v>
      </c>
      <c r="R261">
        <v>99999</v>
      </c>
      <c r="S261" t="s">
        <v>30</v>
      </c>
      <c r="T261" t="s">
        <v>48</v>
      </c>
      <c r="U261" t="s">
        <v>36</v>
      </c>
      <c r="V261" t="s">
        <v>37</v>
      </c>
      <c r="W261" s="3">
        <v>14</v>
      </c>
      <c r="X261">
        <v>98</v>
      </c>
      <c r="Y261" s="4">
        <v>1372</v>
      </c>
      <c r="Z261" s="3">
        <v>138.57200000000003</v>
      </c>
    </row>
    <row r="262" spans="1:26" x14ac:dyDescent="0.3">
      <c r="A262">
        <v>1300</v>
      </c>
      <c r="B262" s="2">
        <v>41920</v>
      </c>
      <c r="C262">
        <v>8</v>
      </c>
      <c r="D262" t="s">
        <v>56</v>
      </c>
      <c r="E262" t="s">
        <v>57</v>
      </c>
      <c r="F262" t="s">
        <v>58</v>
      </c>
      <c r="G262" t="s">
        <v>59</v>
      </c>
      <c r="H262">
        <v>99999</v>
      </c>
      <c r="I262" t="s">
        <v>30</v>
      </c>
      <c r="J262" t="s">
        <v>60</v>
      </c>
      <c r="K262" t="s">
        <v>61</v>
      </c>
      <c r="L262" s="2">
        <v>41922</v>
      </c>
      <c r="M262" t="s">
        <v>33</v>
      </c>
      <c r="N262" t="s">
        <v>63</v>
      </c>
      <c r="O262" t="s">
        <v>57</v>
      </c>
      <c r="P262" t="s">
        <v>58</v>
      </c>
      <c r="Q262" t="s">
        <v>59</v>
      </c>
      <c r="R262">
        <v>99999</v>
      </c>
      <c r="S262" t="s">
        <v>30</v>
      </c>
      <c r="T262" t="s">
        <v>35</v>
      </c>
      <c r="U262" t="s">
        <v>88</v>
      </c>
      <c r="V262" t="s">
        <v>89</v>
      </c>
      <c r="W262" s="3">
        <v>40</v>
      </c>
      <c r="X262">
        <v>48</v>
      </c>
      <c r="Y262" s="4">
        <v>1920</v>
      </c>
      <c r="Z262" s="3">
        <v>188.16</v>
      </c>
    </row>
    <row r="263" spans="1:26" x14ac:dyDescent="0.3">
      <c r="A263">
        <v>1301</v>
      </c>
      <c r="B263" s="2">
        <v>41920</v>
      </c>
      <c r="C263">
        <v>8</v>
      </c>
      <c r="D263" t="s">
        <v>56</v>
      </c>
      <c r="E263" t="s">
        <v>57</v>
      </c>
      <c r="F263" t="s">
        <v>58</v>
      </c>
      <c r="G263" t="s">
        <v>59</v>
      </c>
      <c r="H263">
        <v>99999</v>
      </c>
      <c r="I263" t="s">
        <v>30</v>
      </c>
      <c r="J263" t="s">
        <v>60</v>
      </c>
      <c r="K263" t="s">
        <v>61</v>
      </c>
      <c r="L263" s="2">
        <v>41922</v>
      </c>
      <c r="M263" t="s">
        <v>33</v>
      </c>
      <c r="N263" t="s">
        <v>63</v>
      </c>
      <c r="O263" t="s">
        <v>57</v>
      </c>
      <c r="P263" t="s">
        <v>58</v>
      </c>
      <c r="Q263" t="s">
        <v>59</v>
      </c>
      <c r="R263">
        <v>99999</v>
      </c>
      <c r="S263" t="s">
        <v>30</v>
      </c>
      <c r="T263" t="s">
        <v>35</v>
      </c>
      <c r="U263" t="s">
        <v>64</v>
      </c>
      <c r="V263" t="s">
        <v>65</v>
      </c>
      <c r="W263" s="3">
        <v>9.1999999999999993</v>
      </c>
      <c r="X263">
        <v>100</v>
      </c>
      <c r="Y263" s="4">
        <v>919.99999999999989</v>
      </c>
      <c r="Z263" s="3">
        <v>91.08</v>
      </c>
    </row>
    <row r="264" spans="1:26" x14ac:dyDescent="0.3">
      <c r="A264">
        <v>1302</v>
      </c>
      <c r="B264" s="2">
        <v>41937</v>
      </c>
      <c r="C264">
        <v>25</v>
      </c>
      <c r="D264" t="s">
        <v>137</v>
      </c>
      <c r="E264" t="s">
        <v>138</v>
      </c>
      <c r="F264" t="s">
        <v>99</v>
      </c>
      <c r="G264" t="s">
        <v>100</v>
      </c>
      <c r="H264">
        <v>99999</v>
      </c>
      <c r="I264" t="s">
        <v>30</v>
      </c>
      <c r="J264" t="s">
        <v>101</v>
      </c>
      <c r="K264" t="s">
        <v>45</v>
      </c>
      <c r="L264" s="2">
        <v>41939</v>
      </c>
      <c r="M264" t="s">
        <v>46</v>
      </c>
      <c r="N264" t="s">
        <v>139</v>
      </c>
      <c r="O264" t="s">
        <v>138</v>
      </c>
      <c r="P264" t="s">
        <v>99</v>
      </c>
      <c r="Q264" t="s">
        <v>100</v>
      </c>
      <c r="R264">
        <v>99999</v>
      </c>
      <c r="S264" t="s">
        <v>30</v>
      </c>
      <c r="T264" t="s">
        <v>79</v>
      </c>
      <c r="U264" t="s">
        <v>146</v>
      </c>
      <c r="V264" t="s">
        <v>65</v>
      </c>
      <c r="W264" s="3">
        <v>10</v>
      </c>
      <c r="X264">
        <v>90</v>
      </c>
      <c r="Y264" s="4">
        <v>900</v>
      </c>
      <c r="Z264" s="3">
        <v>87.3</v>
      </c>
    </row>
    <row r="265" spans="1:26" x14ac:dyDescent="0.3">
      <c r="A265">
        <v>1303</v>
      </c>
      <c r="B265" s="2">
        <v>41938</v>
      </c>
      <c r="C265">
        <v>26</v>
      </c>
      <c r="D265" t="s">
        <v>140</v>
      </c>
      <c r="E265" t="s">
        <v>141</v>
      </c>
      <c r="F265" t="s">
        <v>115</v>
      </c>
      <c r="G265" t="s">
        <v>116</v>
      </c>
      <c r="H265">
        <v>99999</v>
      </c>
      <c r="I265" t="s">
        <v>30</v>
      </c>
      <c r="J265" t="s">
        <v>94</v>
      </c>
      <c r="K265" t="s">
        <v>95</v>
      </c>
      <c r="L265" s="2">
        <v>41940</v>
      </c>
      <c r="M265" t="s">
        <v>62</v>
      </c>
      <c r="N265" t="s">
        <v>142</v>
      </c>
      <c r="O265" t="s">
        <v>141</v>
      </c>
      <c r="P265" t="s">
        <v>115</v>
      </c>
      <c r="Q265" t="s">
        <v>116</v>
      </c>
      <c r="R265">
        <v>99999</v>
      </c>
      <c r="S265" t="s">
        <v>30</v>
      </c>
      <c r="T265" t="s">
        <v>48</v>
      </c>
      <c r="U265" t="s">
        <v>147</v>
      </c>
      <c r="V265" t="s">
        <v>148</v>
      </c>
      <c r="W265" s="3">
        <v>21.35</v>
      </c>
      <c r="X265">
        <v>49</v>
      </c>
      <c r="Y265" s="4">
        <v>1046.1500000000001</v>
      </c>
      <c r="Z265" s="3">
        <v>102.5227</v>
      </c>
    </row>
    <row r="266" spans="1:26" x14ac:dyDescent="0.3">
      <c r="A266">
        <v>1304</v>
      </c>
      <c r="B266" s="2">
        <v>41938</v>
      </c>
      <c r="C266">
        <v>26</v>
      </c>
      <c r="D266" t="s">
        <v>140</v>
      </c>
      <c r="E266" t="s">
        <v>141</v>
      </c>
      <c r="F266" t="s">
        <v>115</v>
      </c>
      <c r="G266" t="s">
        <v>116</v>
      </c>
      <c r="H266">
        <v>99999</v>
      </c>
      <c r="I266" t="s">
        <v>30</v>
      </c>
      <c r="J266" t="s">
        <v>94</v>
      </c>
      <c r="K266" t="s">
        <v>95</v>
      </c>
      <c r="L266" s="2">
        <v>41940</v>
      </c>
      <c r="M266" t="s">
        <v>62</v>
      </c>
      <c r="N266" t="s">
        <v>142</v>
      </c>
      <c r="O266" t="s">
        <v>141</v>
      </c>
      <c r="P266" t="s">
        <v>115</v>
      </c>
      <c r="Q266" t="s">
        <v>116</v>
      </c>
      <c r="R266">
        <v>99999</v>
      </c>
      <c r="S266" t="s">
        <v>30</v>
      </c>
      <c r="T266" t="s">
        <v>48</v>
      </c>
      <c r="U266" t="s">
        <v>80</v>
      </c>
      <c r="V266" t="s">
        <v>81</v>
      </c>
      <c r="W266" s="3">
        <v>9.65</v>
      </c>
      <c r="X266">
        <v>71</v>
      </c>
      <c r="Y266" s="4">
        <v>685.15</v>
      </c>
      <c r="Z266" s="3">
        <v>65.7744</v>
      </c>
    </row>
    <row r="267" spans="1:26" x14ac:dyDescent="0.3">
      <c r="A267">
        <v>1305</v>
      </c>
      <c r="B267" s="2">
        <v>41938</v>
      </c>
      <c r="C267">
        <v>26</v>
      </c>
      <c r="D267" t="s">
        <v>140</v>
      </c>
      <c r="E267" t="s">
        <v>141</v>
      </c>
      <c r="F267" t="s">
        <v>115</v>
      </c>
      <c r="G267" t="s">
        <v>116</v>
      </c>
      <c r="H267">
        <v>99999</v>
      </c>
      <c r="I267" t="s">
        <v>30</v>
      </c>
      <c r="J267" t="s">
        <v>94</v>
      </c>
      <c r="K267" t="s">
        <v>95</v>
      </c>
      <c r="L267" s="2">
        <v>41940</v>
      </c>
      <c r="M267" t="s">
        <v>62</v>
      </c>
      <c r="N267" t="s">
        <v>142</v>
      </c>
      <c r="O267" t="s">
        <v>141</v>
      </c>
      <c r="P267" t="s">
        <v>115</v>
      </c>
      <c r="Q267" t="s">
        <v>116</v>
      </c>
      <c r="R267">
        <v>99999</v>
      </c>
      <c r="S267" t="s">
        <v>30</v>
      </c>
      <c r="T267" t="s">
        <v>48</v>
      </c>
      <c r="U267" t="s">
        <v>123</v>
      </c>
      <c r="V267" t="s">
        <v>124</v>
      </c>
      <c r="W267" s="3">
        <v>18.399999999999999</v>
      </c>
      <c r="X267">
        <v>10</v>
      </c>
      <c r="Y267" s="4">
        <v>184</v>
      </c>
      <c r="Z267" s="3">
        <v>19.136000000000003</v>
      </c>
    </row>
    <row r="268" spans="1:26" x14ac:dyDescent="0.3">
      <c r="A268">
        <v>1306</v>
      </c>
      <c r="B268" s="2">
        <v>41941</v>
      </c>
      <c r="C268">
        <v>29</v>
      </c>
      <c r="D268" t="s">
        <v>66</v>
      </c>
      <c r="E268" t="s">
        <v>67</v>
      </c>
      <c r="F268" t="s">
        <v>68</v>
      </c>
      <c r="G268" t="s">
        <v>69</v>
      </c>
      <c r="H268">
        <v>99999</v>
      </c>
      <c r="I268" t="s">
        <v>30</v>
      </c>
      <c r="J268" t="s">
        <v>70</v>
      </c>
      <c r="K268" t="s">
        <v>32</v>
      </c>
      <c r="L268" s="2">
        <v>41943</v>
      </c>
      <c r="M268" t="s">
        <v>33</v>
      </c>
      <c r="N268" t="s">
        <v>71</v>
      </c>
      <c r="O268" t="s">
        <v>67</v>
      </c>
      <c r="P268" t="s">
        <v>68</v>
      </c>
      <c r="Q268" t="s">
        <v>69</v>
      </c>
      <c r="R268">
        <v>99999</v>
      </c>
      <c r="S268" t="s">
        <v>30</v>
      </c>
      <c r="T268" t="s">
        <v>35</v>
      </c>
      <c r="U268" t="s">
        <v>36</v>
      </c>
      <c r="V268" t="s">
        <v>37</v>
      </c>
      <c r="W268" s="3">
        <v>14</v>
      </c>
      <c r="X268">
        <v>78</v>
      </c>
      <c r="Y268" s="4">
        <v>1092</v>
      </c>
      <c r="Z268" s="3">
        <v>112.476</v>
      </c>
    </row>
    <row r="269" spans="1:26" x14ac:dyDescent="0.3">
      <c r="A269">
        <v>1307</v>
      </c>
      <c r="B269" s="2">
        <v>41918</v>
      </c>
      <c r="C269">
        <v>6</v>
      </c>
      <c r="D269" t="s">
        <v>82</v>
      </c>
      <c r="E269" t="s">
        <v>83</v>
      </c>
      <c r="F269" t="s">
        <v>84</v>
      </c>
      <c r="G269" t="s">
        <v>85</v>
      </c>
      <c r="H269">
        <v>99999</v>
      </c>
      <c r="I269" t="s">
        <v>30</v>
      </c>
      <c r="J269" t="s">
        <v>86</v>
      </c>
      <c r="K269" t="s">
        <v>61</v>
      </c>
      <c r="L269" s="2">
        <v>41920</v>
      </c>
      <c r="M269" t="s">
        <v>62</v>
      </c>
      <c r="N269" t="s">
        <v>87</v>
      </c>
      <c r="O269" t="s">
        <v>83</v>
      </c>
      <c r="P269" t="s">
        <v>84</v>
      </c>
      <c r="Q269" t="s">
        <v>85</v>
      </c>
      <c r="R269">
        <v>99999</v>
      </c>
      <c r="S269" t="s">
        <v>30</v>
      </c>
      <c r="T269" t="s">
        <v>35</v>
      </c>
      <c r="U269" t="s">
        <v>72</v>
      </c>
      <c r="V269" t="s">
        <v>73</v>
      </c>
      <c r="W269" s="3">
        <v>12.75</v>
      </c>
      <c r="X269">
        <v>44</v>
      </c>
      <c r="Y269" s="4">
        <v>561</v>
      </c>
      <c r="Z269" s="3">
        <v>53.856000000000002</v>
      </c>
    </row>
    <row r="270" spans="1:26" x14ac:dyDescent="0.3">
      <c r="A270">
        <v>1309</v>
      </c>
      <c r="B270" s="2">
        <v>41916</v>
      </c>
      <c r="C270">
        <v>4</v>
      </c>
      <c r="D270" t="s">
        <v>40</v>
      </c>
      <c r="E270" t="s">
        <v>41</v>
      </c>
      <c r="F270" t="s">
        <v>42</v>
      </c>
      <c r="G270" t="s">
        <v>43</v>
      </c>
      <c r="H270">
        <v>99999</v>
      </c>
      <c r="I270" t="s">
        <v>30</v>
      </c>
      <c r="J270" t="s">
        <v>44</v>
      </c>
      <c r="K270" t="s">
        <v>45</v>
      </c>
      <c r="L270" s="2">
        <v>41918</v>
      </c>
      <c r="M270" t="s">
        <v>46</v>
      </c>
      <c r="N270" t="s">
        <v>47</v>
      </c>
      <c r="O270" t="s">
        <v>41</v>
      </c>
      <c r="P270" t="s">
        <v>42</v>
      </c>
      <c r="Q270" t="s">
        <v>43</v>
      </c>
      <c r="R270">
        <v>99999</v>
      </c>
      <c r="S270" t="s">
        <v>30</v>
      </c>
      <c r="T270" t="s">
        <v>48</v>
      </c>
      <c r="U270" t="s">
        <v>149</v>
      </c>
      <c r="V270" t="s">
        <v>110</v>
      </c>
      <c r="W270">
        <v>81</v>
      </c>
      <c r="X270">
        <v>82</v>
      </c>
      <c r="Y270" s="4">
        <v>6642</v>
      </c>
      <c r="Z270" s="3">
        <v>697.41000000000008</v>
      </c>
    </row>
    <row r="271" spans="1:26" x14ac:dyDescent="0.3">
      <c r="A271">
        <v>1310</v>
      </c>
      <c r="B271" s="2">
        <v>41916</v>
      </c>
      <c r="C271">
        <v>4</v>
      </c>
      <c r="D271" t="s">
        <v>40</v>
      </c>
      <c r="E271" t="s">
        <v>41</v>
      </c>
      <c r="F271" t="s">
        <v>42</v>
      </c>
      <c r="G271" t="s">
        <v>43</v>
      </c>
      <c r="H271">
        <v>99999</v>
      </c>
      <c r="I271" t="s">
        <v>30</v>
      </c>
      <c r="J271" t="s">
        <v>44</v>
      </c>
      <c r="K271" t="s">
        <v>45</v>
      </c>
      <c r="L271" s="2">
        <v>41918</v>
      </c>
      <c r="M271" t="s">
        <v>46</v>
      </c>
      <c r="N271" t="s">
        <v>47</v>
      </c>
      <c r="O271" t="s">
        <v>41</v>
      </c>
      <c r="P271" t="s">
        <v>42</v>
      </c>
      <c r="Q271" t="s">
        <v>43</v>
      </c>
      <c r="R271">
        <v>99999</v>
      </c>
      <c r="S271" t="s">
        <v>30</v>
      </c>
      <c r="T271" t="s">
        <v>48</v>
      </c>
      <c r="U271" t="s">
        <v>150</v>
      </c>
      <c r="V271" t="s">
        <v>151</v>
      </c>
      <c r="W271">
        <v>7</v>
      </c>
      <c r="X271">
        <v>29</v>
      </c>
      <c r="Y271" s="4">
        <v>203</v>
      </c>
      <c r="Z271" s="3">
        <v>20.3</v>
      </c>
    </row>
    <row r="272" spans="1:26" x14ac:dyDescent="0.3">
      <c r="A272">
        <v>1312</v>
      </c>
      <c r="B272" s="2">
        <v>41920</v>
      </c>
      <c r="C272">
        <v>8</v>
      </c>
      <c r="D272" t="s">
        <v>56</v>
      </c>
      <c r="E272" t="s">
        <v>57</v>
      </c>
      <c r="F272" t="s">
        <v>58</v>
      </c>
      <c r="G272" t="s">
        <v>59</v>
      </c>
      <c r="H272">
        <v>99999</v>
      </c>
      <c r="I272" t="s">
        <v>30</v>
      </c>
      <c r="J272" t="s">
        <v>60</v>
      </c>
      <c r="K272" t="s">
        <v>61</v>
      </c>
      <c r="L272" s="2">
        <v>41922</v>
      </c>
      <c r="M272" t="s">
        <v>62</v>
      </c>
      <c r="N272" t="s">
        <v>63</v>
      </c>
      <c r="O272" t="s">
        <v>57</v>
      </c>
      <c r="P272" t="s">
        <v>58</v>
      </c>
      <c r="Q272" t="s">
        <v>59</v>
      </c>
      <c r="R272">
        <v>99999</v>
      </c>
      <c r="S272" t="s">
        <v>30</v>
      </c>
      <c r="T272" t="s">
        <v>48</v>
      </c>
      <c r="U272" t="s">
        <v>133</v>
      </c>
      <c r="V272" t="s">
        <v>134</v>
      </c>
      <c r="W272">
        <v>34.799999999999997</v>
      </c>
      <c r="X272">
        <v>93</v>
      </c>
      <c r="Y272" s="4">
        <v>3236.3999999999996</v>
      </c>
      <c r="Z272" s="3">
        <v>313.93079999999998</v>
      </c>
    </row>
    <row r="273" spans="1:26" x14ac:dyDescent="0.3">
      <c r="A273">
        <v>1315</v>
      </c>
      <c r="B273" s="2">
        <v>41915</v>
      </c>
      <c r="C273">
        <v>3</v>
      </c>
      <c r="D273" t="s">
        <v>74</v>
      </c>
      <c r="E273" t="s">
        <v>75</v>
      </c>
      <c r="F273" t="s">
        <v>76</v>
      </c>
      <c r="G273" t="s">
        <v>77</v>
      </c>
      <c r="H273">
        <v>99999</v>
      </c>
      <c r="I273" t="s">
        <v>30</v>
      </c>
      <c r="J273" t="s">
        <v>31</v>
      </c>
      <c r="K273" t="s">
        <v>32</v>
      </c>
      <c r="L273" s="2">
        <v>41917</v>
      </c>
      <c r="M273" t="s">
        <v>33</v>
      </c>
      <c r="N273" t="s">
        <v>78</v>
      </c>
      <c r="O273" t="s">
        <v>75</v>
      </c>
      <c r="P273" t="s">
        <v>76</v>
      </c>
      <c r="Q273" t="s">
        <v>77</v>
      </c>
      <c r="R273">
        <v>99999</v>
      </c>
      <c r="S273" t="s">
        <v>30</v>
      </c>
      <c r="T273" t="s">
        <v>79</v>
      </c>
      <c r="U273" t="s">
        <v>135</v>
      </c>
      <c r="V273" t="s">
        <v>112</v>
      </c>
      <c r="W273">
        <v>10</v>
      </c>
      <c r="X273">
        <v>11</v>
      </c>
      <c r="Y273" s="4">
        <v>110</v>
      </c>
      <c r="Z273" s="3">
        <v>11.440000000000001</v>
      </c>
    </row>
    <row r="274" spans="1:26" x14ac:dyDescent="0.3">
      <c r="A274">
        <v>1316</v>
      </c>
      <c r="B274" s="2">
        <v>41915</v>
      </c>
      <c r="C274">
        <v>3</v>
      </c>
      <c r="D274" t="s">
        <v>74</v>
      </c>
      <c r="E274" t="s">
        <v>75</v>
      </c>
      <c r="F274" t="s">
        <v>76</v>
      </c>
      <c r="G274" t="s">
        <v>77</v>
      </c>
      <c r="H274">
        <v>99999</v>
      </c>
      <c r="I274" t="s">
        <v>30</v>
      </c>
      <c r="J274" t="s">
        <v>31</v>
      </c>
      <c r="K274" t="s">
        <v>32</v>
      </c>
      <c r="L274" s="2">
        <v>41917</v>
      </c>
      <c r="M274" t="s">
        <v>33</v>
      </c>
      <c r="N274" t="s">
        <v>78</v>
      </c>
      <c r="O274" t="s">
        <v>75</v>
      </c>
      <c r="P274" t="s">
        <v>76</v>
      </c>
      <c r="Q274" t="s">
        <v>77</v>
      </c>
      <c r="R274">
        <v>99999</v>
      </c>
      <c r="S274" t="s">
        <v>30</v>
      </c>
      <c r="T274" t="s">
        <v>79</v>
      </c>
      <c r="U274" t="s">
        <v>88</v>
      </c>
      <c r="V274" t="s">
        <v>89</v>
      </c>
      <c r="W274">
        <v>40</v>
      </c>
      <c r="X274">
        <v>91</v>
      </c>
      <c r="Y274" s="4">
        <v>3640</v>
      </c>
      <c r="Z274" s="3">
        <v>364</v>
      </c>
    </row>
    <row r="275" spans="1:26" x14ac:dyDescent="0.3">
      <c r="A275">
        <v>1320</v>
      </c>
      <c r="B275" s="2">
        <v>41922</v>
      </c>
      <c r="C275">
        <v>10</v>
      </c>
      <c r="D275" t="s">
        <v>97</v>
      </c>
      <c r="E275" t="s">
        <v>98</v>
      </c>
      <c r="F275" t="s">
        <v>99</v>
      </c>
      <c r="G275" t="s">
        <v>100</v>
      </c>
      <c r="H275">
        <v>99999</v>
      </c>
      <c r="I275" t="s">
        <v>30</v>
      </c>
      <c r="J275" t="s">
        <v>101</v>
      </c>
      <c r="K275" t="s">
        <v>45</v>
      </c>
      <c r="L275" s="2">
        <v>41924</v>
      </c>
      <c r="M275" t="s">
        <v>33</v>
      </c>
      <c r="N275" t="s">
        <v>102</v>
      </c>
      <c r="O275" t="s">
        <v>98</v>
      </c>
      <c r="P275" t="s">
        <v>99</v>
      </c>
      <c r="Q275" t="s">
        <v>100</v>
      </c>
      <c r="R275">
        <v>99999</v>
      </c>
      <c r="S275" t="s">
        <v>30</v>
      </c>
      <c r="T275" t="s">
        <v>48</v>
      </c>
      <c r="U275" t="s">
        <v>136</v>
      </c>
      <c r="V275" t="s">
        <v>39</v>
      </c>
      <c r="W275">
        <v>10</v>
      </c>
      <c r="X275">
        <v>12</v>
      </c>
      <c r="Y275" s="4">
        <v>120</v>
      </c>
      <c r="Z275" s="3">
        <v>12.36</v>
      </c>
    </row>
    <row r="276" spans="1:26" x14ac:dyDescent="0.3">
      <c r="A276">
        <v>1322</v>
      </c>
      <c r="B276" s="2">
        <v>41922</v>
      </c>
      <c r="C276">
        <v>10</v>
      </c>
      <c r="D276" t="s">
        <v>97</v>
      </c>
      <c r="E276" t="s">
        <v>98</v>
      </c>
      <c r="F276" t="s">
        <v>99</v>
      </c>
      <c r="G276" t="s">
        <v>100</v>
      </c>
      <c r="H276">
        <v>99999</v>
      </c>
      <c r="I276" t="s">
        <v>30</v>
      </c>
      <c r="J276" t="s">
        <v>101</v>
      </c>
      <c r="K276" t="s">
        <v>45</v>
      </c>
      <c r="L276" s="2"/>
      <c r="M276" t="s">
        <v>46</v>
      </c>
      <c r="N276" t="s">
        <v>102</v>
      </c>
      <c r="O276" t="s">
        <v>98</v>
      </c>
      <c r="P276" t="s">
        <v>99</v>
      </c>
      <c r="Q276" t="s">
        <v>100</v>
      </c>
      <c r="R276">
        <v>99999</v>
      </c>
      <c r="S276" t="s">
        <v>30</v>
      </c>
      <c r="U276" t="s">
        <v>38</v>
      </c>
      <c r="V276" t="s">
        <v>39</v>
      </c>
      <c r="W276">
        <v>3.5</v>
      </c>
      <c r="X276">
        <v>78</v>
      </c>
      <c r="Y276" s="4">
        <v>273</v>
      </c>
      <c r="Z276" s="3">
        <v>27.3</v>
      </c>
    </row>
    <row r="277" spans="1:26" x14ac:dyDescent="0.3">
      <c r="A277">
        <v>1323</v>
      </c>
      <c r="B277" s="2">
        <v>41923</v>
      </c>
      <c r="C277">
        <v>11</v>
      </c>
      <c r="D277" t="s">
        <v>113</v>
      </c>
      <c r="E277" t="s">
        <v>114</v>
      </c>
      <c r="F277" t="s">
        <v>115</v>
      </c>
      <c r="G277" t="s">
        <v>116</v>
      </c>
      <c r="H277">
        <v>99999</v>
      </c>
      <c r="I277" t="s">
        <v>30</v>
      </c>
      <c r="J277" t="s">
        <v>94</v>
      </c>
      <c r="K277" t="s">
        <v>95</v>
      </c>
      <c r="L277" s="2"/>
      <c r="M277" t="s">
        <v>62</v>
      </c>
      <c r="N277" t="s">
        <v>117</v>
      </c>
      <c r="O277" t="s">
        <v>114</v>
      </c>
      <c r="P277" t="s">
        <v>115</v>
      </c>
      <c r="Q277" t="s">
        <v>116</v>
      </c>
      <c r="R277">
        <v>99999</v>
      </c>
      <c r="S277" t="s">
        <v>30</v>
      </c>
      <c r="U277" t="s">
        <v>88</v>
      </c>
      <c r="V277" t="s">
        <v>89</v>
      </c>
      <c r="W277">
        <v>40</v>
      </c>
      <c r="X277">
        <v>60</v>
      </c>
      <c r="Y277" s="4">
        <v>2400</v>
      </c>
      <c r="Z277" s="3">
        <v>228</v>
      </c>
    </row>
    <row r="278" spans="1:26" x14ac:dyDescent="0.3">
      <c r="A278">
        <v>1324</v>
      </c>
      <c r="B278" s="2">
        <v>41913</v>
      </c>
      <c r="C278">
        <v>1</v>
      </c>
      <c r="D278" t="s">
        <v>118</v>
      </c>
      <c r="E278" t="s">
        <v>119</v>
      </c>
      <c r="F278" t="s">
        <v>120</v>
      </c>
      <c r="G278" t="s">
        <v>121</v>
      </c>
      <c r="H278">
        <v>99999</v>
      </c>
      <c r="I278" t="s">
        <v>30</v>
      </c>
      <c r="J278" t="s">
        <v>60</v>
      </c>
      <c r="K278" t="s">
        <v>61</v>
      </c>
      <c r="L278" s="2"/>
      <c r="M278" t="s">
        <v>62</v>
      </c>
      <c r="N278" t="s">
        <v>122</v>
      </c>
      <c r="O278" t="s">
        <v>119</v>
      </c>
      <c r="P278" t="s">
        <v>120</v>
      </c>
      <c r="Q278" t="s">
        <v>121</v>
      </c>
      <c r="R278">
        <v>99999</v>
      </c>
      <c r="S278" t="s">
        <v>30</v>
      </c>
      <c r="U278" t="s">
        <v>123</v>
      </c>
      <c r="V278" t="s">
        <v>124</v>
      </c>
      <c r="W278">
        <v>18.399999999999999</v>
      </c>
      <c r="X278">
        <v>23</v>
      </c>
      <c r="Y278" s="4">
        <v>423.2</v>
      </c>
      <c r="Z278" s="3">
        <v>43.589600000000004</v>
      </c>
    </row>
    <row r="279" spans="1:26" x14ac:dyDescent="0.3">
      <c r="A279">
        <v>1325</v>
      </c>
      <c r="B279" s="2">
        <v>41940</v>
      </c>
      <c r="C279">
        <v>28</v>
      </c>
      <c r="D279" t="s">
        <v>90</v>
      </c>
      <c r="E279" t="s">
        <v>91</v>
      </c>
      <c r="F279" t="s">
        <v>92</v>
      </c>
      <c r="G279" t="s">
        <v>93</v>
      </c>
      <c r="H279">
        <v>99999</v>
      </c>
      <c r="I279" t="s">
        <v>30</v>
      </c>
      <c r="J279" t="s">
        <v>94</v>
      </c>
      <c r="K279" t="s">
        <v>95</v>
      </c>
      <c r="L279" s="2">
        <v>41942</v>
      </c>
      <c r="M279" t="s">
        <v>62</v>
      </c>
      <c r="N279" t="s">
        <v>96</v>
      </c>
      <c r="O279" t="s">
        <v>91</v>
      </c>
      <c r="P279" t="s">
        <v>92</v>
      </c>
      <c r="Q279" t="s">
        <v>93</v>
      </c>
      <c r="R279">
        <v>99999</v>
      </c>
      <c r="S279" t="s">
        <v>30</v>
      </c>
      <c r="T279" t="s">
        <v>48</v>
      </c>
      <c r="U279" t="s">
        <v>55</v>
      </c>
      <c r="V279" t="s">
        <v>37</v>
      </c>
      <c r="W279">
        <v>46</v>
      </c>
      <c r="X279">
        <v>34</v>
      </c>
      <c r="Y279" s="4">
        <v>1564</v>
      </c>
      <c r="Z279" s="3">
        <v>157.964</v>
      </c>
    </row>
    <row r="280" spans="1:26" x14ac:dyDescent="0.3">
      <c r="A280">
        <v>1326</v>
      </c>
      <c r="B280" s="2">
        <v>41921</v>
      </c>
      <c r="C280">
        <v>9</v>
      </c>
      <c r="D280" t="s">
        <v>125</v>
      </c>
      <c r="E280" t="s">
        <v>126</v>
      </c>
      <c r="F280" t="s">
        <v>127</v>
      </c>
      <c r="G280" t="s">
        <v>128</v>
      </c>
      <c r="H280">
        <v>99999</v>
      </c>
      <c r="I280" t="s">
        <v>30</v>
      </c>
      <c r="J280" t="s">
        <v>129</v>
      </c>
      <c r="K280" t="s">
        <v>32</v>
      </c>
      <c r="L280" s="2">
        <v>41923</v>
      </c>
      <c r="M280" t="s">
        <v>46</v>
      </c>
      <c r="N280" t="s">
        <v>130</v>
      </c>
      <c r="O280" t="s">
        <v>126</v>
      </c>
      <c r="P280" t="s">
        <v>127</v>
      </c>
      <c r="Q280" t="s">
        <v>128</v>
      </c>
      <c r="R280">
        <v>99999</v>
      </c>
      <c r="S280" t="s">
        <v>30</v>
      </c>
      <c r="T280" t="s">
        <v>35</v>
      </c>
      <c r="U280" t="s">
        <v>80</v>
      </c>
      <c r="V280" t="s">
        <v>81</v>
      </c>
      <c r="W280">
        <v>9.65</v>
      </c>
      <c r="X280">
        <v>89</v>
      </c>
      <c r="Y280" s="4">
        <v>858.85</v>
      </c>
      <c r="Z280" s="3">
        <v>86.743850000000009</v>
      </c>
    </row>
    <row r="281" spans="1:26" x14ac:dyDescent="0.3">
      <c r="A281">
        <v>1327</v>
      </c>
      <c r="B281" s="2">
        <v>41918</v>
      </c>
      <c r="C281">
        <v>6</v>
      </c>
      <c r="D281" t="s">
        <v>82</v>
      </c>
      <c r="E281" t="s">
        <v>83</v>
      </c>
      <c r="F281" t="s">
        <v>84</v>
      </c>
      <c r="G281" t="s">
        <v>85</v>
      </c>
      <c r="H281">
        <v>99999</v>
      </c>
      <c r="I281" t="s">
        <v>30</v>
      </c>
      <c r="J281" t="s">
        <v>86</v>
      </c>
      <c r="K281" t="s">
        <v>61</v>
      </c>
      <c r="L281" s="2">
        <v>41920</v>
      </c>
      <c r="M281" t="s">
        <v>33</v>
      </c>
      <c r="N281" t="s">
        <v>87</v>
      </c>
      <c r="O281" t="s">
        <v>83</v>
      </c>
      <c r="P281" t="s">
        <v>84</v>
      </c>
      <c r="Q281" t="s">
        <v>85</v>
      </c>
      <c r="R281">
        <v>99999</v>
      </c>
      <c r="S281" t="s">
        <v>30</v>
      </c>
      <c r="T281" t="s">
        <v>48</v>
      </c>
      <c r="U281" t="s">
        <v>72</v>
      </c>
      <c r="V281" t="s">
        <v>73</v>
      </c>
      <c r="W281">
        <v>12.75</v>
      </c>
      <c r="X281">
        <v>82</v>
      </c>
      <c r="Y281" s="4">
        <v>1045.5</v>
      </c>
      <c r="Z281" s="3">
        <v>103.50450000000001</v>
      </c>
    </row>
    <row r="282" spans="1:26" x14ac:dyDescent="0.3">
      <c r="A282">
        <v>1328</v>
      </c>
      <c r="B282" s="2">
        <v>41920</v>
      </c>
      <c r="C282">
        <v>8</v>
      </c>
      <c r="D282" t="s">
        <v>56</v>
      </c>
      <c r="E282" t="s">
        <v>57</v>
      </c>
      <c r="F282" t="s">
        <v>58</v>
      </c>
      <c r="G282" t="s">
        <v>59</v>
      </c>
      <c r="H282">
        <v>99999</v>
      </c>
      <c r="I282" t="s">
        <v>30</v>
      </c>
      <c r="J282" t="s">
        <v>60</v>
      </c>
      <c r="K282" t="s">
        <v>61</v>
      </c>
      <c r="L282" s="2">
        <v>41922</v>
      </c>
      <c r="M282" t="s">
        <v>33</v>
      </c>
      <c r="N282" t="s">
        <v>63</v>
      </c>
      <c r="O282" t="s">
        <v>57</v>
      </c>
      <c r="P282" t="s">
        <v>58</v>
      </c>
      <c r="Q282" t="s">
        <v>59</v>
      </c>
      <c r="R282">
        <v>99999</v>
      </c>
      <c r="S282" t="s">
        <v>30</v>
      </c>
      <c r="T282" t="s">
        <v>35</v>
      </c>
      <c r="U282" t="s">
        <v>72</v>
      </c>
      <c r="V282" t="s">
        <v>73</v>
      </c>
      <c r="W282">
        <v>12.75</v>
      </c>
      <c r="X282">
        <v>43</v>
      </c>
      <c r="Y282" s="4">
        <v>548.25</v>
      </c>
      <c r="Z282" s="3">
        <v>52.631999999999998</v>
      </c>
    </row>
    <row r="283" spans="1:26" x14ac:dyDescent="0.3">
      <c r="A283">
        <v>1329</v>
      </c>
      <c r="B283" s="2">
        <v>41953</v>
      </c>
      <c r="C283">
        <v>10</v>
      </c>
      <c r="D283" t="s">
        <v>97</v>
      </c>
      <c r="E283" t="s">
        <v>98</v>
      </c>
      <c r="F283" t="s">
        <v>99</v>
      </c>
      <c r="G283" t="s">
        <v>100</v>
      </c>
      <c r="H283">
        <v>99999</v>
      </c>
      <c r="I283" t="s">
        <v>30</v>
      </c>
      <c r="J283" t="s">
        <v>101</v>
      </c>
      <c r="K283" t="s">
        <v>45</v>
      </c>
      <c r="L283" s="2">
        <v>41955</v>
      </c>
      <c r="M283" t="s">
        <v>46</v>
      </c>
      <c r="N283" t="s">
        <v>102</v>
      </c>
      <c r="O283" t="s">
        <v>98</v>
      </c>
      <c r="P283" t="s">
        <v>99</v>
      </c>
      <c r="Q283" t="s">
        <v>100</v>
      </c>
      <c r="R283">
        <v>99999</v>
      </c>
      <c r="S283" t="s">
        <v>30</v>
      </c>
      <c r="U283" t="s">
        <v>111</v>
      </c>
      <c r="V283" t="s">
        <v>112</v>
      </c>
      <c r="W283" s="3">
        <v>22</v>
      </c>
      <c r="X283">
        <v>96</v>
      </c>
      <c r="Y283" s="4">
        <v>2112</v>
      </c>
      <c r="Z283" s="3">
        <v>221.76000000000002</v>
      </c>
    </row>
    <row r="284" spans="1:26" x14ac:dyDescent="0.3">
      <c r="A284">
        <v>1330</v>
      </c>
      <c r="B284" s="2">
        <v>41953</v>
      </c>
      <c r="C284">
        <v>10</v>
      </c>
      <c r="D284" t="s">
        <v>97</v>
      </c>
      <c r="E284" t="s">
        <v>98</v>
      </c>
      <c r="F284" t="s">
        <v>99</v>
      </c>
      <c r="G284" t="s">
        <v>100</v>
      </c>
      <c r="H284">
        <v>99999</v>
      </c>
      <c r="I284" t="s">
        <v>30</v>
      </c>
      <c r="J284" t="s">
        <v>101</v>
      </c>
      <c r="K284" t="s">
        <v>45</v>
      </c>
      <c r="L284" s="2">
        <v>41955</v>
      </c>
      <c r="M284" t="s">
        <v>46</v>
      </c>
      <c r="N284" t="s">
        <v>102</v>
      </c>
      <c r="O284" t="s">
        <v>98</v>
      </c>
      <c r="P284" t="s">
        <v>99</v>
      </c>
      <c r="Q284" t="s">
        <v>100</v>
      </c>
      <c r="R284">
        <v>99999</v>
      </c>
      <c r="S284" t="s">
        <v>30</v>
      </c>
      <c r="U284" t="s">
        <v>64</v>
      </c>
      <c r="V284" t="s">
        <v>65</v>
      </c>
      <c r="W284" s="3">
        <v>9.1999999999999993</v>
      </c>
      <c r="X284">
        <v>34</v>
      </c>
      <c r="Y284" s="4">
        <v>312.79999999999995</v>
      </c>
      <c r="Z284" s="3">
        <v>31.279999999999998</v>
      </c>
    </row>
    <row r="285" spans="1:26" x14ac:dyDescent="0.3">
      <c r="A285">
        <v>1331</v>
      </c>
      <c r="B285" s="2">
        <v>41954</v>
      </c>
      <c r="C285">
        <v>11</v>
      </c>
      <c r="D285" t="s">
        <v>113</v>
      </c>
      <c r="E285" t="s">
        <v>114</v>
      </c>
      <c r="F285" t="s">
        <v>115</v>
      </c>
      <c r="G285" t="s">
        <v>116</v>
      </c>
      <c r="H285">
        <v>99999</v>
      </c>
      <c r="I285" t="s">
        <v>30</v>
      </c>
      <c r="J285" t="s">
        <v>94</v>
      </c>
      <c r="K285" t="s">
        <v>95</v>
      </c>
      <c r="L285" s="2"/>
      <c r="M285" t="s">
        <v>62</v>
      </c>
      <c r="N285" t="s">
        <v>117</v>
      </c>
      <c r="O285" t="s">
        <v>114</v>
      </c>
      <c r="P285" t="s">
        <v>115</v>
      </c>
      <c r="Q285" t="s">
        <v>116</v>
      </c>
      <c r="R285">
        <v>99999</v>
      </c>
      <c r="S285" t="s">
        <v>30</v>
      </c>
      <c r="U285" t="s">
        <v>38</v>
      </c>
      <c r="V285" t="s">
        <v>39</v>
      </c>
      <c r="W285" s="3">
        <v>3.5</v>
      </c>
      <c r="X285">
        <v>42</v>
      </c>
      <c r="Y285" s="4">
        <v>147</v>
      </c>
      <c r="Z285" s="3">
        <v>15.141000000000002</v>
      </c>
    </row>
    <row r="286" spans="1:26" x14ac:dyDescent="0.3">
      <c r="A286">
        <v>1332</v>
      </c>
      <c r="B286" s="2">
        <v>41954</v>
      </c>
      <c r="C286">
        <v>11</v>
      </c>
      <c r="D286" t="s">
        <v>113</v>
      </c>
      <c r="E286" t="s">
        <v>114</v>
      </c>
      <c r="F286" t="s">
        <v>115</v>
      </c>
      <c r="G286" t="s">
        <v>116</v>
      </c>
      <c r="H286">
        <v>99999</v>
      </c>
      <c r="I286" t="s">
        <v>30</v>
      </c>
      <c r="J286" t="s">
        <v>94</v>
      </c>
      <c r="K286" t="s">
        <v>95</v>
      </c>
      <c r="L286" s="2"/>
      <c r="M286" t="s">
        <v>62</v>
      </c>
      <c r="N286" t="s">
        <v>117</v>
      </c>
      <c r="O286" t="s">
        <v>114</v>
      </c>
      <c r="P286" t="s">
        <v>115</v>
      </c>
      <c r="Q286" t="s">
        <v>116</v>
      </c>
      <c r="R286">
        <v>99999</v>
      </c>
      <c r="S286" t="s">
        <v>30</v>
      </c>
      <c r="U286" t="s">
        <v>103</v>
      </c>
      <c r="V286" t="s">
        <v>37</v>
      </c>
      <c r="W286" s="3">
        <v>2.99</v>
      </c>
      <c r="X286">
        <v>100</v>
      </c>
      <c r="Y286" s="4">
        <v>299</v>
      </c>
      <c r="Z286" s="3">
        <v>30.498000000000001</v>
      </c>
    </row>
    <row r="287" spans="1:26" x14ac:dyDescent="0.3">
      <c r="A287">
        <v>1333</v>
      </c>
      <c r="B287" s="2">
        <v>41944</v>
      </c>
      <c r="C287">
        <v>1</v>
      </c>
      <c r="D287" t="s">
        <v>118</v>
      </c>
      <c r="E287" t="s">
        <v>119</v>
      </c>
      <c r="F287" t="s">
        <v>120</v>
      </c>
      <c r="G287" t="s">
        <v>121</v>
      </c>
      <c r="H287">
        <v>99999</v>
      </c>
      <c r="I287" t="s">
        <v>30</v>
      </c>
      <c r="J287" t="s">
        <v>60</v>
      </c>
      <c r="K287" t="s">
        <v>61</v>
      </c>
      <c r="N287" t="s">
        <v>122</v>
      </c>
      <c r="O287" t="s">
        <v>119</v>
      </c>
      <c r="P287" t="s">
        <v>120</v>
      </c>
      <c r="Q287" t="s">
        <v>121</v>
      </c>
      <c r="R287">
        <v>99999</v>
      </c>
      <c r="S287" t="s">
        <v>30</v>
      </c>
      <c r="U287" t="s">
        <v>54</v>
      </c>
      <c r="V287" t="s">
        <v>37</v>
      </c>
      <c r="W287" s="3">
        <v>18</v>
      </c>
      <c r="X287">
        <v>42</v>
      </c>
      <c r="Y287" s="4">
        <v>756</v>
      </c>
      <c r="Z287" s="3">
        <v>76.356000000000009</v>
      </c>
    </row>
    <row r="288" spans="1:26" x14ac:dyDescent="0.3">
      <c r="A288">
        <v>1334</v>
      </c>
      <c r="B288" s="2">
        <v>41944</v>
      </c>
      <c r="C288">
        <v>1</v>
      </c>
      <c r="D288" t="s">
        <v>118</v>
      </c>
      <c r="E288" t="s">
        <v>119</v>
      </c>
      <c r="F288" t="s">
        <v>120</v>
      </c>
      <c r="G288" t="s">
        <v>121</v>
      </c>
      <c r="H288">
        <v>99999</v>
      </c>
      <c r="I288" t="s">
        <v>30</v>
      </c>
      <c r="J288" t="s">
        <v>60</v>
      </c>
      <c r="K288" t="s">
        <v>61</v>
      </c>
      <c r="L288" s="2"/>
      <c r="N288" t="s">
        <v>122</v>
      </c>
      <c r="O288" t="s">
        <v>119</v>
      </c>
      <c r="P288" t="s">
        <v>120</v>
      </c>
      <c r="Q288" t="s">
        <v>121</v>
      </c>
      <c r="R288">
        <v>99999</v>
      </c>
      <c r="S288" t="s">
        <v>30</v>
      </c>
      <c r="U288" t="s">
        <v>55</v>
      </c>
      <c r="V288" t="s">
        <v>37</v>
      </c>
      <c r="W288" s="3">
        <v>46</v>
      </c>
      <c r="X288">
        <v>16</v>
      </c>
      <c r="Y288" s="4">
        <v>736</v>
      </c>
      <c r="Z288" s="3">
        <v>70.656000000000006</v>
      </c>
    </row>
    <row r="289" spans="1:26" x14ac:dyDescent="0.3">
      <c r="A289">
        <v>1335</v>
      </c>
      <c r="B289" s="2">
        <v>41944</v>
      </c>
      <c r="C289">
        <v>1</v>
      </c>
      <c r="D289" t="s">
        <v>118</v>
      </c>
      <c r="E289" t="s">
        <v>119</v>
      </c>
      <c r="F289" t="s">
        <v>120</v>
      </c>
      <c r="G289" t="s">
        <v>121</v>
      </c>
      <c r="H289">
        <v>99999</v>
      </c>
      <c r="I289" t="s">
        <v>30</v>
      </c>
      <c r="J289" t="s">
        <v>60</v>
      </c>
      <c r="K289" t="s">
        <v>61</v>
      </c>
      <c r="L289" s="2"/>
      <c r="N289" t="s">
        <v>122</v>
      </c>
      <c r="O289" t="s">
        <v>119</v>
      </c>
      <c r="P289" t="s">
        <v>120</v>
      </c>
      <c r="Q289" t="s">
        <v>121</v>
      </c>
      <c r="R289">
        <v>99999</v>
      </c>
      <c r="S289" t="s">
        <v>30</v>
      </c>
      <c r="U289" t="s">
        <v>103</v>
      </c>
      <c r="V289" t="s">
        <v>37</v>
      </c>
      <c r="W289" s="3">
        <v>2.99</v>
      </c>
      <c r="X289">
        <v>22</v>
      </c>
      <c r="Y289" s="4">
        <v>65.78</v>
      </c>
      <c r="Z289" s="3">
        <v>6.3806599999999998</v>
      </c>
    </row>
    <row r="290" spans="1:26" x14ac:dyDescent="0.3">
      <c r="A290">
        <v>1336</v>
      </c>
      <c r="B290" s="2">
        <v>41971</v>
      </c>
      <c r="C290">
        <v>28</v>
      </c>
      <c r="D290" t="s">
        <v>90</v>
      </c>
      <c r="E290" t="s">
        <v>91</v>
      </c>
      <c r="F290" t="s">
        <v>92</v>
      </c>
      <c r="G290" t="s">
        <v>93</v>
      </c>
      <c r="H290">
        <v>99999</v>
      </c>
      <c r="I290" t="s">
        <v>30</v>
      </c>
      <c r="J290" t="s">
        <v>94</v>
      </c>
      <c r="K290" t="s">
        <v>95</v>
      </c>
      <c r="L290" s="2">
        <v>41973</v>
      </c>
      <c r="M290" t="s">
        <v>62</v>
      </c>
      <c r="N290" t="s">
        <v>96</v>
      </c>
      <c r="O290" t="s">
        <v>91</v>
      </c>
      <c r="P290" t="s">
        <v>92</v>
      </c>
      <c r="Q290" t="s">
        <v>93</v>
      </c>
      <c r="R290">
        <v>99999</v>
      </c>
      <c r="S290" t="s">
        <v>30</v>
      </c>
      <c r="T290" t="s">
        <v>48</v>
      </c>
      <c r="U290" t="s">
        <v>80</v>
      </c>
      <c r="V290" t="s">
        <v>81</v>
      </c>
      <c r="W290" s="3">
        <v>9.65</v>
      </c>
      <c r="X290">
        <v>46</v>
      </c>
      <c r="Y290" s="4">
        <v>443.90000000000003</v>
      </c>
      <c r="Z290" s="3">
        <v>45.721700000000006</v>
      </c>
    </row>
    <row r="291" spans="1:26" x14ac:dyDescent="0.3">
      <c r="A291">
        <v>1337</v>
      </c>
      <c r="B291" s="2">
        <v>41971</v>
      </c>
      <c r="C291">
        <v>28</v>
      </c>
      <c r="D291" t="s">
        <v>90</v>
      </c>
      <c r="E291" t="s">
        <v>91</v>
      </c>
      <c r="F291" t="s">
        <v>92</v>
      </c>
      <c r="G291" t="s">
        <v>93</v>
      </c>
      <c r="H291">
        <v>99999</v>
      </c>
      <c r="I291" t="s">
        <v>30</v>
      </c>
      <c r="J291" t="s">
        <v>94</v>
      </c>
      <c r="K291" t="s">
        <v>95</v>
      </c>
      <c r="L291">
        <v>41973</v>
      </c>
      <c r="M291" t="s">
        <v>62</v>
      </c>
      <c r="N291" t="s">
        <v>96</v>
      </c>
      <c r="O291" t="s">
        <v>91</v>
      </c>
      <c r="P291" t="s">
        <v>92</v>
      </c>
      <c r="Q291" t="s">
        <v>93</v>
      </c>
      <c r="R291">
        <v>99999</v>
      </c>
      <c r="S291" t="s">
        <v>30</v>
      </c>
      <c r="T291" t="s">
        <v>48</v>
      </c>
      <c r="U291" t="s">
        <v>123</v>
      </c>
      <c r="V291" t="s">
        <v>124</v>
      </c>
      <c r="W291" s="3">
        <v>18.399999999999999</v>
      </c>
      <c r="X291">
        <v>100</v>
      </c>
      <c r="Y291" s="4">
        <v>1839.9999999999998</v>
      </c>
      <c r="Z291" s="3">
        <v>184</v>
      </c>
    </row>
    <row r="292" spans="1:26" x14ac:dyDescent="0.3">
      <c r="A292">
        <v>1338</v>
      </c>
      <c r="B292" s="2">
        <v>41952</v>
      </c>
      <c r="C292">
        <v>9</v>
      </c>
      <c r="D292" t="s">
        <v>125</v>
      </c>
      <c r="E292" t="s">
        <v>126</v>
      </c>
      <c r="F292" t="s">
        <v>127</v>
      </c>
      <c r="G292" t="s">
        <v>128</v>
      </c>
      <c r="H292">
        <v>99999</v>
      </c>
      <c r="I292" t="s">
        <v>30</v>
      </c>
      <c r="J292" t="s">
        <v>129</v>
      </c>
      <c r="K292" t="s">
        <v>32</v>
      </c>
      <c r="L292">
        <v>41954</v>
      </c>
      <c r="M292" t="s">
        <v>46</v>
      </c>
      <c r="N292" t="s">
        <v>130</v>
      </c>
      <c r="O292" t="s">
        <v>126</v>
      </c>
      <c r="P292" t="s">
        <v>127</v>
      </c>
      <c r="Q292" t="s">
        <v>128</v>
      </c>
      <c r="R292">
        <v>99999</v>
      </c>
      <c r="S292" t="s">
        <v>30</v>
      </c>
      <c r="T292" t="s">
        <v>35</v>
      </c>
      <c r="U292" t="s">
        <v>131</v>
      </c>
      <c r="V292" t="s">
        <v>132</v>
      </c>
      <c r="W292" s="3">
        <v>19.5</v>
      </c>
      <c r="X292">
        <v>87</v>
      </c>
      <c r="Y292" s="4">
        <v>1696.5</v>
      </c>
      <c r="Z292" s="3">
        <v>174.73950000000002</v>
      </c>
    </row>
    <row r="293" spans="1:26" x14ac:dyDescent="0.3">
      <c r="A293">
        <v>1339</v>
      </c>
      <c r="B293" s="2">
        <v>41952</v>
      </c>
      <c r="C293">
        <v>9</v>
      </c>
      <c r="D293" t="s">
        <v>125</v>
      </c>
      <c r="E293" t="s">
        <v>126</v>
      </c>
      <c r="F293" t="s">
        <v>127</v>
      </c>
      <c r="G293" t="s">
        <v>128</v>
      </c>
      <c r="H293">
        <v>99999</v>
      </c>
      <c r="I293" t="s">
        <v>30</v>
      </c>
      <c r="J293" t="s">
        <v>129</v>
      </c>
      <c r="K293" t="s">
        <v>32</v>
      </c>
      <c r="L293">
        <v>41954</v>
      </c>
      <c r="M293" t="s">
        <v>46</v>
      </c>
      <c r="N293" t="s">
        <v>130</v>
      </c>
      <c r="O293" t="s">
        <v>126</v>
      </c>
      <c r="P293" t="s">
        <v>127</v>
      </c>
      <c r="Q293" t="s">
        <v>128</v>
      </c>
      <c r="R293">
        <v>99999</v>
      </c>
      <c r="S293" t="s">
        <v>30</v>
      </c>
      <c r="T293" t="s">
        <v>35</v>
      </c>
      <c r="U293" t="s">
        <v>133</v>
      </c>
      <c r="V293" t="s">
        <v>134</v>
      </c>
      <c r="W293" s="3">
        <v>34.799999999999997</v>
      </c>
      <c r="X293">
        <v>58</v>
      </c>
      <c r="Y293" s="4">
        <v>2018.3999999999999</v>
      </c>
      <c r="Z293" s="3">
        <v>205.8768</v>
      </c>
    </row>
    <row r="294" spans="1:26" x14ac:dyDescent="0.3">
      <c r="A294">
        <v>1340</v>
      </c>
      <c r="B294" s="2">
        <v>41949</v>
      </c>
      <c r="C294">
        <v>6</v>
      </c>
      <c r="D294" t="s">
        <v>82</v>
      </c>
      <c r="E294" t="s">
        <v>83</v>
      </c>
      <c r="F294" t="s">
        <v>84</v>
      </c>
      <c r="G294" t="s">
        <v>85</v>
      </c>
      <c r="H294">
        <v>99999</v>
      </c>
      <c r="I294" t="s">
        <v>30</v>
      </c>
      <c r="J294" t="s">
        <v>86</v>
      </c>
      <c r="K294" t="s">
        <v>61</v>
      </c>
      <c r="L294">
        <v>41951</v>
      </c>
      <c r="M294" t="s">
        <v>33</v>
      </c>
      <c r="N294" t="s">
        <v>87</v>
      </c>
      <c r="O294" t="s">
        <v>83</v>
      </c>
      <c r="P294" t="s">
        <v>84</v>
      </c>
      <c r="Q294" t="s">
        <v>85</v>
      </c>
      <c r="R294">
        <v>99999</v>
      </c>
      <c r="S294" t="s">
        <v>30</v>
      </c>
      <c r="T294" t="s">
        <v>48</v>
      </c>
      <c r="U294" t="s">
        <v>36</v>
      </c>
      <c r="V294" t="s">
        <v>37</v>
      </c>
      <c r="W294" s="3">
        <v>14</v>
      </c>
      <c r="X294">
        <v>85</v>
      </c>
      <c r="Y294" s="4">
        <v>1190</v>
      </c>
      <c r="Z294" s="3">
        <v>120.19</v>
      </c>
    </row>
    <row r="295" spans="1:26" x14ac:dyDescent="0.3">
      <c r="A295">
        <v>1341</v>
      </c>
      <c r="B295" s="2">
        <v>41951</v>
      </c>
      <c r="C295">
        <v>8</v>
      </c>
      <c r="D295" t="s">
        <v>56</v>
      </c>
      <c r="E295" t="s">
        <v>57</v>
      </c>
      <c r="F295" t="s">
        <v>58</v>
      </c>
      <c r="G295" t="s">
        <v>59</v>
      </c>
      <c r="H295">
        <v>99999</v>
      </c>
      <c r="I295" t="s">
        <v>30</v>
      </c>
      <c r="J295" t="s">
        <v>60</v>
      </c>
      <c r="K295" t="s">
        <v>61</v>
      </c>
      <c r="L295">
        <v>41953</v>
      </c>
      <c r="M295" t="s">
        <v>33</v>
      </c>
      <c r="N295" t="s">
        <v>63</v>
      </c>
      <c r="O295" t="s">
        <v>57</v>
      </c>
      <c r="P295" t="s">
        <v>58</v>
      </c>
      <c r="Q295" t="s">
        <v>59</v>
      </c>
      <c r="R295">
        <v>99999</v>
      </c>
      <c r="S295" t="s">
        <v>30</v>
      </c>
      <c r="T295" t="s">
        <v>35</v>
      </c>
      <c r="U295" t="s">
        <v>88</v>
      </c>
      <c r="V295" t="s">
        <v>89</v>
      </c>
      <c r="W295" s="3">
        <v>40</v>
      </c>
      <c r="X295">
        <v>28</v>
      </c>
      <c r="Y295" s="4">
        <v>1120</v>
      </c>
      <c r="Z295" s="3">
        <v>110.88</v>
      </c>
    </row>
    <row r="296" spans="1:26" x14ac:dyDescent="0.3">
      <c r="A296">
        <v>1342</v>
      </c>
      <c r="B296" s="2">
        <v>41951</v>
      </c>
      <c r="C296">
        <v>8</v>
      </c>
      <c r="D296" t="s">
        <v>56</v>
      </c>
      <c r="E296" t="s">
        <v>57</v>
      </c>
      <c r="F296" t="s">
        <v>58</v>
      </c>
      <c r="G296" t="s">
        <v>59</v>
      </c>
      <c r="H296">
        <v>99999</v>
      </c>
      <c r="I296" t="s">
        <v>30</v>
      </c>
      <c r="J296" t="s">
        <v>60</v>
      </c>
      <c r="K296" t="s">
        <v>61</v>
      </c>
      <c r="L296" s="2">
        <v>41953</v>
      </c>
      <c r="M296" t="s">
        <v>33</v>
      </c>
      <c r="N296" t="s">
        <v>63</v>
      </c>
      <c r="O296" t="s">
        <v>57</v>
      </c>
      <c r="P296" t="s">
        <v>58</v>
      </c>
      <c r="Q296" t="s">
        <v>59</v>
      </c>
      <c r="R296">
        <v>99999</v>
      </c>
      <c r="S296" t="s">
        <v>30</v>
      </c>
      <c r="T296" t="s">
        <v>35</v>
      </c>
      <c r="U296" t="s">
        <v>64</v>
      </c>
      <c r="V296" t="s">
        <v>65</v>
      </c>
      <c r="W296" s="3">
        <v>9.1999999999999993</v>
      </c>
      <c r="X296">
        <v>19</v>
      </c>
      <c r="Y296" s="4">
        <v>174.79999999999998</v>
      </c>
      <c r="Z296" s="3">
        <v>17.130400000000002</v>
      </c>
    </row>
    <row r="297" spans="1:26" x14ac:dyDescent="0.3">
      <c r="A297">
        <v>1343</v>
      </c>
      <c r="B297" s="2">
        <v>41968</v>
      </c>
      <c r="C297">
        <v>25</v>
      </c>
      <c r="D297" t="s">
        <v>137</v>
      </c>
      <c r="E297" t="s">
        <v>138</v>
      </c>
      <c r="F297" t="s">
        <v>99</v>
      </c>
      <c r="G297" t="s">
        <v>100</v>
      </c>
      <c r="H297">
        <v>99999</v>
      </c>
      <c r="I297" t="s">
        <v>30</v>
      </c>
      <c r="J297" t="s">
        <v>101</v>
      </c>
      <c r="K297" t="s">
        <v>45</v>
      </c>
      <c r="L297" s="2">
        <v>41970</v>
      </c>
      <c r="M297" t="s">
        <v>46</v>
      </c>
      <c r="N297" t="s">
        <v>139</v>
      </c>
      <c r="O297" t="s">
        <v>138</v>
      </c>
      <c r="P297" t="s">
        <v>99</v>
      </c>
      <c r="Q297" t="s">
        <v>100</v>
      </c>
      <c r="R297">
        <v>99999</v>
      </c>
      <c r="S297" t="s">
        <v>30</v>
      </c>
      <c r="T297" t="s">
        <v>79</v>
      </c>
      <c r="U297" t="s">
        <v>146</v>
      </c>
      <c r="V297" t="s">
        <v>65</v>
      </c>
      <c r="W297" s="3">
        <v>10</v>
      </c>
      <c r="X297">
        <v>99</v>
      </c>
      <c r="Y297" s="4">
        <v>990</v>
      </c>
      <c r="Z297" s="3">
        <v>102.96000000000001</v>
      </c>
    </row>
    <row r="298" spans="1:26" x14ac:dyDescent="0.3">
      <c r="A298">
        <v>1344</v>
      </c>
      <c r="B298" s="2">
        <v>41969</v>
      </c>
      <c r="C298">
        <v>26</v>
      </c>
      <c r="D298" t="s">
        <v>140</v>
      </c>
      <c r="E298" t="s">
        <v>141</v>
      </c>
      <c r="F298" t="s">
        <v>115</v>
      </c>
      <c r="G298" t="s">
        <v>116</v>
      </c>
      <c r="H298">
        <v>99999</v>
      </c>
      <c r="I298" t="s">
        <v>30</v>
      </c>
      <c r="J298" t="s">
        <v>94</v>
      </c>
      <c r="K298" t="s">
        <v>95</v>
      </c>
      <c r="L298" s="2">
        <v>41971</v>
      </c>
      <c r="M298" t="s">
        <v>62</v>
      </c>
      <c r="N298" t="s">
        <v>142</v>
      </c>
      <c r="O298" t="s">
        <v>141</v>
      </c>
      <c r="P298" t="s">
        <v>115</v>
      </c>
      <c r="Q298" t="s">
        <v>116</v>
      </c>
      <c r="R298">
        <v>99999</v>
      </c>
      <c r="S298" t="s">
        <v>30</v>
      </c>
      <c r="T298" t="s">
        <v>48</v>
      </c>
      <c r="U298" t="s">
        <v>147</v>
      </c>
      <c r="V298" t="s">
        <v>148</v>
      </c>
      <c r="W298" s="3">
        <v>21.35</v>
      </c>
      <c r="X298">
        <v>69</v>
      </c>
      <c r="Y298" s="4">
        <v>1473.15</v>
      </c>
      <c r="Z298" s="3">
        <v>153.20760000000004</v>
      </c>
    </row>
    <row r="299" spans="1:26" x14ac:dyDescent="0.3">
      <c r="A299">
        <v>1345</v>
      </c>
      <c r="B299" s="2">
        <v>41969</v>
      </c>
      <c r="C299">
        <v>26</v>
      </c>
      <c r="D299" t="s">
        <v>140</v>
      </c>
      <c r="E299" t="s">
        <v>141</v>
      </c>
      <c r="F299" t="s">
        <v>115</v>
      </c>
      <c r="G299" t="s">
        <v>116</v>
      </c>
      <c r="H299">
        <v>99999</v>
      </c>
      <c r="I299" t="s">
        <v>30</v>
      </c>
      <c r="J299" t="s">
        <v>94</v>
      </c>
      <c r="K299" t="s">
        <v>95</v>
      </c>
      <c r="L299" s="2">
        <v>41971</v>
      </c>
      <c r="M299" t="s">
        <v>62</v>
      </c>
      <c r="N299" t="s">
        <v>142</v>
      </c>
      <c r="O299" t="s">
        <v>141</v>
      </c>
      <c r="P299" t="s">
        <v>115</v>
      </c>
      <c r="Q299" t="s">
        <v>116</v>
      </c>
      <c r="R299">
        <v>99999</v>
      </c>
      <c r="S299" t="s">
        <v>30</v>
      </c>
      <c r="T299" t="s">
        <v>48</v>
      </c>
      <c r="U299" t="s">
        <v>80</v>
      </c>
      <c r="V299" t="s">
        <v>81</v>
      </c>
      <c r="W299" s="3">
        <v>9.65</v>
      </c>
      <c r="X299">
        <v>37</v>
      </c>
      <c r="Y299" s="4">
        <v>357.05</v>
      </c>
      <c r="Z299" s="3">
        <v>33.919750000000001</v>
      </c>
    </row>
    <row r="300" spans="1:26" x14ac:dyDescent="0.3">
      <c r="A300">
        <v>1346</v>
      </c>
      <c r="B300" s="2">
        <v>41969</v>
      </c>
      <c r="C300">
        <v>26</v>
      </c>
      <c r="D300" t="s">
        <v>140</v>
      </c>
      <c r="E300" t="s">
        <v>141</v>
      </c>
      <c r="F300" t="s">
        <v>115</v>
      </c>
      <c r="G300" t="s">
        <v>116</v>
      </c>
      <c r="H300">
        <v>99999</v>
      </c>
      <c r="I300" t="s">
        <v>30</v>
      </c>
      <c r="J300" t="s">
        <v>94</v>
      </c>
      <c r="K300" t="s">
        <v>95</v>
      </c>
      <c r="L300" s="2">
        <v>41971</v>
      </c>
      <c r="M300" t="s">
        <v>62</v>
      </c>
      <c r="N300" t="s">
        <v>142</v>
      </c>
      <c r="O300" t="s">
        <v>141</v>
      </c>
      <c r="P300" t="s">
        <v>115</v>
      </c>
      <c r="Q300" t="s">
        <v>116</v>
      </c>
      <c r="R300">
        <v>99999</v>
      </c>
      <c r="S300" t="s">
        <v>30</v>
      </c>
      <c r="T300" t="s">
        <v>48</v>
      </c>
      <c r="U300" t="s">
        <v>123</v>
      </c>
      <c r="V300" t="s">
        <v>124</v>
      </c>
      <c r="W300" s="3">
        <v>18.399999999999999</v>
      </c>
      <c r="X300">
        <v>64</v>
      </c>
      <c r="Y300" s="4">
        <v>1177.5999999999999</v>
      </c>
      <c r="Z300" s="3">
        <v>118.93759999999999</v>
      </c>
    </row>
    <row r="301" spans="1:26" x14ac:dyDescent="0.3">
      <c r="A301">
        <v>1347</v>
      </c>
      <c r="B301" s="2">
        <v>41972</v>
      </c>
      <c r="C301">
        <v>29</v>
      </c>
      <c r="D301" t="s">
        <v>66</v>
      </c>
      <c r="E301" t="s">
        <v>67</v>
      </c>
      <c r="F301" t="s">
        <v>68</v>
      </c>
      <c r="G301" t="s">
        <v>69</v>
      </c>
      <c r="H301">
        <v>99999</v>
      </c>
      <c r="I301" t="s">
        <v>30</v>
      </c>
      <c r="J301" t="s">
        <v>70</v>
      </c>
      <c r="K301" t="s">
        <v>32</v>
      </c>
      <c r="L301" s="2">
        <v>41974</v>
      </c>
      <c r="M301" t="s">
        <v>33</v>
      </c>
      <c r="N301" t="s">
        <v>71</v>
      </c>
      <c r="O301" t="s">
        <v>67</v>
      </c>
      <c r="P301" t="s">
        <v>68</v>
      </c>
      <c r="Q301" t="s">
        <v>69</v>
      </c>
      <c r="R301">
        <v>99999</v>
      </c>
      <c r="S301" t="s">
        <v>30</v>
      </c>
      <c r="T301" t="s">
        <v>35</v>
      </c>
      <c r="U301" t="s">
        <v>36</v>
      </c>
      <c r="V301" t="s">
        <v>37</v>
      </c>
      <c r="W301" s="3">
        <v>14</v>
      </c>
      <c r="X301">
        <v>38</v>
      </c>
      <c r="Y301" s="4">
        <v>532</v>
      </c>
      <c r="Z301" s="3">
        <v>55.328000000000003</v>
      </c>
    </row>
    <row r="302" spans="1:26" x14ac:dyDescent="0.3">
      <c r="A302">
        <v>1348</v>
      </c>
      <c r="B302" s="2">
        <v>41949</v>
      </c>
      <c r="C302">
        <v>6</v>
      </c>
      <c r="D302" t="s">
        <v>82</v>
      </c>
      <c r="E302" t="s">
        <v>83</v>
      </c>
      <c r="F302" t="s">
        <v>84</v>
      </c>
      <c r="G302" t="s">
        <v>85</v>
      </c>
      <c r="H302">
        <v>99999</v>
      </c>
      <c r="I302" t="s">
        <v>30</v>
      </c>
      <c r="J302" t="s">
        <v>86</v>
      </c>
      <c r="K302" t="s">
        <v>61</v>
      </c>
      <c r="L302" s="2">
        <v>41951</v>
      </c>
      <c r="M302" t="s">
        <v>62</v>
      </c>
      <c r="N302" t="s">
        <v>87</v>
      </c>
      <c r="O302" t="s">
        <v>83</v>
      </c>
      <c r="P302" t="s">
        <v>84</v>
      </c>
      <c r="Q302" t="s">
        <v>85</v>
      </c>
      <c r="R302">
        <v>99999</v>
      </c>
      <c r="S302" t="s">
        <v>30</v>
      </c>
      <c r="T302" t="s">
        <v>35</v>
      </c>
      <c r="U302" t="s">
        <v>72</v>
      </c>
      <c r="V302" t="s">
        <v>73</v>
      </c>
      <c r="W302" s="3">
        <v>12.75</v>
      </c>
      <c r="X302">
        <v>15</v>
      </c>
      <c r="Y302" s="4">
        <v>191.25</v>
      </c>
      <c r="Z302" s="3">
        <v>18.55125</v>
      </c>
    </row>
    <row r="303" spans="1:26" x14ac:dyDescent="0.3">
      <c r="A303">
        <v>1350</v>
      </c>
      <c r="B303" s="2">
        <v>41947</v>
      </c>
      <c r="C303">
        <v>4</v>
      </c>
      <c r="D303" t="s">
        <v>40</v>
      </c>
      <c r="E303" t="s">
        <v>41</v>
      </c>
      <c r="F303" t="s">
        <v>42</v>
      </c>
      <c r="G303" t="s">
        <v>43</v>
      </c>
      <c r="H303">
        <v>99999</v>
      </c>
      <c r="I303" t="s">
        <v>30</v>
      </c>
      <c r="J303" t="s">
        <v>44</v>
      </c>
      <c r="K303" t="s">
        <v>45</v>
      </c>
      <c r="L303" s="2">
        <v>41949</v>
      </c>
      <c r="M303" t="s">
        <v>46</v>
      </c>
      <c r="N303" t="s">
        <v>47</v>
      </c>
      <c r="O303" t="s">
        <v>41</v>
      </c>
      <c r="P303" t="s">
        <v>42</v>
      </c>
      <c r="Q303" t="s">
        <v>43</v>
      </c>
      <c r="R303">
        <v>99999</v>
      </c>
      <c r="S303" t="s">
        <v>30</v>
      </c>
      <c r="T303" t="s">
        <v>48</v>
      </c>
      <c r="U303" t="s">
        <v>149</v>
      </c>
      <c r="V303" t="s">
        <v>110</v>
      </c>
      <c r="W303" s="3">
        <v>81</v>
      </c>
      <c r="X303">
        <v>52</v>
      </c>
      <c r="Y303" s="4">
        <v>4212</v>
      </c>
      <c r="Z303" s="3">
        <v>412.77600000000001</v>
      </c>
    </row>
    <row r="304" spans="1:26" x14ac:dyDescent="0.3">
      <c r="A304">
        <v>1351</v>
      </c>
      <c r="B304" s="2">
        <v>41947</v>
      </c>
      <c r="C304">
        <v>4</v>
      </c>
      <c r="D304" t="s">
        <v>40</v>
      </c>
      <c r="E304" t="s">
        <v>41</v>
      </c>
      <c r="F304" t="s">
        <v>42</v>
      </c>
      <c r="G304" t="s">
        <v>43</v>
      </c>
      <c r="H304">
        <v>99999</v>
      </c>
      <c r="I304" t="s">
        <v>30</v>
      </c>
      <c r="J304" t="s">
        <v>44</v>
      </c>
      <c r="K304" t="s">
        <v>45</v>
      </c>
      <c r="L304" s="2">
        <v>41949</v>
      </c>
      <c r="M304" t="s">
        <v>46</v>
      </c>
      <c r="N304" t="s">
        <v>47</v>
      </c>
      <c r="O304" t="s">
        <v>41</v>
      </c>
      <c r="P304" t="s">
        <v>42</v>
      </c>
      <c r="Q304" t="s">
        <v>43</v>
      </c>
      <c r="R304">
        <v>99999</v>
      </c>
      <c r="S304" t="s">
        <v>30</v>
      </c>
      <c r="T304" t="s">
        <v>48</v>
      </c>
      <c r="U304" t="s">
        <v>150</v>
      </c>
      <c r="V304" t="s">
        <v>151</v>
      </c>
      <c r="W304" s="3">
        <v>7</v>
      </c>
      <c r="X304">
        <v>37</v>
      </c>
      <c r="Y304" s="4">
        <v>259</v>
      </c>
      <c r="Z304" s="3">
        <v>25.382000000000001</v>
      </c>
    </row>
    <row r="305" spans="1:26" x14ac:dyDescent="0.3">
      <c r="A305">
        <v>1353</v>
      </c>
      <c r="B305" s="2">
        <v>41951</v>
      </c>
      <c r="C305">
        <v>8</v>
      </c>
      <c r="D305" t="s">
        <v>56</v>
      </c>
      <c r="E305" t="s">
        <v>57</v>
      </c>
      <c r="F305" t="s">
        <v>58</v>
      </c>
      <c r="G305" t="s">
        <v>59</v>
      </c>
      <c r="H305">
        <v>99999</v>
      </c>
      <c r="I305" t="s">
        <v>30</v>
      </c>
      <c r="J305" t="s">
        <v>60</v>
      </c>
      <c r="K305" t="s">
        <v>61</v>
      </c>
      <c r="L305" s="2">
        <v>41953</v>
      </c>
      <c r="M305" t="s">
        <v>62</v>
      </c>
      <c r="N305" t="s">
        <v>63</v>
      </c>
      <c r="O305" t="s">
        <v>57</v>
      </c>
      <c r="P305" t="s">
        <v>58</v>
      </c>
      <c r="Q305" t="s">
        <v>59</v>
      </c>
      <c r="R305">
        <v>99999</v>
      </c>
      <c r="S305" t="s">
        <v>30</v>
      </c>
      <c r="T305" t="s">
        <v>48</v>
      </c>
      <c r="U305" t="s">
        <v>133</v>
      </c>
      <c r="V305" t="s">
        <v>134</v>
      </c>
      <c r="W305" s="3">
        <v>34.799999999999997</v>
      </c>
      <c r="X305">
        <v>24</v>
      </c>
      <c r="Y305" s="4">
        <v>835.19999999999993</v>
      </c>
      <c r="Z305" s="3">
        <v>80.179199999999994</v>
      </c>
    </row>
    <row r="306" spans="1:26" x14ac:dyDescent="0.3">
      <c r="A306">
        <v>1356</v>
      </c>
      <c r="B306" s="2">
        <v>41946</v>
      </c>
      <c r="C306">
        <v>3</v>
      </c>
      <c r="D306" t="s">
        <v>74</v>
      </c>
      <c r="E306" t="s">
        <v>75</v>
      </c>
      <c r="F306" t="s">
        <v>76</v>
      </c>
      <c r="G306" t="s">
        <v>77</v>
      </c>
      <c r="H306">
        <v>99999</v>
      </c>
      <c r="I306" t="s">
        <v>30</v>
      </c>
      <c r="J306" t="s">
        <v>31</v>
      </c>
      <c r="K306" t="s">
        <v>32</v>
      </c>
      <c r="L306" s="2">
        <v>41948</v>
      </c>
      <c r="M306" t="s">
        <v>33</v>
      </c>
      <c r="N306" t="s">
        <v>78</v>
      </c>
      <c r="O306" t="s">
        <v>75</v>
      </c>
      <c r="P306" t="s">
        <v>76</v>
      </c>
      <c r="Q306" t="s">
        <v>77</v>
      </c>
      <c r="R306">
        <v>99999</v>
      </c>
      <c r="S306" t="s">
        <v>30</v>
      </c>
      <c r="T306" t="s">
        <v>79</v>
      </c>
      <c r="U306" t="s">
        <v>135</v>
      </c>
      <c r="V306" t="s">
        <v>112</v>
      </c>
      <c r="W306" s="3">
        <v>10</v>
      </c>
      <c r="X306">
        <v>36</v>
      </c>
      <c r="Y306" s="4">
        <v>360</v>
      </c>
      <c r="Z306" s="3">
        <v>37.08</v>
      </c>
    </row>
    <row r="307" spans="1:26" x14ac:dyDescent="0.3">
      <c r="A307">
        <v>1357</v>
      </c>
      <c r="B307" s="2">
        <v>41946</v>
      </c>
      <c r="C307">
        <v>3</v>
      </c>
      <c r="D307" t="s">
        <v>74</v>
      </c>
      <c r="E307" t="s">
        <v>75</v>
      </c>
      <c r="F307" t="s">
        <v>76</v>
      </c>
      <c r="G307" t="s">
        <v>77</v>
      </c>
      <c r="H307">
        <v>99999</v>
      </c>
      <c r="I307" t="s">
        <v>30</v>
      </c>
      <c r="J307" t="s">
        <v>31</v>
      </c>
      <c r="K307" t="s">
        <v>32</v>
      </c>
      <c r="L307" s="2">
        <v>41948</v>
      </c>
      <c r="M307" t="s">
        <v>33</v>
      </c>
      <c r="N307" t="s">
        <v>78</v>
      </c>
      <c r="O307" t="s">
        <v>75</v>
      </c>
      <c r="P307" t="s">
        <v>76</v>
      </c>
      <c r="Q307" t="s">
        <v>77</v>
      </c>
      <c r="R307">
        <v>99999</v>
      </c>
      <c r="S307" t="s">
        <v>30</v>
      </c>
      <c r="T307" t="s">
        <v>79</v>
      </c>
      <c r="U307" t="s">
        <v>88</v>
      </c>
      <c r="V307" t="s">
        <v>89</v>
      </c>
      <c r="W307" s="3">
        <v>40</v>
      </c>
      <c r="X307">
        <v>24</v>
      </c>
      <c r="Y307" s="4">
        <v>960</v>
      </c>
      <c r="Z307" s="3">
        <v>96</v>
      </c>
    </row>
    <row r="308" spans="1:26" x14ac:dyDescent="0.3">
      <c r="A308">
        <v>1361</v>
      </c>
      <c r="B308" s="2">
        <v>41953</v>
      </c>
      <c r="C308">
        <v>10</v>
      </c>
      <c r="D308" t="s">
        <v>97</v>
      </c>
      <c r="E308" t="s">
        <v>98</v>
      </c>
      <c r="F308" t="s">
        <v>99</v>
      </c>
      <c r="G308" t="s">
        <v>100</v>
      </c>
      <c r="H308">
        <v>99999</v>
      </c>
      <c r="I308" t="s">
        <v>30</v>
      </c>
      <c r="J308" t="s">
        <v>101</v>
      </c>
      <c r="K308" t="s">
        <v>45</v>
      </c>
      <c r="L308" s="2">
        <v>41955</v>
      </c>
      <c r="M308" t="s">
        <v>33</v>
      </c>
      <c r="N308" t="s">
        <v>102</v>
      </c>
      <c r="O308" t="s">
        <v>98</v>
      </c>
      <c r="P308" t="s">
        <v>99</v>
      </c>
      <c r="Q308" t="s">
        <v>100</v>
      </c>
      <c r="R308">
        <v>99999</v>
      </c>
      <c r="S308" t="s">
        <v>30</v>
      </c>
      <c r="T308" t="s">
        <v>48</v>
      </c>
      <c r="U308" t="s">
        <v>136</v>
      </c>
      <c r="V308" t="s">
        <v>39</v>
      </c>
      <c r="W308" s="3">
        <v>10</v>
      </c>
      <c r="X308">
        <v>20</v>
      </c>
      <c r="Y308" s="4">
        <v>200</v>
      </c>
      <c r="Z308" s="3">
        <v>20</v>
      </c>
    </row>
    <row r="309" spans="1:26" x14ac:dyDescent="0.3">
      <c r="A309">
        <v>1363</v>
      </c>
      <c r="B309" s="2">
        <v>41953</v>
      </c>
      <c r="C309">
        <v>10</v>
      </c>
      <c r="D309" t="s">
        <v>97</v>
      </c>
      <c r="E309" t="s">
        <v>98</v>
      </c>
      <c r="F309" t="s">
        <v>99</v>
      </c>
      <c r="G309" t="s">
        <v>100</v>
      </c>
      <c r="H309">
        <v>99999</v>
      </c>
      <c r="I309" t="s">
        <v>30</v>
      </c>
      <c r="J309" t="s">
        <v>101</v>
      </c>
      <c r="K309" t="s">
        <v>45</v>
      </c>
      <c r="L309" s="2"/>
      <c r="M309" t="s">
        <v>46</v>
      </c>
      <c r="N309" t="s">
        <v>102</v>
      </c>
      <c r="O309" t="s">
        <v>98</v>
      </c>
      <c r="P309" t="s">
        <v>99</v>
      </c>
      <c r="Q309" t="s">
        <v>100</v>
      </c>
      <c r="R309">
        <v>99999</v>
      </c>
      <c r="S309" t="s">
        <v>30</v>
      </c>
      <c r="U309" t="s">
        <v>38</v>
      </c>
      <c r="V309" t="s">
        <v>39</v>
      </c>
      <c r="W309">
        <v>3.5</v>
      </c>
      <c r="X309">
        <v>11</v>
      </c>
      <c r="Y309" s="4">
        <v>38.5</v>
      </c>
      <c r="Z309" s="3">
        <v>3.7345000000000002</v>
      </c>
    </row>
    <row r="310" spans="1:26" x14ac:dyDescent="0.3">
      <c r="A310">
        <v>1364</v>
      </c>
      <c r="B310" s="2">
        <v>41954</v>
      </c>
      <c r="C310">
        <v>11</v>
      </c>
      <c r="D310" t="s">
        <v>113</v>
      </c>
      <c r="E310" t="s">
        <v>114</v>
      </c>
      <c r="F310" t="s">
        <v>115</v>
      </c>
      <c r="G310" t="s">
        <v>116</v>
      </c>
      <c r="H310">
        <v>99999</v>
      </c>
      <c r="I310" t="s">
        <v>30</v>
      </c>
      <c r="J310" t="s">
        <v>94</v>
      </c>
      <c r="K310" t="s">
        <v>95</v>
      </c>
      <c r="L310" s="2"/>
      <c r="M310" t="s">
        <v>62</v>
      </c>
      <c r="N310" t="s">
        <v>117</v>
      </c>
      <c r="O310" t="s">
        <v>114</v>
      </c>
      <c r="P310" t="s">
        <v>115</v>
      </c>
      <c r="Q310" t="s">
        <v>116</v>
      </c>
      <c r="R310">
        <v>99999</v>
      </c>
      <c r="S310" t="s">
        <v>30</v>
      </c>
      <c r="U310" t="s">
        <v>88</v>
      </c>
      <c r="V310" t="s">
        <v>89</v>
      </c>
      <c r="W310">
        <v>40</v>
      </c>
      <c r="X310">
        <v>78</v>
      </c>
      <c r="Y310" s="4">
        <v>3120</v>
      </c>
      <c r="Z310" s="3">
        <v>299.52</v>
      </c>
    </row>
    <row r="311" spans="1:26" x14ac:dyDescent="0.3">
      <c r="A311">
        <v>1365</v>
      </c>
      <c r="B311" s="2">
        <v>41944</v>
      </c>
      <c r="C311">
        <v>1</v>
      </c>
      <c r="D311" t="s">
        <v>118</v>
      </c>
      <c r="E311" t="s">
        <v>119</v>
      </c>
      <c r="F311" t="s">
        <v>120</v>
      </c>
      <c r="G311" t="s">
        <v>121</v>
      </c>
      <c r="H311">
        <v>99999</v>
      </c>
      <c r="I311" t="s">
        <v>30</v>
      </c>
      <c r="J311" t="s">
        <v>60</v>
      </c>
      <c r="K311" t="s">
        <v>61</v>
      </c>
      <c r="L311" s="2"/>
      <c r="M311" t="s">
        <v>62</v>
      </c>
      <c r="N311" t="s">
        <v>122</v>
      </c>
      <c r="O311" t="s">
        <v>119</v>
      </c>
      <c r="P311" t="s">
        <v>120</v>
      </c>
      <c r="Q311" t="s">
        <v>121</v>
      </c>
      <c r="R311">
        <v>99999</v>
      </c>
      <c r="S311" t="s">
        <v>30</v>
      </c>
      <c r="U311" t="s">
        <v>123</v>
      </c>
      <c r="V311" t="s">
        <v>124</v>
      </c>
      <c r="W311">
        <v>18.399999999999999</v>
      </c>
      <c r="X311">
        <v>76</v>
      </c>
      <c r="Y311" s="4">
        <v>1398.3999999999999</v>
      </c>
      <c r="Z311" s="3">
        <v>144.0352</v>
      </c>
    </row>
    <row r="312" spans="1:26" x14ac:dyDescent="0.3">
      <c r="A312">
        <v>1366</v>
      </c>
      <c r="B312" s="2">
        <v>41971</v>
      </c>
      <c r="C312">
        <v>28</v>
      </c>
      <c r="D312" t="s">
        <v>90</v>
      </c>
      <c r="E312" t="s">
        <v>91</v>
      </c>
      <c r="F312" t="s">
        <v>92</v>
      </c>
      <c r="G312" t="s">
        <v>93</v>
      </c>
      <c r="H312">
        <v>99999</v>
      </c>
      <c r="I312" t="s">
        <v>30</v>
      </c>
      <c r="J312" t="s">
        <v>94</v>
      </c>
      <c r="K312" t="s">
        <v>95</v>
      </c>
      <c r="L312" s="2">
        <v>41973</v>
      </c>
      <c r="M312" t="s">
        <v>62</v>
      </c>
      <c r="N312" t="s">
        <v>96</v>
      </c>
      <c r="O312" t="s">
        <v>91</v>
      </c>
      <c r="P312" t="s">
        <v>92</v>
      </c>
      <c r="Q312" t="s">
        <v>93</v>
      </c>
      <c r="R312">
        <v>99999</v>
      </c>
      <c r="S312" t="s">
        <v>30</v>
      </c>
      <c r="T312" t="s">
        <v>48</v>
      </c>
      <c r="U312" t="s">
        <v>55</v>
      </c>
      <c r="V312" t="s">
        <v>37</v>
      </c>
      <c r="W312">
        <v>46</v>
      </c>
      <c r="X312">
        <v>57</v>
      </c>
      <c r="Y312" s="4">
        <v>2622</v>
      </c>
      <c r="Z312" s="3">
        <v>272.68799999999999</v>
      </c>
    </row>
    <row r="313" spans="1:26" x14ac:dyDescent="0.3">
      <c r="A313">
        <v>1367</v>
      </c>
      <c r="B313" s="2">
        <v>41952</v>
      </c>
      <c r="C313">
        <v>9</v>
      </c>
      <c r="D313" t="s">
        <v>125</v>
      </c>
      <c r="E313" t="s">
        <v>126</v>
      </c>
      <c r="F313" t="s">
        <v>127</v>
      </c>
      <c r="G313" t="s">
        <v>128</v>
      </c>
      <c r="H313">
        <v>99999</v>
      </c>
      <c r="I313" t="s">
        <v>30</v>
      </c>
      <c r="J313" t="s">
        <v>129</v>
      </c>
      <c r="K313" t="s">
        <v>32</v>
      </c>
      <c r="L313" s="2">
        <v>41954</v>
      </c>
      <c r="M313" t="s">
        <v>46</v>
      </c>
      <c r="N313" t="s">
        <v>130</v>
      </c>
      <c r="O313" t="s">
        <v>126</v>
      </c>
      <c r="P313" t="s">
        <v>127</v>
      </c>
      <c r="Q313" t="s">
        <v>128</v>
      </c>
      <c r="R313">
        <v>99999</v>
      </c>
      <c r="S313" t="s">
        <v>30</v>
      </c>
      <c r="T313" t="s">
        <v>35</v>
      </c>
      <c r="U313" t="s">
        <v>80</v>
      </c>
      <c r="V313" t="s">
        <v>81</v>
      </c>
      <c r="W313">
        <v>9.65</v>
      </c>
      <c r="X313">
        <v>14</v>
      </c>
      <c r="Y313" s="4">
        <v>135.1</v>
      </c>
      <c r="Z313" s="3">
        <v>12.9696</v>
      </c>
    </row>
    <row r="314" spans="1:26" x14ac:dyDescent="0.3">
      <c r="A314">
        <v>1368</v>
      </c>
      <c r="B314" s="2">
        <v>42000</v>
      </c>
      <c r="C314">
        <v>27</v>
      </c>
      <c r="D314" t="s">
        <v>26</v>
      </c>
      <c r="E314" t="s">
        <v>27</v>
      </c>
      <c r="F314" t="s">
        <v>28</v>
      </c>
      <c r="G314" t="s">
        <v>29</v>
      </c>
      <c r="H314">
        <v>99999</v>
      </c>
      <c r="I314" t="s">
        <v>30</v>
      </c>
      <c r="J314" t="s">
        <v>31</v>
      </c>
      <c r="K314" t="s">
        <v>32</v>
      </c>
      <c r="L314" s="2">
        <v>42002</v>
      </c>
      <c r="M314" t="s">
        <v>33</v>
      </c>
      <c r="N314" t="s">
        <v>34</v>
      </c>
      <c r="O314" t="s">
        <v>27</v>
      </c>
      <c r="P314" t="s">
        <v>28</v>
      </c>
      <c r="Q314" t="s">
        <v>29</v>
      </c>
      <c r="R314">
        <v>99999</v>
      </c>
      <c r="S314" t="s">
        <v>30</v>
      </c>
      <c r="T314" t="s">
        <v>35</v>
      </c>
      <c r="U314" t="s">
        <v>36</v>
      </c>
      <c r="V314" t="s">
        <v>37</v>
      </c>
      <c r="W314">
        <v>14</v>
      </c>
      <c r="X314">
        <v>14</v>
      </c>
      <c r="Y314" s="4">
        <v>196</v>
      </c>
      <c r="Z314" s="3">
        <v>19.796000000000003</v>
      </c>
    </row>
    <row r="315" spans="1:26" x14ac:dyDescent="0.3">
      <c r="A315">
        <v>1369</v>
      </c>
      <c r="B315" s="2">
        <v>42000</v>
      </c>
      <c r="C315">
        <v>27</v>
      </c>
      <c r="D315" t="s">
        <v>26</v>
      </c>
      <c r="E315" t="s">
        <v>27</v>
      </c>
      <c r="F315" t="s">
        <v>28</v>
      </c>
      <c r="G315" t="s">
        <v>29</v>
      </c>
      <c r="H315">
        <v>99999</v>
      </c>
      <c r="I315" t="s">
        <v>30</v>
      </c>
      <c r="J315" t="s">
        <v>31</v>
      </c>
      <c r="K315" t="s">
        <v>32</v>
      </c>
      <c r="L315" s="2">
        <v>42002</v>
      </c>
      <c r="M315" t="s">
        <v>33</v>
      </c>
      <c r="N315" t="s">
        <v>34</v>
      </c>
      <c r="O315" t="s">
        <v>27</v>
      </c>
      <c r="P315" t="s">
        <v>28</v>
      </c>
      <c r="Q315" t="s">
        <v>29</v>
      </c>
      <c r="R315">
        <v>99999</v>
      </c>
      <c r="S315" t="s">
        <v>30</v>
      </c>
      <c r="T315" t="s">
        <v>35</v>
      </c>
      <c r="U315" t="s">
        <v>38</v>
      </c>
      <c r="V315" t="s">
        <v>39</v>
      </c>
      <c r="W315">
        <v>3.5</v>
      </c>
      <c r="X315">
        <v>70</v>
      </c>
      <c r="Y315" s="4">
        <v>245</v>
      </c>
      <c r="Z315" s="3">
        <v>25.234999999999999</v>
      </c>
    </row>
    <row r="316" spans="1:26" x14ac:dyDescent="0.3">
      <c r="A316">
        <v>1370</v>
      </c>
      <c r="B316" s="2">
        <v>41977</v>
      </c>
      <c r="C316">
        <v>4</v>
      </c>
      <c r="D316" t="s">
        <v>40</v>
      </c>
      <c r="E316" t="s">
        <v>41</v>
      </c>
      <c r="F316" t="s">
        <v>42</v>
      </c>
      <c r="G316" t="s">
        <v>43</v>
      </c>
      <c r="H316">
        <v>99999</v>
      </c>
      <c r="I316" t="s">
        <v>30</v>
      </c>
      <c r="J316" t="s">
        <v>44</v>
      </c>
      <c r="K316" t="s">
        <v>45</v>
      </c>
      <c r="L316" s="2">
        <v>41979</v>
      </c>
      <c r="M316" t="s">
        <v>46</v>
      </c>
      <c r="N316" t="s">
        <v>47</v>
      </c>
      <c r="O316" t="s">
        <v>41</v>
      </c>
      <c r="P316" t="s">
        <v>42</v>
      </c>
      <c r="Q316" t="s">
        <v>43</v>
      </c>
      <c r="R316">
        <v>99999</v>
      </c>
      <c r="S316" t="s">
        <v>30</v>
      </c>
      <c r="T316" t="s">
        <v>48</v>
      </c>
      <c r="U316" t="s">
        <v>49</v>
      </c>
      <c r="V316" t="s">
        <v>39</v>
      </c>
      <c r="W316">
        <v>30</v>
      </c>
      <c r="X316">
        <v>100</v>
      </c>
      <c r="Y316" s="4">
        <v>3000</v>
      </c>
      <c r="Z316" s="3">
        <v>291</v>
      </c>
    </row>
    <row r="317" spans="1:26" x14ac:dyDescent="0.3">
      <c r="A317">
        <v>1371</v>
      </c>
      <c r="B317" s="2">
        <v>41977</v>
      </c>
      <c r="C317">
        <v>4</v>
      </c>
      <c r="D317" t="s">
        <v>40</v>
      </c>
      <c r="E317" t="s">
        <v>41</v>
      </c>
      <c r="F317" t="s">
        <v>42</v>
      </c>
      <c r="G317" t="s">
        <v>43</v>
      </c>
      <c r="H317">
        <v>99999</v>
      </c>
      <c r="I317" t="s">
        <v>30</v>
      </c>
      <c r="J317" t="s">
        <v>44</v>
      </c>
      <c r="K317" t="s">
        <v>45</v>
      </c>
      <c r="L317" s="2">
        <v>41979</v>
      </c>
      <c r="M317" t="s">
        <v>46</v>
      </c>
      <c r="N317" t="s">
        <v>47</v>
      </c>
      <c r="O317" t="s">
        <v>41</v>
      </c>
      <c r="P317" t="s">
        <v>42</v>
      </c>
      <c r="Q317" t="s">
        <v>43</v>
      </c>
      <c r="R317">
        <v>99999</v>
      </c>
      <c r="S317" t="s">
        <v>30</v>
      </c>
      <c r="T317" t="s">
        <v>48</v>
      </c>
      <c r="U317" t="s">
        <v>50</v>
      </c>
      <c r="V317" t="s">
        <v>39</v>
      </c>
      <c r="W317">
        <v>53</v>
      </c>
      <c r="X317">
        <v>27</v>
      </c>
      <c r="Y317" s="4">
        <v>1431</v>
      </c>
      <c r="Z317" s="3">
        <v>143.1</v>
      </c>
    </row>
    <row r="318" spans="1:26" x14ac:dyDescent="0.3">
      <c r="A318">
        <v>1372</v>
      </c>
      <c r="B318" s="2">
        <v>41977</v>
      </c>
      <c r="C318">
        <v>4</v>
      </c>
      <c r="D318" t="s">
        <v>40</v>
      </c>
      <c r="E318" t="s">
        <v>41</v>
      </c>
      <c r="F318" t="s">
        <v>42</v>
      </c>
      <c r="G318" t="s">
        <v>43</v>
      </c>
      <c r="H318">
        <v>99999</v>
      </c>
      <c r="I318" t="s">
        <v>30</v>
      </c>
      <c r="J318" t="s">
        <v>44</v>
      </c>
      <c r="K318" t="s">
        <v>45</v>
      </c>
      <c r="L318" s="2">
        <v>41979</v>
      </c>
      <c r="M318" t="s">
        <v>46</v>
      </c>
      <c r="N318" t="s">
        <v>47</v>
      </c>
      <c r="O318" t="s">
        <v>41</v>
      </c>
      <c r="P318" t="s">
        <v>42</v>
      </c>
      <c r="Q318" t="s">
        <v>43</v>
      </c>
      <c r="R318">
        <v>99999</v>
      </c>
      <c r="S318" t="s">
        <v>30</v>
      </c>
      <c r="T318" t="s">
        <v>48</v>
      </c>
      <c r="U318" t="s">
        <v>38</v>
      </c>
      <c r="V318" t="s">
        <v>39</v>
      </c>
      <c r="W318">
        <v>3.5</v>
      </c>
      <c r="X318">
        <v>70</v>
      </c>
      <c r="Y318" s="4">
        <v>245</v>
      </c>
      <c r="Z318" s="3">
        <v>24.009999999999998</v>
      </c>
    </row>
    <row r="319" spans="1:26" x14ac:dyDescent="0.3">
      <c r="A319">
        <v>1373</v>
      </c>
      <c r="B319" s="2">
        <v>41985</v>
      </c>
      <c r="C319">
        <v>12</v>
      </c>
      <c r="D319" t="s">
        <v>51</v>
      </c>
      <c r="E319" t="s">
        <v>52</v>
      </c>
      <c r="F319" t="s">
        <v>28</v>
      </c>
      <c r="G319" t="s">
        <v>29</v>
      </c>
      <c r="H319">
        <v>99999</v>
      </c>
      <c r="I319" t="s">
        <v>30</v>
      </c>
      <c r="J319" t="s">
        <v>31</v>
      </c>
      <c r="K319" t="s">
        <v>32</v>
      </c>
      <c r="L319" s="2">
        <v>41987</v>
      </c>
      <c r="M319" t="s">
        <v>33</v>
      </c>
      <c r="N319" t="s">
        <v>53</v>
      </c>
      <c r="O319" t="s">
        <v>52</v>
      </c>
      <c r="P319" t="s">
        <v>28</v>
      </c>
      <c r="Q319" t="s">
        <v>29</v>
      </c>
      <c r="R319">
        <v>99999</v>
      </c>
      <c r="S319" t="s">
        <v>30</v>
      </c>
      <c r="T319" t="s">
        <v>48</v>
      </c>
      <c r="U319" t="s">
        <v>54</v>
      </c>
      <c r="V319" t="s">
        <v>37</v>
      </c>
      <c r="W319">
        <v>18</v>
      </c>
      <c r="X319">
        <v>57</v>
      </c>
      <c r="Y319" s="4">
        <v>1026</v>
      </c>
      <c r="Z319" s="3">
        <v>102.60000000000001</v>
      </c>
    </row>
    <row r="320" spans="1:26" x14ac:dyDescent="0.3">
      <c r="A320">
        <v>1374</v>
      </c>
      <c r="B320" s="2">
        <v>41985</v>
      </c>
      <c r="C320">
        <v>12</v>
      </c>
      <c r="D320" t="s">
        <v>51</v>
      </c>
      <c r="E320" t="s">
        <v>52</v>
      </c>
      <c r="F320" t="s">
        <v>28</v>
      </c>
      <c r="G320" t="s">
        <v>29</v>
      </c>
      <c r="H320">
        <v>99999</v>
      </c>
      <c r="I320" t="s">
        <v>30</v>
      </c>
      <c r="J320" t="s">
        <v>31</v>
      </c>
      <c r="K320" t="s">
        <v>32</v>
      </c>
      <c r="L320" s="2">
        <v>41987</v>
      </c>
      <c r="M320" t="s">
        <v>33</v>
      </c>
      <c r="N320" t="s">
        <v>53</v>
      </c>
      <c r="O320" t="s">
        <v>52</v>
      </c>
      <c r="P320" t="s">
        <v>28</v>
      </c>
      <c r="Q320" t="s">
        <v>29</v>
      </c>
      <c r="R320">
        <v>99999</v>
      </c>
      <c r="S320" t="s">
        <v>30</v>
      </c>
      <c r="T320" t="s">
        <v>48</v>
      </c>
      <c r="U320" t="s">
        <v>55</v>
      </c>
      <c r="V320" t="s">
        <v>37</v>
      </c>
      <c r="W320">
        <v>46</v>
      </c>
      <c r="X320">
        <v>83</v>
      </c>
      <c r="Y320" s="4">
        <v>3818</v>
      </c>
      <c r="Z320" s="3">
        <v>374.16399999999999</v>
      </c>
    </row>
    <row r="321" spans="1:26" x14ac:dyDescent="0.3">
      <c r="A321">
        <v>1375</v>
      </c>
      <c r="B321" s="2">
        <v>41981</v>
      </c>
      <c r="C321">
        <v>8</v>
      </c>
      <c r="D321" t="s">
        <v>56</v>
      </c>
      <c r="E321" t="s">
        <v>57</v>
      </c>
      <c r="F321" t="s">
        <v>58</v>
      </c>
      <c r="G321" t="s">
        <v>59</v>
      </c>
      <c r="H321">
        <v>99999</v>
      </c>
      <c r="I321" t="s">
        <v>30</v>
      </c>
      <c r="J321" t="s">
        <v>60</v>
      </c>
      <c r="K321" t="s">
        <v>61</v>
      </c>
      <c r="L321" s="2">
        <v>41983</v>
      </c>
      <c r="M321" t="s">
        <v>62</v>
      </c>
      <c r="N321" t="s">
        <v>63</v>
      </c>
      <c r="O321" t="s">
        <v>57</v>
      </c>
      <c r="P321" t="s">
        <v>58</v>
      </c>
      <c r="Q321" t="s">
        <v>59</v>
      </c>
      <c r="R321">
        <v>99999</v>
      </c>
      <c r="S321" t="s">
        <v>30</v>
      </c>
      <c r="T321" t="s">
        <v>48</v>
      </c>
      <c r="U321" t="s">
        <v>64</v>
      </c>
      <c r="V321" t="s">
        <v>65</v>
      </c>
      <c r="W321">
        <v>9.1999999999999993</v>
      </c>
      <c r="X321">
        <v>76</v>
      </c>
      <c r="Y321" s="4">
        <v>699.19999999999993</v>
      </c>
      <c r="Z321" s="3">
        <v>67.123199999999997</v>
      </c>
    </row>
    <row r="322" spans="1:26" x14ac:dyDescent="0.3">
      <c r="A322">
        <v>1376</v>
      </c>
      <c r="B322" s="2">
        <v>41977</v>
      </c>
      <c r="C322">
        <v>4</v>
      </c>
      <c r="D322" t="s">
        <v>40</v>
      </c>
      <c r="E322" t="s">
        <v>41</v>
      </c>
      <c r="F322" t="s">
        <v>42</v>
      </c>
      <c r="G322" t="s">
        <v>43</v>
      </c>
      <c r="H322">
        <v>99999</v>
      </c>
      <c r="I322" t="s">
        <v>30</v>
      </c>
      <c r="J322" t="s">
        <v>44</v>
      </c>
      <c r="K322" t="s">
        <v>45</v>
      </c>
      <c r="L322">
        <v>41979</v>
      </c>
      <c r="M322" t="s">
        <v>62</v>
      </c>
      <c r="N322" t="s">
        <v>47</v>
      </c>
      <c r="O322" t="s">
        <v>41</v>
      </c>
      <c r="P322" t="s">
        <v>42</v>
      </c>
      <c r="Q322" t="s">
        <v>43</v>
      </c>
      <c r="R322">
        <v>99999</v>
      </c>
      <c r="S322" t="s">
        <v>30</v>
      </c>
      <c r="T322" t="s">
        <v>35</v>
      </c>
      <c r="U322" t="s">
        <v>64</v>
      </c>
      <c r="V322" t="s">
        <v>65</v>
      </c>
      <c r="W322">
        <v>9.1999999999999993</v>
      </c>
      <c r="X322">
        <v>80</v>
      </c>
      <c r="Y322" s="4">
        <v>736</v>
      </c>
      <c r="Z322" s="3">
        <v>72.864000000000004</v>
      </c>
    </row>
    <row r="323" spans="1:26" x14ac:dyDescent="0.3">
      <c r="A323">
        <v>1377</v>
      </c>
      <c r="B323" s="2">
        <v>42002</v>
      </c>
      <c r="C323">
        <v>29</v>
      </c>
      <c r="D323" t="s">
        <v>66</v>
      </c>
      <c r="E323" t="s">
        <v>67</v>
      </c>
      <c r="F323" t="s">
        <v>68</v>
      </c>
      <c r="G323" t="s">
        <v>69</v>
      </c>
      <c r="H323">
        <v>99999</v>
      </c>
      <c r="I323" t="s">
        <v>30</v>
      </c>
      <c r="J323" t="s">
        <v>70</v>
      </c>
      <c r="K323" t="s">
        <v>32</v>
      </c>
      <c r="L323">
        <v>42004</v>
      </c>
      <c r="M323" t="s">
        <v>33</v>
      </c>
      <c r="N323" t="s">
        <v>71</v>
      </c>
      <c r="O323" t="s">
        <v>67</v>
      </c>
      <c r="P323" t="s">
        <v>68</v>
      </c>
      <c r="Q323" t="s">
        <v>69</v>
      </c>
      <c r="R323">
        <v>99999</v>
      </c>
      <c r="S323" t="s">
        <v>30</v>
      </c>
      <c r="T323" t="s">
        <v>35</v>
      </c>
      <c r="U323" t="s">
        <v>72</v>
      </c>
      <c r="V323" t="s">
        <v>73</v>
      </c>
      <c r="W323">
        <v>12.75</v>
      </c>
      <c r="X323">
        <v>47</v>
      </c>
      <c r="Y323" s="4">
        <v>599.25</v>
      </c>
      <c r="Z323" s="3">
        <v>59.325750000000006</v>
      </c>
    </row>
    <row r="324" spans="1:26" x14ac:dyDescent="0.3">
      <c r="A324">
        <v>1378</v>
      </c>
      <c r="B324" s="2">
        <v>41976</v>
      </c>
      <c r="C324">
        <v>3</v>
      </c>
      <c r="D324" t="s">
        <v>74</v>
      </c>
      <c r="E324" t="s">
        <v>75</v>
      </c>
      <c r="F324" t="s">
        <v>76</v>
      </c>
      <c r="G324" t="s">
        <v>77</v>
      </c>
      <c r="H324">
        <v>99999</v>
      </c>
      <c r="I324" t="s">
        <v>30</v>
      </c>
      <c r="J324" t="s">
        <v>31</v>
      </c>
      <c r="K324" t="s">
        <v>32</v>
      </c>
      <c r="L324">
        <v>41978</v>
      </c>
      <c r="M324" t="s">
        <v>33</v>
      </c>
      <c r="N324" t="s">
        <v>78</v>
      </c>
      <c r="O324" t="s">
        <v>75</v>
      </c>
      <c r="P324" t="s">
        <v>76</v>
      </c>
      <c r="Q324" t="s">
        <v>77</v>
      </c>
      <c r="R324">
        <v>99999</v>
      </c>
      <c r="S324" t="s">
        <v>30</v>
      </c>
      <c r="T324" t="s">
        <v>79</v>
      </c>
      <c r="U324" t="s">
        <v>80</v>
      </c>
      <c r="V324" t="s">
        <v>81</v>
      </c>
      <c r="W324">
        <v>9.65</v>
      </c>
      <c r="X324">
        <v>96</v>
      </c>
      <c r="Y324" s="4">
        <v>926.40000000000009</v>
      </c>
      <c r="Z324" s="3">
        <v>94.492800000000017</v>
      </c>
    </row>
    <row r="325" spans="1:26" x14ac:dyDescent="0.3">
      <c r="A325">
        <v>1379</v>
      </c>
      <c r="B325" s="2">
        <v>41979</v>
      </c>
      <c r="C325">
        <v>6</v>
      </c>
      <c r="D325" t="s">
        <v>82</v>
      </c>
      <c r="E325" t="s">
        <v>83</v>
      </c>
      <c r="F325" t="s">
        <v>84</v>
      </c>
      <c r="G325" t="s">
        <v>85</v>
      </c>
      <c r="H325">
        <v>99999</v>
      </c>
      <c r="I325" t="s">
        <v>30</v>
      </c>
      <c r="J325" t="s">
        <v>86</v>
      </c>
      <c r="K325" t="s">
        <v>61</v>
      </c>
      <c r="L325">
        <v>41981</v>
      </c>
      <c r="M325" t="s">
        <v>33</v>
      </c>
      <c r="N325" t="s">
        <v>87</v>
      </c>
      <c r="O325" t="s">
        <v>83</v>
      </c>
      <c r="P325" t="s">
        <v>84</v>
      </c>
      <c r="Q325" t="s">
        <v>85</v>
      </c>
      <c r="R325">
        <v>99999</v>
      </c>
      <c r="S325" t="s">
        <v>30</v>
      </c>
      <c r="T325" t="s">
        <v>48</v>
      </c>
      <c r="U325" t="s">
        <v>88</v>
      </c>
      <c r="V325" t="s">
        <v>89</v>
      </c>
      <c r="W325">
        <v>40</v>
      </c>
      <c r="X325">
        <v>32</v>
      </c>
      <c r="Y325" s="4">
        <v>1280</v>
      </c>
      <c r="Z325" s="3">
        <v>134.4</v>
      </c>
    </row>
    <row r="326" spans="1:26" x14ac:dyDescent="0.3">
      <c r="A326">
        <v>1380</v>
      </c>
      <c r="B326" s="2">
        <v>42001</v>
      </c>
      <c r="C326">
        <v>28</v>
      </c>
      <c r="D326" t="s">
        <v>90</v>
      </c>
      <c r="E326" t="s">
        <v>91</v>
      </c>
      <c r="F326" t="s">
        <v>92</v>
      </c>
      <c r="G326" t="s">
        <v>93</v>
      </c>
      <c r="H326">
        <v>99999</v>
      </c>
      <c r="I326" t="s">
        <v>30</v>
      </c>
      <c r="J326" t="s">
        <v>94</v>
      </c>
      <c r="K326" t="s">
        <v>95</v>
      </c>
      <c r="L326" s="2">
        <v>42003</v>
      </c>
      <c r="M326" t="s">
        <v>62</v>
      </c>
      <c r="N326" t="s">
        <v>96</v>
      </c>
      <c r="O326" t="s">
        <v>91</v>
      </c>
      <c r="P326" t="s">
        <v>92</v>
      </c>
      <c r="Q326" t="s">
        <v>93</v>
      </c>
      <c r="R326">
        <v>99999</v>
      </c>
      <c r="S326" t="s">
        <v>30</v>
      </c>
      <c r="T326" t="s">
        <v>35</v>
      </c>
      <c r="U326" t="s">
        <v>55</v>
      </c>
      <c r="V326" t="s">
        <v>37</v>
      </c>
      <c r="W326">
        <v>46</v>
      </c>
      <c r="X326">
        <v>16</v>
      </c>
      <c r="Y326" s="4">
        <v>736</v>
      </c>
      <c r="Z326" s="3">
        <v>73.600000000000009</v>
      </c>
    </row>
    <row r="327" spans="1:26" x14ac:dyDescent="0.3">
      <c r="A327">
        <v>1381</v>
      </c>
      <c r="B327" s="2">
        <v>41981</v>
      </c>
      <c r="C327">
        <v>8</v>
      </c>
      <c r="D327" t="s">
        <v>56</v>
      </c>
      <c r="E327" t="s">
        <v>57</v>
      </c>
      <c r="F327" t="s">
        <v>58</v>
      </c>
      <c r="G327" t="s">
        <v>59</v>
      </c>
      <c r="H327">
        <v>99999</v>
      </c>
      <c r="I327" t="s">
        <v>30</v>
      </c>
      <c r="J327" t="s">
        <v>60</v>
      </c>
      <c r="K327" t="s">
        <v>61</v>
      </c>
      <c r="L327" s="2">
        <v>41983</v>
      </c>
      <c r="M327" t="s">
        <v>62</v>
      </c>
      <c r="N327" t="s">
        <v>63</v>
      </c>
      <c r="O327" t="s">
        <v>57</v>
      </c>
      <c r="P327" t="s">
        <v>58</v>
      </c>
      <c r="Q327" t="s">
        <v>59</v>
      </c>
      <c r="R327">
        <v>99999</v>
      </c>
      <c r="S327" t="s">
        <v>30</v>
      </c>
      <c r="T327" t="s">
        <v>35</v>
      </c>
      <c r="U327" t="s">
        <v>72</v>
      </c>
      <c r="V327" t="s">
        <v>73</v>
      </c>
      <c r="W327">
        <v>12.75</v>
      </c>
      <c r="X327">
        <v>41</v>
      </c>
      <c r="Y327" s="4">
        <v>522.75</v>
      </c>
      <c r="Z327" s="3">
        <v>51.229500000000002</v>
      </c>
    </row>
    <row r="328" spans="1:26" x14ac:dyDescent="0.3">
      <c r="A328">
        <v>1382</v>
      </c>
      <c r="B328" s="2">
        <v>41983</v>
      </c>
      <c r="C328">
        <v>10</v>
      </c>
      <c r="D328" t="s">
        <v>97</v>
      </c>
      <c r="E328" t="s">
        <v>98</v>
      </c>
      <c r="F328" t="s">
        <v>99</v>
      </c>
      <c r="G328" t="s">
        <v>100</v>
      </c>
      <c r="H328">
        <v>99999</v>
      </c>
      <c r="I328" t="s">
        <v>30</v>
      </c>
      <c r="J328" t="s">
        <v>101</v>
      </c>
      <c r="K328" t="s">
        <v>45</v>
      </c>
      <c r="L328" s="2">
        <v>41985</v>
      </c>
      <c r="M328" t="s">
        <v>33</v>
      </c>
      <c r="N328" t="s">
        <v>102</v>
      </c>
      <c r="O328" t="s">
        <v>98</v>
      </c>
      <c r="P328" t="s">
        <v>99</v>
      </c>
      <c r="Q328" t="s">
        <v>100</v>
      </c>
      <c r="R328">
        <v>99999</v>
      </c>
      <c r="S328" t="s">
        <v>30</v>
      </c>
      <c r="T328" t="s">
        <v>48</v>
      </c>
      <c r="U328" t="s">
        <v>103</v>
      </c>
      <c r="V328" t="s">
        <v>37</v>
      </c>
      <c r="W328">
        <v>2.99</v>
      </c>
      <c r="X328">
        <v>41</v>
      </c>
      <c r="Y328" s="4">
        <v>122.59</v>
      </c>
      <c r="Z328" s="3">
        <v>12.871950000000002</v>
      </c>
    </row>
    <row r="329" spans="1:26" x14ac:dyDescent="0.3">
      <c r="A329">
        <v>1383</v>
      </c>
      <c r="B329" s="2">
        <v>41980</v>
      </c>
      <c r="C329">
        <v>7</v>
      </c>
      <c r="D329" t="s">
        <v>104</v>
      </c>
      <c r="E329" t="s">
        <v>105</v>
      </c>
      <c r="F329" t="s">
        <v>106</v>
      </c>
      <c r="G329" t="s">
        <v>107</v>
      </c>
      <c r="H329">
        <v>99999</v>
      </c>
      <c r="I329" t="s">
        <v>30</v>
      </c>
      <c r="J329" t="s">
        <v>60</v>
      </c>
      <c r="K329" t="s">
        <v>61</v>
      </c>
      <c r="L329" s="2"/>
      <c r="N329" t="s">
        <v>108</v>
      </c>
      <c r="O329" t="s">
        <v>105</v>
      </c>
      <c r="P329" t="s">
        <v>106</v>
      </c>
      <c r="Q329" t="s">
        <v>107</v>
      </c>
      <c r="R329">
        <v>99999</v>
      </c>
      <c r="S329" t="s">
        <v>30</v>
      </c>
      <c r="U329" t="s">
        <v>55</v>
      </c>
      <c r="V329" t="s">
        <v>37</v>
      </c>
      <c r="W329">
        <v>46</v>
      </c>
      <c r="X329">
        <v>41</v>
      </c>
      <c r="Y329" s="4">
        <v>1886</v>
      </c>
      <c r="Z329" s="3">
        <v>194.25800000000004</v>
      </c>
    </row>
    <row r="330" spans="1:26" x14ac:dyDescent="0.3">
      <c r="A330">
        <v>1384</v>
      </c>
      <c r="B330" s="2">
        <v>41983</v>
      </c>
      <c r="C330">
        <v>10</v>
      </c>
      <c r="D330" t="s">
        <v>97</v>
      </c>
      <c r="E330" t="s">
        <v>98</v>
      </c>
      <c r="F330" t="s">
        <v>99</v>
      </c>
      <c r="G330" t="s">
        <v>100</v>
      </c>
      <c r="H330">
        <v>99999</v>
      </c>
      <c r="I330" t="s">
        <v>30</v>
      </c>
      <c r="J330" t="s">
        <v>101</v>
      </c>
      <c r="K330" t="s">
        <v>45</v>
      </c>
      <c r="L330" s="2">
        <v>41985</v>
      </c>
      <c r="M330" t="s">
        <v>46</v>
      </c>
      <c r="N330" t="s">
        <v>102</v>
      </c>
      <c r="O330" t="s">
        <v>98</v>
      </c>
      <c r="P330" t="s">
        <v>99</v>
      </c>
      <c r="Q330" t="s">
        <v>100</v>
      </c>
      <c r="R330">
        <v>99999</v>
      </c>
      <c r="S330" t="s">
        <v>30</v>
      </c>
      <c r="U330" t="s">
        <v>109</v>
      </c>
      <c r="V330" t="s">
        <v>110</v>
      </c>
      <c r="W330" s="3">
        <v>25</v>
      </c>
      <c r="X330">
        <v>94</v>
      </c>
      <c r="Y330" s="4">
        <v>2350</v>
      </c>
      <c r="Z330" s="3">
        <v>235</v>
      </c>
    </row>
    <row r="331" spans="1:26" x14ac:dyDescent="0.3">
      <c r="A331">
        <v>1385</v>
      </c>
      <c r="B331" s="2">
        <v>41983</v>
      </c>
      <c r="C331">
        <v>10</v>
      </c>
      <c r="D331" t="s">
        <v>97</v>
      </c>
      <c r="E331" t="s">
        <v>98</v>
      </c>
      <c r="F331" t="s">
        <v>99</v>
      </c>
      <c r="G331" t="s">
        <v>100</v>
      </c>
      <c r="H331">
        <v>99999</v>
      </c>
      <c r="I331" t="s">
        <v>30</v>
      </c>
      <c r="J331" t="s">
        <v>101</v>
      </c>
      <c r="K331" t="s">
        <v>45</v>
      </c>
      <c r="L331" s="2">
        <v>41985</v>
      </c>
      <c r="M331" t="s">
        <v>46</v>
      </c>
      <c r="N331" t="s">
        <v>102</v>
      </c>
      <c r="O331" t="s">
        <v>98</v>
      </c>
      <c r="P331" t="s">
        <v>99</v>
      </c>
      <c r="Q331" t="s">
        <v>100</v>
      </c>
      <c r="R331">
        <v>99999</v>
      </c>
      <c r="S331" t="s">
        <v>30</v>
      </c>
      <c r="U331" t="s">
        <v>111</v>
      </c>
      <c r="V331" t="s">
        <v>112</v>
      </c>
      <c r="W331" s="3">
        <v>22</v>
      </c>
      <c r="X331">
        <v>20</v>
      </c>
      <c r="Y331" s="4">
        <v>440</v>
      </c>
      <c r="Z331" s="3">
        <v>46.2</v>
      </c>
    </row>
    <row r="332" spans="1:26" x14ac:dyDescent="0.3">
      <c r="A332">
        <v>1386</v>
      </c>
      <c r="B332" s="2">
        <v>41983</v>
      </c>
      <c r="C332">
        <v>10</v>
      </c>
      <c r="D332" t="s">
        <v>97</v>
      </c>
      <c r="E332" t="s">
        <v>98</v>
      </c>
      <c r="F332" t="s">
        <v>99</v>
      </c>
      <c r="G332" t="s">
        <v>100</v>
      </c>
      <c r="H332">
        <v>99999</v>
      </c>
      <c r="I332" t="s">
        <v>30</v>
      </c>
      <c r="J332" t="s">
        <v>101</v>
      </c>
      <c r="K332" t="s">
        <v>45</v>
      </c>
      <c r="L332">
        <v>41985</v>
      </c>
      <c r="M332" t="s">
        <v>46</v>
      </c>
      <c r="N332" t="s">
        <v>102</v>
      </c>
      <c r="O332" t="s">
        <v>98</v>
      </c>
      <c r="P332" t="s">
        <v>99</v>
      </c>
      <c r="Q332" t="s">
        <v>100</v>
      </c>
      <c r="R332">
        <v>99999</v>
      </c>
      <c r="S332" t="s">
        <v>30</v>
      </c>
      <c r="U332" t="s">
        <v>64</v>
      </c>
      <c r="V332" t="s">
        <v>65</v>
      </c>
      <c r="W332" s="3">
        <v>9.1999999999999993</v>
      </c>
      <c r="X332">
        <v>13</v>
      </c>
      <c r="Y332" s="4">
        <v>119.6</v>
      </c>
      <c r="Z332" s="3">
        <v>12.438400000000001</v>
      </c>
    </row>
    <row r="333" spans="1:26" x14ac:dyDescent="0.3">
      <c r="A333">
        <v>1387</v>
      </c>
      <c r="B333" s="2">
        <v>41984</v>
      </c>
      <c r="C333">
        <v>11</v>
      </c>
      <c r="D333" t="s">
        <v>113</v>
      </c>
      <c r="E333" t="s">
        <v>114</v>
      </c>
      <c r="F333" t="s">
        <v>115</v>
      </c>
      <c r="G333" t="s">
        <v>116</v>
      </c>
      <c r="H333">
        <v>99999</v>
      </c>
      <c r="I333" t="s">
        <v>30</v>
      </c>
      <c r="J333" t="s">
        <v>94</v>
      </c>
      <c r="K333" t="s">
        <v>95</v>
      </c>
      <c r="M333" t="s">
        <v>62</v>
      </c>
      <c r="N333" t="s">
        <v>117</v>
      </c>
      <c r="O333" t="s">
        <v>114</v>
      </c>
      <c r="P333" t="s">
        <v>115</v>
      </c>
      <c r="Q333" t="s">
        <v>116</v>
      </c>
      <c r="R333">
        <v>99999</v>
      </c>
      <c r="S333" t="s">
        <v>30</v>
      </c>
      <c r="U333" t="s">
        <v>38</v>
      </c>
      <c r="V333" t="s">
        <v>39</v>
      </c>
      <c r="W333" s="3">
        <v>3.5</v>
      </c>
      <c r="X333">
        <v>74</v>
      </c>
      <c r="Y333" s="4">
        <v>259</v>
      </c>
      <c r="Z333" s="3">
        <v>26.936000000000003</v>
      </c>
    </row>
    <row r="334" spans="1:26" x14ac:dyDescent="0.3">
      <c r="A334">
        <v>1388</v>
      </c>
      <c r="B334" s="2">
        <v>41984</v>
      </c>
      <c r="C334">
        <v>11</v>
      </c>
      <c r="D334" t="s">
        <v>113</v>
      </c>
      <c r="E334" t="s">
        <v>114</v>
      </c>
      <c r="F334" t="s">
        <v>115</v>
      </c>
      <c r="G334" t="s">
        <v>116</v>
      </c>
      <c r="H334">
        <v>99999</v>
      </c>
      <c r="I334" t="s">
        <v>30</v>
      </c>
      <c r="J334" t="s">
        <v>94</v>
      </c>
      <c r="K334" t="s">
        <v>95</v>
      </c>
      <c r="M334" t="s">
        <v>62</v>
      </c>
      <c r="N334" t="s">
        <v>117</v>
      </c>
      <c r="O334" t="s">
        <v>114</v>
      </c>
      <c r="P334" t="s">
        <v>115</v>
      </c>
      <c r="Q334" t="s">
        <v>116</v>
      </c>
      <c r="R334">
        <v>99999</v>
      </c>
      <c r="S334" t="s">
        <v>30</v>
      </c>
      <c r="U334" t="s">
        <v>103</v>
      </c>
      <c r="V334" t="s">
        <v>37</v>
      </c>
      <c r="W334" s="3">
        <v>2.99</v>
      </c>
      <c r="X334">
        <v>53</v>
      </c>
      <c r="Y334" s="4">
        <v>158.47</v>
      </c>
      <c r="Z334" s="3">
        <v>16.005470000000003</v>
      </c>
    </row>
    <row r="335" spans="1:26" x14ac:dyDescent="0.3">
      <c r="A335">
        <v>1389</v>
      </c>
      <c r="B335" s="2">
        <v>41974</v>
      </c>
      <c r="C335">
        <v>1</v>
      </c>
      <c r="D335" t="s">
        <v>118</v>
      </c>
      <c r="E335" t="s">
        <v>119</v>
      </c>
      <c r="F335" t="s">
        <v>120</v>
      </c>
      <c r="G335" t="s">
        <v>121</v>
      </c>
      <c r="H335">
        <v>99999</v>
      </c>
      <c r="I335" t="s">
        <v>30</v>
      </c>
      <c r="J335" t="s">
        <v>60</v>
      </c>
      <c r="K335" t="s">
        <v>61</v>
      </c>
      <c r="N335" t="s">
        <v>122</v>
      </c>
      <c r="O335" t="s">
        <v>119</v>
      </c>
      <c r="P335" t="s">
        <v>120</v>
      </c>
      <c r="Q335" t="s">
        <v>121</v>
      </c>
      <c r="R335">
        <v>99999</v>
      </c>
      <c r="S335" t="s">
        <v>30</v>
      </c>
      <c r="U335" t="s">
        <v>54</v>
      </c>
      <c r="V335" t="s">
        <v>37</v>
      </c>
      <c r="W335" s="3">
        <v>18</v>
      </c>
      <c r="X335">
        <v>99</v>
      </c>
      <c r="Y335" s="4">
        <v>1782</v>
      </c>
      <c r="Z335" s="3">
        <v>174.63600000000002</v>
      </c>
    </row>
    <row r="336" spans="1:26" x14ac:dyDescent="0.3">
      <c r="A336">
        <v>1390</v>
      </c>
      <c r="B336" s="2">
        <v>41974</v>
      </c>
      <c r="C336">
        <v>1</v>
      </c>
      <c r="D336" t="s">
        <v>118</v>
      </c>
      <c r="E336" t="s">
        <v>119</v>
      </c>
      <c r="F336" t="s">
        <v>120</v>
      </c>
      <c r="G336" t="s">
        <v>121</v>
      </c>
      <c r="H336">
        <v>99999</v>
      </c>
      <c r="I336" t="s">
        <v>30</v>
      </c>
      <c r="J336" t="s">
        <v>60</v>
      </c>
      <c r="K336" t="s">
        <v>61</v>
      </c>
      <c r="N336" t="s">
        <v>122</v>
      </c>
      <c r="O336" t="s">
        <v>119</v>
      </c>
      <c r="P336" t="s">
        <v>120</v>
      </c>
      <c r="Q336" t="s">
        <v>121</v>
      </c>
      <c r="R336">
        <v>99999</v>
      </c>
      <c r="S336" t="s">
        <v>30</v>
      </c>
      <c r="U336" t="s">
        <v>55</v>
      </c>
      <c r="V336" t="s">
        <v>37</v>
      </c>
      <c r="W336" s="3">
        <v>46</v>
      </c>
      <c r="X336">
        <v>89</v>
      </c>
      <c r="Y336" s="4">
        <v>4094</v>
      </c>
      <c r="Z336" s="3">
        <v>388.93</v>
      </c>
    </row>
    <row r="337" spans="1:26" x14ac:dyDescent="0.3">
      <c r="A337">
        <v>1391</v>
      </c>
      <c r="B337" s="2">
        <v>41974</v>
      </c>
      <c r="C337">
        <v>1</v>
      </c>
      <c r="D337" t="s">
        <v>118</v>
      </c>
      <c r="E337" t="s">
        <v>119</v>
      </c>
      <c r="F337" t="s">
        <v>120</v>
      </c>
      <c r="G337" t="s">
        <v>121</v>
      </c>
      <c r="H337">
        <v>99999</v>
      </c>
      <c r="I337" t="s">
        <v>30</v>
      </c>
      <c r="J337" t="s">
        <v>60</v>
      </c>
      <c r="K337" t="s">
        <v>61</v>
      </c>
      <c r="L337" s="2"/>
      <c r="N337" t="s">
        <v>122</v>
      </c>
      <c r="O337" t="s">
        <v>119</v>
      </c>
      <c r="P337" t="s">
        <v>120</v>
      </c>
      <c r="Q337" t="s">
        <v>121</v>
      </c>
      <c r="R337">
        <v>99999</v>
      </c>
      <c r="S337" t="s">
        <v>30</v>
      </c>
      <c r="U337" t="s">
        <v>103</v>
      </c>
      <c r="V337" t="s">
        <v>37</v>
      </c>
      <c r="W337" s="3">
        <v>2.99</v>
      </c>
      <c r="X337">
        <v>64</v>
      </c>
      <c r="Y337" s="4">
        <v>191.36</v>
      </c>
      <c r="Z337" s="3">
        <v>19.518720000000002</v>
      </c>
    </row>
    <row r="338" spans="1:26" x14ac:dyDescent="0.3">
      <c r="A338">
        <v>1392</v>
      </c>
      <c r="B338" s="2">
        <v>42001</v>
      </c>
      <c r="C338">
        <v>28</v>
      </c>
      <c r="D338" t="s">
        <v>90</v>
      </c>
      <c r="E338" t="s">
        <v>91</v>
      </c>
      <c r="F338" t="s">
        <v>92</v>
      </c>
      <c r="G338" t="s">
        <v>93</v>
      </c>
      <c r="H338">
        <v>99999</v>
      </c>
      <c r="I338" t="s">
        <v>30</v>
      </c>
      <c r="J338" t="s">
        <v>94</v>
      </c>
      <c r="K338" t="s">
        <v>95</v>
      </c>
      <c r="L338" s="2">
        <v>42003</v>
      </c>
      <c r="M338" t="s">
        <v>62</v>
      </c>
      <c r="N338" t="s">
        <v>96</v>
      </c>
      <c r="O338" t="s">
        <v>91</v>
      </c>
      <c r="P338" t="s">
        <v>92</v>
      </c>
      <c r="Q338" t="s">
        <v>93</v>
      </c>
      <c r="R338">
        <v>99999</v>
      </c>
      <c r="S338" t="s">
        <v>30</v>
      </c>
      <c r="T338" t="s">
        <v>48</v>
      </c>
      <c r="U338" t="s">
        <v>80</v>
      </c>
      <c r="V338" t="s">
        <v>81</v>
      </c>
      <c r="W338" s="3">
        <v>9.65</v>
      </c>
      <c r="X338">
        <v>98</v>
      </c>
      <c r="Y338" s="4">
        <v>945.7</v>
      </c>
      <c r="Z338" s="3">
        <v>96.461400000000012</v>
      </c>
    </row>
    <row r="339" spans="1:26" x14ac:dyDescent="0.3">
      <c r="A339">
        <v>1393</v>
      </c>
      <c r="B339" s="2">
        <v>42001</v>
      </c>
      <c r="C339">
        <v>28</v>
      </c>
      <c r="D339" t="s">
        <v>90</v>
      </c>
      <c r="E339" t="s">
        <v>91</v>
      </c>
      <c r="F339" t="s">
        <v>92</v>
      </c>
      <c r="G339" t="s">
        <v>93</v>
      </c>
      <c r="H339">
        <v>99999</v>
      </c>
      <c r="I339" t="s">
        <v>30</v>
      </c>
      <c r="J339" t="s">
        <v>94</v>
      </c>
      <c r="K339" t="s">
        <v>95</v>
      </c>
      <c r="L339" s="2">
        <v>42003</v>
      </c>
      <c r="M339" t="s">
        <v>62</v>
      </c>
      <c r="N339" t="s">
        <v>96</v>
      </c>
      <c r="O339" t="s">
        <v>91</v>
      </c>
      <c r="P339" t="s">
        <v>92</v>
      </c>
      <c r="Q339" t="s">
        <v>93</v>
      </c>
      <c r="R339">
        <v>99999</v>
      </c>
      <c r="S339" t="s">
        <v>30</v>
      </c>
      <c r="T339" t="s">
        <v>48</v>
      </c>
      <c r="U339" t="s">
        <v>123</v>
      </c>
      <c r="V339" t="s">
        <v>124</v>
      </c>
      <c r="W339" s="3">
        <v>18.399999999999999</v>
      </c>
      <c r="X339">
        <v>86</v>
      </c>
      <c r="Y339" s="4">
        <v>1582.3999999999999</v>
      </c>
      <c r="Z339" s="3">
        <v>155.0752</v>
      </c>
    </row>
    <row r="340" spans="1:26" x14ac:dyDescent="0.3">
      <c r="A340">
        <v>1394</v>
      </c>
      <c r="B340" s="2">
        <v>41982</v>
      </c>
      <c r="C340">
        <v>9</v>
      </c>
      <c r="D340" t="s">
        <v>125</v>
      </c>
      <c r="E340" t="s">
        <v>126</v>
      </c>
      <c r="F340" t="s">
        <v>127</v>
      </c>
      <c r="G340" t="s">
        <v>128</v>
      </c>
      <c r="H340">
        <v>99999</v>
      </c>
      <c r="I340" t="s">
        <v>30</v>
      </c>
      <c r="J340" t="s">
        <v>129</v>
      </c>
      <c r="K340" t="s">
        <v>32</v>
      </c>
      <c r="L340" s="2">
        <v>41984</v>
      </c>
      <c r="M340" t="s">
        <v>46</v>
      </c>
      <c r="N340" t="s">
        <v>130</v>
      </c>
      <c r="O340" t="s">
        <v>126</v>
      </c>
      <c r="P340" t="s">
        <v>127</v>
      </c>
      <c r="Q340" t="s">
        <v>128</v>
      </c>
      <c r="R340">
        <v>99999</v>
      </c>
      <c r="S340" t="s">
        <v>30</v>
      </c>
      <c r="T340" t="s">
        <v>35</v>
      </c>
      <c r="U340" t="s">
        <v>131</v>
      </c>
      <c r="V340" t="s">
        <v>132</v>
      </c>
      <c r="W340" s="3">
        <v>19.5</v>
      </c>
      <c r="X340">
        <v>20</v>
      </c>
      <c r="Y340" s="4">
        <v>390</v>
      </c>
      <c r="Z340" s="3">
        <v>40.950000000000003</v>
      </c>
    </row>
    <row r="341" spans="1:26" x14ac:dyDescent="0.3">
      <c r="A341">
        <v>1395</v>
      </c>
      <c r="B341" s="2">
        <v>41982</v>
      </c>
      <c r="C341">
        <v>9</v>
      </c>
      <c r="D341" t="s">
        <v>125</v>
      </c>
      <c r="E341" t="s">
        <v>126</v>
      </c>
      <c r="F341" t="s">
        <v>127</v>
      </c>
      <c r="G341" t="s">
        <v>128</v>
      </c>
      <c r="H341">
        <v>99999</v>
      </c>
      <c r="I341" t="s">
        <v>30</v>
      </c>
      <c r="J341" t="s">
        <v>129</v>
      </c>
      <c r="K341" t="s">
        <v>32</v>
      </c>
      <c r="L341" s="2">
        <v>41984</v>
      </c>
      <c r="M341" t="s">
        <v>46</v>
      </c>
      <c r="N341" t="s">
        <v>130</v>
      </c>
      <c r="O341" t="s">
        <v>126</v>
      </c>
      <c r="P341" t="s">
        <v>127</v>
      </c>
      <c r="Q341" t="s">
        <v>128</v>
      </c>
      <c r="R341">
        <v>99999</v>
      </c>
      <c r="S341" t="s">
        <v>30</v>
      </c>
      <c r="T341" t="s">
        <v>35</v>
      </c>
      <c r="U341" t="s">
        <v>133</v>
      </c>
      <c r="V341" t="s">
        <v>134</v>
      </c>
      <c r="W341" s="3">
        <v>34.799999999999997</v>
      </c>
      <c r="X341">
        <v>69</v>
      </c>
      <c r="Y341" s="4">
        <v>2401.1999999999998</v>
      </c>
      <c r="Z341" s="3">
        <v>240.12</v>
      </c>
    </row>
    <row r="342" spans="1:26" x14ac:dyDescent="0.3">
      <c r="A342">
        <v>1396</v>
      </c>
      <c r="B342" s="2">
        <v>41979</v>
      </c>
      <c r="C342">
        <v>6</v>
      </c>
      <c r="D342" t="s">
        <v>82</v>
      </c>
      <c r="E342" t="s">
        <v>83</v>
      </c>
      <c r="F342" t="s">
        <v>84</v>
      </c>
      <c r="G342" t="s">
        <v>85</v>
      </c>
      <c r="H342">
        <v>99999</v>
      </c>
      <c r="I342" t="s">
        <v>30</v>
      </c>
      <c r="J342" t="s">
        <v>86</v>
      </c>
      <c r="K342" t="s">
        <v>61</v>
      </c>
      <c r="L342" s="2">
        <v>41981</v>
      </c>
      <c r="M342" t="s">
        <v>33</v>
      </c>
      <c r="N342" t="s">
        <v>87</v>
      </c>
      <c r="O342" t="s">
        <v>83</v>
      </c>
      <c r="P342" t="s">
        <v>84</v>
      </c>
      <c r="Q342" t="s">
        <v>85</v>
      </c>
      <c r="R342">
        <v>99999</v>
      </c>
      <c r="S342" t="s">
        <v>30</v>
      </c>
      <c r="T342" t="s">
        <v>48</v>
      </c>
      <c r="U342" t="s">
        <v>36</v>
      </c>
      <c r="V342" t="s">
        <v>37</v>
      </c>
      <c r="W342" s="3">
        <v>14</v>
      </c>
      <c r="X342">
        <v>68</v>
      </c>
      <c r="Y342" s="4">
        <v>952</v>
      </c>
      <c r="Z342" s="3">
        <v>91.391999999999996</v>
      </c>
    </row>
    <row r="343" spans="1:26" x14ac:dyDescent="0.3">
      <c r="A343">
        <v>1397</v>
      </c>
      <c r="B343" s="2">
        <v>41981</v>
      </c>
      <c r="C343">
        <v>8</v>
      </c>
      <c r="D343" t="s">
        <v>56</v>
      </c>
      <c r="E343" t="s">
        <v>57</v>
      </c>
      <c r="F343" t="s">
        <v>58</v>
      </c>
      <c r="G343" t="s">
        <v>59</v>
      </c>
      <c r="H343">
        <v>99999</v>
      </c>
      <c r="I343" t="s">
        <v>30</v>
      </c>
      <c r="J343" t="s">
        <v>60</v>
      </c>
      <c r="K343" t="s">
        <v>61</v>
      </c>
      <c r="L343" s="2">
        <v>41983</v>
      </c>
      <c r="M343" t="s">
        <v>33</v>
      </c>
      <c r="N343" t="s">
        <v>63</v>
      </c>
      <c r="O343" t="s">
        <v>57</v>
      </c>
      <c r="P343" t="s">
        <v>58</v>
      </c>
      <c r="Q343" t="s">
        <v>59</v>
      </c>
      <c r="R343">
        <v>99999</v>
      </c>
      <c r="S343" t="s">
        <v>30</v>
      </c>
      <c r="T343" t="s">
        <v>35</v>
      </c>
      <c r="U343" t="s">
        <v>88</v>
      </c>
      <c r="V343" t="s">
        <v>89</v>
      </c>
      <c r="W343" s="3">
        <v>40</v>
      </c>
      <c r="X343">
        <v>52</v>
      </c>
      <c r="Y343" s="4">
        <v>2080</v>
      </c>
      <c r="Z343" s="3">
        <v>203.84</v>
      </c>
    </row>
    <row r="344" spans="1:26" x14ac:dyDescent="0.3">
      <c r="A344">
        <v>1398</v>
      </c>
      <c r="B344" s="2">
        <v>41981</v>
      </c>
      <c r="C344">
        <v>8</v>
      </c>
      <c r="D344" t="s">
        <v>56</v>
      </c>
      <c r="E344" t="s">
        <v>57</v>
      </c>
      <c r="F344" t="s">
        <v>58</v>
      </c>
      <c r="G344" t="s">
        <v>59</v>
      </c>
      <c r="H344">
        <v>99999</v>
      </c>
      <c r="I344" t="s">
        <v>30</v>
      </c>
      <c r="J344" t="s">
        <v>60</v>
      </c>
      <c r="K344" t="s">
        <v>61</v>
      </c>
      <c r="L344" s="2">
        <v>41983</v>
      </c>
      <c r="M344" t="s">
        <v>33</v>
      </c>
      <c r="N344" t="s">
        <v>63</v>
      </c>
      <c r="O344" t="s">
        <v>57</v>
      </c>
      <c r="P344" t="s">
        <v>58</v>
      </c>
      <c r="Q344" t="s">
        <v>59</v>
      </c>
      <c r="R344">
        <v>99999</v>
      </c>
      <c r="S344" t="s">
        <v>30</v>
      </c>
      <c r="T344" t="s">
        <v>35</v>
      </c>
      <c r="U344" t="s">
        <v>64</v>
      </c>
      <c r="V344" t="s">
        <v>65</v>
      </c>
      <c r="W344" s="3">
        <v>9.1999999999999993</v>
      </c>
      <c r="X344">
        <v>40</v>
      </c>
      <c r="Y344" s="4">
        <v>368</v>
      </c>
      <c r="Z344" s="3">
        <v>38.640000000000008</v>
      </c>
    </row>
    <row r="345" spans="1:26" x14ac:dyDescent="0.3">
      <c r="A345">
        <v>1399</v>
      </c>
      <c r="B345" s="2">
        <v>41998</v>
      </c>
      <c r="C345">
        <v>25</v>
      </c>
      <c r="D345" t="s">
        <v>137</v>
      </c>
      <c r="E345" t="s">
        <v>138</v>
      </c>
      <c r="F345" t="s">
        <v>99</v>
      </c>
      <c r="G345" t="s">
        <v>100</v>
      </c>
      <c r="H345">
        <v>99999</v>
      </c>
      <c r="I345" t="s">
        <v>30</v>
      </c>
      <c r="J345" t="s">
        <v>101</v>
      </c>
      <c r="K345" t="s">
        <v>45</v>
      </c>
      <c r="L345" s="2">
        <v>42000</v>
      </c>
      <c r="M345" t="s">
        <v>46</v>
      </c>
      <c r="N345" t="s">
        <v>139</v>
      </c>
      <c r="O345" t="s">
        <v>138</v>
      </c>
      <c r="P345" t="s">
        <v>99</v>
      </c>
      <c r="Q345" t="s">
        <v>100</v>
      </c>
      <c r="R345">
        <v>99999</v>
      </c>
      <c r="S345" t="s">
        <v>30</v>
      </c>
      <c r="T345" t="s">
        <v>79</v>
      </c>
      <c r="U345" t="s">
        <v>146</v>
      </c>
      <c r="V345" t="s">
        <v>65</v>
      </c>
      <c r="W345" s="3">
        <v>10</v>
      </c>
      <c r="X345">
        <v>100</v>
      </c>
      <c r="Y345" s="4">
        <v>1000</v>
      </c>
      <c r="Z345" s="3">
        <v>98</v>
      </c>
    </row>
    <row r="346" spans="1:26" x14ac:dyDescent="0.3">
      <c r="A346">
        <v>1400</v>
      </c>
      <c r="B346" s="2">
        <v>41999</v>
      </c>
      <c r="C346">
        <v>26</v>
      </c>
      <c r="D346" t="s">
        <v>140</v>
      </c>
      <c r="E346" t="s">
        <v>141</v>
      </c>
      <c r="F346" t="s">
        <v>115</v>
      </c>
      <c r="G346" t="s">
        <v>116</v>
      </c>
      <c r="H346">
        <v>99999</v>
      </c>
      <c r="I346" t="s">
        <v>30</v>
      </c>
      <c r="J346" t="s">
        <v>94</v>
      </c>
      <c r="K346" t="s">
        <v>95</v>
      </c>
      <c r="L346" s="2">
        <v>42001</v>
      </c>
      <c r="M346" t="s">
        <v>62</v>
      </c>
      <c r="N346" t="s">
        <v>142</v>
      </c>
      <c r="O346" t="s">
        <v>141</v>
      </c>
      <c r="P346" t="s">
        <v>115</v>
      </c>
      <c r="Q346" t="s">
        <v>116</v>
      </c>
      <c r="R346">
        <v>99999</v>
      </c>
      <c r="S346" t="s">
        <v>30</v>
      </c>
      <c r="T346" t="s">
        <v>48</v>
      </c>
      <c r="U346" t="s">
        <v>147</v>
      </c>
      <c r="V346" t="s">
        <v>148</v>
      </c>
      <c r="W346" s="3">
        <v>21.35</v>
      </c>
      <c r="X346">
        <v>88</v>
      </c>
      <c r="Y346" s="4">
        <v>1878.8000000000002</v>
      </c>
      <c r="Z346" s="3">
        <v>184.12240000000003</v>
      </c>
    </row>
    <row r="347" spans="1:26" x14ac:dyDescent="0.3">
      <c r="A347">
        <v>1401</v>
      </c>
      <c r="B347" s="2">
        <v>41999</v>
      </c>
      <c r="C347">
        <v>26</v>
      </c>
      <c r="D347" t="s">
        <v>140</v>
      </c>
      <c r="E347" t="s">
        <v>141</v>
      </c>
      <c r="F347" t="s">
        <v>115</v>
      </c>
      <c r="G347" t="s">
        <v>116</v>
      </c>
      <c r="H347">
        <v>99999</v>
      </c>
      <c r="I347" t="s">
        <v>30</v>
      </c>
      <c r="J347" t="s">
        <v>94</v>
      </c>
      <c r="K347" t="s">
        <v>95</v>
      </c>
      <c r="L347" s="2">
        <v>42001</v>
      </c>
      <c r="M347" t="s">
        <v>62</v>
      </c>
      <c r="N347" t="s">
        <v>142</v>
      </c>
      <c r="O347" t="s">
        <v>141</v>
      </c>
      <c r="P347" t="s">
        <v>115</v>
      </c>
      <c r="Q347" t="s">
        <v>116</v>
      </c>
      <c r="R347">
        <v>99999</v>
      </c>
      <c r="S347" t="s">
        <v>30</v>
      </c>
      <c r="T347" t="s">
        <v>48</v>
      </c>
      <c r="U347" t="s">
        <v>80</v>
      </c>
      <c r="V347" t="s">
        <v>81</v>
      </c>
      <c r="W347" s="3">
        <v>9.65</v>
      </c>
      <c r="X347">
        <v>46</v>
      </c>
      <c r="Y347" s="4">
        <v>443.90000000000003</v>
      </c>
      <c r="Z347" s="3">
        <v>42.614400000000003</v>
      </c>
    </row>
    <row r="348" spans="1:26" x14ac:dyDescent="0.3">
      <c r="A348">
        <v>1402</v>
      </c>
      <c r="B348" s="2">
        <v>41999</v>
      </c>
      <c r="C348">
        <v>26</v>
      </c>
      <c r="D348" t="s">
        <v>140</v>
      </c>
      <c r="E348" t="s">
        <v>141</v>
      </c>
      <c r="F348" t="s">
        <v>115</v>
      </c>
      <c r="G348" t="s">
        <v>116</v>
      </c>
      <c r="H348">
        <v>99999</v>
      </c>
      <c r="I348" t="s">
        <v>30</v>
      </c>
      <c r="J348" t="s">
        <v>94</v>
      </c>
      <c r="K348" t="s">
        <v>95</v>
      </c>
      <c r="L348" s="2">
        <v>42001</v>
      </c>
      <c r="M348" t="s">
        <v>62</v>
      </c>
      <c r="N348" t="s">
        <v>142</v>
      </c>
      <c r="O348" t="s">
        <v>141</v>
      </c>
      <c r="P348" t="s">
        <v>115</v>
      </c>
      <c r="Q348" t="s">
        <v>116</v>
      </c>
      <c r="R348">
        <v>99999</v>
      </c>
      <c r="S348" t="s">
        <v>30</v>
      </c>
      <c r="T348" t="s">
        <v>48</v>
      </c>
      <c r="U348" t="s">
        <v>123</v>
      </c>
      <c r="V348" t="s">
        <v>124</v>
      </c>
      <c r="W348" s="3">
        <v>18.399999999999999</v>
      </c>
      <c r="X348">
        <v>93</v>
      </c>
      <c r="Y348" s="4">
        <v>1711.1999999999998</v>
      </c>
      <c r="Z348" s="3">
        <v>167.69759999999999</v>
      </c>
    </row>
    <row r="349" spans="1:26" x14ac:dyDescent="0.3">
      <c r="A349">
        <v>1403</v>
      </c>
      <c r="B349" s="2">
        <v>42002</v>
      </c>
      <c r="C349">
        <v>29</v>
      </c>
      <c r="D349" t="s">
        <v>66</v>
      </c>
      <c r="E349" t="s">
        <v>67</v>
      </c>
      <c r="F349" t="s">
        <v>68</v>
      </c>
      <c r="G349" t="s">
        <v>69</v>
      </c>
      <c r="H349">
        <v>99999</v>
      </c>
      <c r="I349" t="s">
        <v>30</v>
      </c>
      <c r="J349" t="s">
        <v>70</v>
      </c>
      <c r="K349" t="s">
        <v>32</v>
      </c>
      <c r="L349" s="2">
        <v>42004</v>
      </c>
      <c r="M349" t="s">
        <v>33</v>
      </c>
      <c r="N349" t="s">
        <v>71</v>
      </c>
      <c r="O349" t="s">
        <v>67</v>
      </c>
      <c r="P349" t="s">
        <v>68</v>
      </c>
      <c r="Q349" t="s">
        <v>69</v>
      </c>
      <c r="R349">
        <v>99999</v>
      </c>
      <c r="S349" t="s">
        <v>30</v>
      </c>
      <c r="T349" t="s">
        <v>35</v>
      </c>
      <c r="U349" t="s">
        <v>36</v>
      </c>
      <c r="V349" t="s">
        <v>37</v>
      </c>
      <c r="W349" s="3">
        <v>14</v>
      </c>
      <c r="X349">
        <v>96</v>
      </c>
      <c r="Y349" s="4">
        <v>1344</v>
      </c>
      <c r="Z349" s="3">
        <v>141.12</v>
      </c>
    </row>
    <row r="350" spans="1:26" x14ac:dyDescent="0.3">
      <c r="A350">
        <v>1404</v>
      </c>
      <c r="B350" s="2">
        <v>41979</v>
      </c>
      <c r="C350">
        <v>6</v>
      </c>
      <c r="D350" t="s">
        <v>82</v>
      </c>
      <c r="E350" t="s">
        <v>83</v>
      </c>
      <c r="F350" t="s">
        <v>84</v>
      </c>
      <c r="G350" t="s">
        <v>85</v>
      </c>
      <c r="H350">
        <v>99999</v>
      </c>
      <c r="I350" t="s">
        <v>30</v>
      </c>
      <c r="J350" t="s">
        <v>86</v>
      </c>
      <c r="K350" t="s">
        <v>61</v>
      </c>
      <c r="L350" s="2">
        <v>41981</v>
      </c>
      <c r="M350" t="s">
        <v>62</v>
      </c>
      <c r="N350" t="s">
        <v>87</v>
      </c>
      <c r="O350" t="s">
        <v>83</v>
      </c>
      <c r="P350" t="s">
        <v>84</v>
      </c>
      <c r="Q350" t="s">
        <v>85</v>
      </c>
      <c r="R350">
        <v>99999</v>
      </c>
      <c r="S350" t="s">
        <v>30</v>
      </c>
      <c r="T350" t="s">
        <v>35</v>
      </c>
      <c r="U350" t="s">
        <v>72</v>
      </c>
      <c r="V350" t="s">
        <v>73</v>
      </c>
      <c r="W350">
        <v>12.75</v>
      </c>
      <c r="X350">
        <v>12</v>
      </c>
      <c r="Y350" s="4">
        <v>153</v>
      </c>
      <c r="Z350" s="3">
        <v>16.065000000000001</v>
      </c>
    </row>
    <row r="351" spans="1:26" x14ac:dyDescent="0.3">
      <c r="A351">
        <v>1406</v>
      </c>
      <c r="B351" s="2">
        <v>41977</v>
      </c>
      <c r="C351">
        <v>4</v>
      </c>
      <c r="D351" t="s">
        <v>40</v>
      </c>
      <c r="E351" t="s">
        <v>41</v>
      </c>
      <c r="F351" t="s">
        <v>42</v>
      </c>
      <c r="G351" t="s">
        <v>43</v>
      </c>
      <c r="H351">
        <v>99999</v>
      </c>
      <c r="I351" t="s">
        <v>30</v>
      </c>
      <c r="J351" t="s">
        <v>44</v>
      </c>
      <c r="K351" t="s">
        <v>45</v>
      </c>
      <c r="L351" s="2">
        <v>41979</v>
      </c>
      <c r="M351" t="s">
        <v>46</v>
      </c>
      <c r="N351" t="s">
        <v>47</v>
      </c>
      <c r="O351" t="s">
        <v>41</v>
      </c>
      <c r="P351" t="s">
        <v>42</v>
      </c>
      <c r="Q351" t="s">
        <v>43</v>
      </c>
      <c r="R351">
        <v>99999</v>
      </c>
      <c r="S351" t="s">
        <v>30</v>
      </c>
      <c r="T351" t="s">
        <v>48</v>
      </c>
      <c r="U351" t="s">
        <v>149</v>
      </c>
      <c r="V351" t="s">
        <v>110</v>
      </c>
      <c r="W351">
        <v>81</v>
      </c>
      <c r="X351">
        <v>38</v>
      </c>
      <c r="Y351" s="4">
        <v>3078</v>
      </c>
      <c r="Z351" s="3">
        <v>292.41000000000003</v>
      </c>
    </row>
    <row r="352" spans="1:26" x14ac:dyDescent="0.3">
      <c r="A352">
        <v>1407</v>
      </c>
      <c r="B352" s="2">
        <v>41977</v>
      </c>
      <c r="C352">
        <v>4</v>
      </c>
      <c r="D352" t="s">
        <v>40</v>
      </c>
      <c r="E352" t="s">
        <v>41</v>
      </c>
      <c r="F352" t="s">
        <v>42</v>
      </c>
      <c r="G352" t="s">
        <v>43</v>
      </c>
      <c r="H352">
        <v>99999</v>
      </c>
      <c r="I352" t="s">
        <v>30</v>
      </c>
      <c r="J352" t="s">
        <v>44</v>
      </c>
      <c r="K352" t="s">
        <v>45</v>
      </c>
      <c r="L352" s="2">
        <v>41979</v>
      </c>
      <c r="M352" t="s">
        <v>46</v>
      </c>
      <c r="N352" t="s">
        <v>47</v>
      </c>
      <c r="O352" t="s">
        <v>41</v>
      </c>
      <c r="P352" t="s">
        <v>42</v>
      </c>
      <c r="Q352" t="s">
        <v>43</v>
      </c>
      <c r="R352">
        <v>99999</v>
      </c>
      <c r="S352" t="s">
        <v>30</v>
      </c>
      <c r="T352" t="s">
        <v>48</v>
      </c>
      <c r="U352" t="s">
        <v>150</v>
      </c>
      <c r="V352" t="s">
        <v>151</v>
      </c>
      <c r="W352">
        <v>7</v>
      </c>
      <c r="X352">
        <v>42</v>
      </c>
      <c r="Y352" s="4">
        <v>294</v>
      </c>
      <c r="Z352" s="3">
        <v>29.106000000000002</v>
      </c>
    </row>
    <row r="353" spans="1:26" x14ac:dyDescent="0.3">
      <c r="A353">
        <v>1409</v>
      </c>
      <c r="B353" s="2">
        <v>41981</v>
      </c>
      <c r="C353">
        <v>8</v>
      </c>
      <c r="D353" t="s">
        <v>56</v>
      </c>
      <c r="E353" t="s">
        <v>57</v>
      </c>
      <c r="F353" t="s">
        <v>58</v>
      </c>
      <c r="G353" t="s">
        <v>59</v>
      </c>
      <c r="H353">
        <v>99999</v>
      </c>
      <c r="I353" t="s">
        <v>30</v>
      </c>
      <c r="J353" t="s">
        <v>60</v>
      </c>
      <c r="K353" t="s">
        <v>61</v>
      </c>
      <c r="L353" s="2">
        <v>41983</v>
      </c>
      <c r="M353" t="s">
        <v>62</v>
      </c>
      <c r="N353" t="s">
        <v>63</v>
      </c>
      <c r="O353" t="s">
        <v>57</v>
      </c>
      <c r="P353" t="s">
        <v>58</v>
      </c>
      <c r="Q353" t="s">
        <v>59</v>
      </c>
      <c r="R353">
        <v>99999</v>
      </c>
      <c r="S353" t="s">
        <v>30</v>
      </c>
      <c r="T353" t="s">
        <v>48</v>
      </c>
      <c r="U353" t="s">
        <v>133</v>
      </c>
      <c r="V353" t="s">
        <v>134</v>
      </c>
      <c r="W353">
        <v>34.799999999999997</v>
      </c>
      <c r="X353">
        <v>100</v>
      </c>
      <c r="Y353" s="4">
        <v>3479.9999999999995</v>
      </c>
      <c r="Z353" s="3">
        <v>344.52</v>
      </c>
    </row>
    <row r="354" spans="1:26" x14ac:dyDescent="0.3">
      <c r="A354">
        <v>1412</v>
      </c>
      <c r="B354" s="2">
        <v>41976</v>
      </c>
      <c r="C354">
        <v>3</v>
      </c>
      <c r="D354" t="s">
        <v>74</v>
      </c>
      <c r="E354" t="s">
        <v>75</v>
      </c>
      <c r="F354" t="s">
        <v>76</v>
      </c>
      <c r="G354" t="s">
        <v>77</v>
      </c>
      <c r="H354">
        <v>99999</v>
      </c>
      <c r="I354" t="s">
        <v>30</v>
      </c>
      <c r="J354" t="s">
        <v>31</v>
      </c>
      <c r="K354" t="s">
        <v>32</v>
      </c>
      <c r="L354" s="2">
        <v>41978</v>
      </c>
      <c r="M354" t="s">
        <v>33</v>
      </c>
      <c r="N354" t="s">
        <v>78</v>
      </c>
      <c r="O354" t="s">
        <v>75</v>
      </c>
      <c r="P354" t="s">
        <v>76</v>
      </c>
      <c r="Q354" t="s">
        <v>77</v>
      </c>
      <c r="R354">
        <v>99999</v>
      </c>
      <c r="S354" t="s">
        <v>30</v>
      </c>
      <c r="T354" t="s">
        <v>79</v>
      </c>
      <c r="U354" t="s">
        <v>135</v>
      </c>
      <c r="V354" t="s">
        <v>112</v>
      </c>
      <c r="W354">
        <v>10</v>
      </c>
      <c r="X354">
        <v>89</v>
      </c>
      <c r="Y354" s="4">
        <v>890</v>
      </c>
      <c r="Z354" s="3">
        <v>87.22</v>
      </c>
    </row>
    <row r="355" spans="1:26" x14ac:dyDescent="0.3">
      <c r="A355">
        <v>1413</v>
      </c>
      <c r="B355" s="2">
        <v>41976</v>
      </c>
      <c r="C355">
        <v>3</v>
      </c>
      <c r="D355" t="s">
        <v>74</v>
      </c>
      <c r="E355" t="s">
        <v>75</v>
      </c>
      <c r="F355" t="s">
        <v>76</v>
      </c>
      <c r="G355" t="s">
        <v>77</v>
      </c>
      <c r="H355">
        <v>99999</v>
      </c>
      <c r="I355" t="s">
        <v>30</v>
      </c>
      <c r="J355" t="s">
        <v>31</v>
      </c>
      <c r="K355" t="s">
        <v>32</v>
      </c>
      <c r="L355" s="2">
        <v>41978</v>
      </c>
      <c r="M355" t="s">
        <v>33</v>
      </c>
      <c r="N355" t="s">
        <v>78</v>
      </c>
      <c r="O355" t="s">
        <v>75</v>
      </c>
      <c r="P355" t="s">
        <v>76</v>
      </c>
      <c r="Q355" t="s">
        <v>77</v>
      </c>
      <c r="R355">
        <v>99999</v>
      </c>
      <c r="S355" t="s">
        <v>30</v>
      </c>
      <c r="T355" t="s">
        <v>79</v>
      </c>
      <c r="U355" t="s">
        <v>88</v>
      </c>
      <c r="V355" t="s">
        <v>89</v>
      </c>
      <c r="W355">
        <v>40</v>
      </c>
      <c r="X355">
        <v>12</v>
      </c>
      <c r="Y355" s="4">
        <v>480</v>
      </c>
      <c r="Z355" s="3">
        <v>46.56</v>
      </c>
    </row>
    <row r="356" spans="1:26" x14ac:dyDescent="0.3">
      <c r="A356">
        <v>1417</v>
      </c>
      <c r="B356" s="2">
        <v>41983</v>
      </c>
      <c r="C356">
        <v>10</v>
      </c>
      <c r="D356" t="s">
        <v>97</v>
      </c>
      <c r="E356" t="s">
        <v>98</v>
      </c>
      <c r="F356" t="s">
        <v>99</v>
      </c>
      <c r="G356" t="s">
        <v>100</v>
      </c>
      <c r="H356">
        <v>99999</v>
      </c>
      <c r="I356" t="s">
        <v>30</v>
      </c>
      <c r="J356" t="s">
        <v>101</v>
      </c>
      <c r="K356" t="s">
        <v>45</v>
      </c>
      <c r="L356" s="2">
        <v>41985</v>
      </c>
      <c r="M356" t="s">
        <v>33</v>
      </c>
      <c r="N356" t="s">
        <v>102</v>
      </c>
      <c r="O356" t="s">
        <v>98</v>
      </c>
      <c r="P356" t="s">
        <v>99</v>
      </c>
      <c r="Q356" t="s">
        <v>100</v>
      </c>
      <c r="R356">
        <v>99999</v>
      </c>
      <c r="S356" t="s">
        <v>30</v>
      </c>
      <c r="T356" t="s">
        <v>48</v>
      </c>
      <c r="U356" t="s">
        <v>136</v>
      </c>
      <c r="V356" t="s">
        <v>39</v>
      </c>
      <c r="W356">
        <v>10</v>
      </c>
      <c r="X356">
        <v>97</v>
      </c>
      <c r="Y356" s="4">
        <v>970</v>
      </c>
      <c r="Z356" s="3">
        <v>100.88000000000001</v>
      </c>
    </row>
    <row r="357" spans="1:26" x14ac:dyDescent="0.3">
      <c r="A357">
        <v>1419</v>
      </c>
      <c r="B357" s="2">
        <v>41983</v>
      </c>
      <c r="C357">
        <v>10</v>
      </c>
      <c r="D357" t="s">
        <v>97</v>
      </c>
      <c r="E357" t="s">
        <v>98</v>
      </c>
      <c r="F357" t="s">
        <v>99</v>
      </c>
      <c r="G357" t="s">
        <v>100</v>
      </c>
      <c r="H357">
        <v>99999</v>
      </c>
      <c r="I357" t="s">
        <v>30</v>
      </c>
      <c r="J357" t="s">
        <v>101</v>
      </c>
      <c r="K357" t="s">
        <v>45</v>
      </c>
      <c r="L357" s="2"/>
      <c r="M357" t="s">
        <v>46</v>
      </c>
      <c r="N357" t="s">
        <v>102</v>
      </c>
      <c r="O357" t="s">
        <v>98</v>
      </c>
      <c r="P357" t="s">
        <v>99</v>
      </c>
      <c r="Q357" t="s">
        <v>100</v>
      </c>
      <c r="R357">
        <v>99999</v>
      </c>
      <c r="S357" t="s">
        <v>30</v>
      </c>
      <c r="U357" t="s">
        <v>38</v>
      </c>
      <c r="V357" t="s">
        <v>39</v>
      </c>
      <c r="W357">
        <v>3.5</v>
      </c>
      <c r="X357">
        <v>53</v>
      </c>
      <c r="Y357" s="4">
        <v>185.5</v>
      </c>
      <c r="Z357" s="3">
        <v>17.622499999999999</v>
      </c>
    </row>
    <row r="358" spans="1:26" x14ac:dyDescent="0.3">
      <c r="A358">
        <v>1420</v>
      </c>
      <c r="B358" s="2">
        <v>41984</v>
      </c>
      <c r="C358">
        <v>11</v>
      </c>
      <c r="D358" t="s">
        <v>113</v>
      </c>
      <c r="E358" t="s">
        <v>114</v>
      </c>
      <c r="F358" t="s">
        <v>115</v>
      </c>
      <c r="G358" t="s">
        <v>116</v>
      </c>
      <c r="H358">
        <v>99999</v>
      </c>
      <c r="I358" t="s">
        <v>30</v>
      </c>
      <c r="J358" t="s">
        <v>94</v>
      </c>
      <c r="K358" t="s">
        <v>95</v>
      </c>
      <c r="L358" s="2"/>
      <c r="M358" t="s">
        <v>62</v>
      </c>
      <c r="N358" t="s">
        <v>117</v>
      </c>
      <c r="O358" t="s">
        <v>114</v>
      </c>
      <c r="P358" t="s">
        <v>115</v>
      </c>
      <c r="Q358" t="s">
        <v>116</v>
      </c>
      <c r="R358">
        <v>99999</v>
      </c>
      <c r="S358" t="s">
        <v>30</v>
      </c>
      <c r="U358" t="s">
        <v>88</v>
      </c>
      <c r="V358" t="s">
        <v>89</v>
      </c>
      <c r="W358">
        <v>40</v>
      </c>
      <c r="X358">
        <v>61</v>
      </c>
      <c r="Y358" s="4">
        <v>2440</v>
      </c>
      <c r="Z358" s="3">
        <v>248.88</v>
      </c>
    </row>
    <row r="359" spans="1:26" x14ac:dyDescent="0.3">
      <c r="A359">
        <v>1421</v>
      </c>
      <c r="B359" s="2">
        <v>41974</v>
      </c>
      <c r="C359">
        <v>1</v>
      </c>
      <c r="D359" t="s">
        <v>118</v>
      </c>
      <c r="E359" t="s">
        <v>119</v>
      </c>
      <c r="F359" t="s">
        <v>120</v>
      </c>
      <c r="G359" t="s">
        <v>121</v>
      </c>
      <c r="H359">
        <v>99999</v>
      </c>
      <c r="I359" t="s">
        <v>30</v>
      </c>
      <c r="J359" t="s">
        <v>60</v>
      </c>
      <c r="K359" t="s">
        <v>61</v>
      </c>
      <c r="L359" s="2"/>
      <c r="M359" t="s">
        <v>62</v>
      </c>
      <c r="N359" t="s">
        <v>122</v>
      </c>
      <c r="O359" t="s">
        <v>119</v>
      </c>
      <c r="P359" t="s">
        <v>120</v>
      </c>
      <c r="Q359" t="s">
        <v>121</v>
      </c>
      <c r="R359">
        <v>99999</v>
      </c>
      <c r="S359" t="s">
        <v>30</v>
      </c>
      <c r="U359" t="s">
        <v>123</v>
      </c>
      <c r="V359" t="s">
        <v>124</v>
      </c>
      <c r="W359">
        <v>18.399999999999999</v>
      </c>
      <c r="X359">
        <v>45</v>
      </c>
      <c r="Y359" s="4">
        <v>827.99999999999989</v>
      </c>
      <c r="Z359" s="3">
        <v>81.143999999999991</v>
      </c>
    </row>
    <row r="360" spans="1:26" x14ac:dyDescent="0.3">
      <c r="A360">
        <v>1422</v>
      </c>
      <c r="B360" s="2">
        <v>42001</v>
      </c>
      <c r="C360">
        <v>28</v>
      </c>
      <c r="D360" t="s">
        <v>90</v>
      </c>
      <c r="E360" t="s">
        <v>91</v>
      </c>
      <c r="F360" t="s">
        <v>92</v>
      </c>
      <c r="G360" t="s">
        <v>93</v>
      </c>
      <c r="H360">
        <v>99999</v>
      </c>
      <c r="I360" t="s">
        <v>30</v>
      </c>
      <c r="J360" t="s">
        <v>94</v>
      </c>
      <c r="K360" t="s">
        <v>95</v>
      </c>
      <c r="L360" s="2">
        <v>42003</v>
      </c>
      <c r="M360" t="s">
        <v>62</v>
      </c>
      <c r="N360" t="s">
        <v>96</v>
      </c>
      <c r="O360" t="s">
        <v>91</v>
      </c>
      <c r="P360" t="s">
        <v>92</v>
      </c>
      <c r="Q360" t="s">
        <v>93</v>
      </c>
      <c r="R360">
        <v>99999</v>
      </c>
      <c r="S360" t="s">
        <v>30</v>
      </c>
      <c r="T360" t="s">
        <v>48</v>
      </c>
      <c r="U360" t="s">
        <v>55</v>
      </c>
      <c r="V360" t="s">
        <v>37</v>
      </c>
      <c r="W360">
        <v>46</v>
      </c>
      <c r="X360">
        <v>43</v>
      </c>
      <c r="Y360" s="4">
        <v>1978</v>
      </c>
      <c r="Z360" s="3">
        <v>197.8</v>
      </c>
    </row>
    <row r="361" spans="1:26" x14ac:dyDescent="0.3">
      <c r="A361">
        <v>1423</v>
      </c>
      <c r="B361" s="2">
        <v>41982</v>
      </c>
      <c r="C361">
        <v>9</v>
      </c>
      <c r="D361" t="s">
        <v>125</v>
      </c>
      <c r="E361" t="s">
        <v>126</v>
      </c>
      <c r="F361" t="s">
        <v>127</v>
      </c>
      <c r="G361" t="s">
        <v>128</v>
      </c>
      <c r="H361">
        <v>99999</v>
      </c>
      <c r="I361" t="s">
        <v>30</v>
      </c>
      <c r="J361" t="s">
        <v>129</v>
      </c>
      <c r="K361" t="s">
        <v>32</v>
      </c>
      <c r="L361" s="2">
        <v>41984</v>
      </c>
      <c r="M361" t="s">
        <v>46</v>
      </c>
      <c r="N361" t="s">
        <v>130</v>
      </c>
      <c r="O361" t="s">
        <v>126</v>
      </c>
      <c r="P361" t="s">
        <v>127</v>
      </c>
      <c r="Q361" t="s">
        <v>128</v>
      </c>
      <c r="R361">
        <v>99999</v>
      </c>
      <c r="S361" t="s">
        <v>30</v>
      </c>
      <c r="T361" t="s">
        <v>35</v>
      </c>
      <c r="U361" t="s">
        <v>80</v>
      </c>
      <c r="V361" t="s">
        <v>81</v>
      </c>
      <c r="W361">
        <v>9.65</v>
      </c>
      <c r="X361">
        <v>18</v>
      </c>
      <c r="Y361" s="4">
        <v>173.70000000000002</v>
      </c>
      <c r="Z361" s="3">
        <v>16.5015</v>
      </c>
    </row>
    <row r="362" spans="1:26" x14ac:dyDescent="0.3">
      <c r="A362">
        <v>1424</v>
      </c>
      <c r="B362" s="2">
        <v>41979</v>
      </c>
      <c r="C362">
        <v>6</v>
      </c>
      <c r="D362" t="s">
        <v>82</v>
      </c>
      <c r="E362" t="s">
        <v>83</v>
      </c>
      <c r="F362" t="s">
        <v>84</v>
      </c>
      <c r="G362" t="s">
        <v>85</v>
      </c>
      <c r="H362">
        <v>99999</v>
      </c>
      <c r="I362" t="s">
        <v>30</v>
      </c>
      <c r="J362" t="s">
        <v>86</v>
      </c>
      <c r="K362" t="s">
        <v>61</v>
      </c>
      <c r="L362" s="2">
        <v>41981</v>
      </c>
      <c r="M362" t="s">
        <v>33</v>
      </c>
      <c r="N362" t="s">
        <v>87</v>
      </c>
      <c r="O362" t="s">
        <v>83</v>
      </c>
      <c r="P362" t="s">
        <v>84</v>
      </c>
      <c r="Q362" t="s">
        <v>85</v>
      </c>
      <c r="R362">
        <v>99999</v>
      </c>
      <c r="S362" t="s">
        <v>30</v>
      </c>
      <c r="T362" t="s">
        <v>48</v>
      </c>
      <c r="U362" t="s">
        <v>72</v>
      </c>
      <c r="V362" t="s">
        <v>73</v>
      </c>
      <c r="W362">
        <v>12.75</v>
      </c>
      <c r="X362">
        <v>41</v>
      </c>
      <c r="Y362" s="4">
        <v>522.75</v>
      </c>
      <c r="Z362" s="3">
        <v>50.706750000000007</v>
      </c>
    </row>
    <row r="363" spans="1:26" x14ac:dyDescent="0.3">
      <c r="A363">
        <v>1425</v>
      </c>
      <c r="B363" s="2">
        <v>41981</v>
      </c>
      <c r="C363">
        <v>8</v>
      </c>
      <c r="D363" t="s">
        <v>56</v>
      </c>
      <c r="E363" t="s">
        <v>57</v>
      </c>
      <c r="F363" t="s">
        <v>58</v>
      </c>
      <c r="G363" t="s">
        <v>59</v>
      </c>
      <c r="H363">
        <v>99999</v>
      </c>
      <c r="I363" t="s">
        <v>30</v>
      </c>
      <c r="J363" t="s">
        <v>60</v>
      </c>
      <c r="K363" t="s">
        <v>61</v>
      </c>
      <c r="L363">
        <v>41983</v>
      </c>
      <c r="M363" t="s">
        <v>33</v>
      </c>
      <c r="N363" t="s">
        <v>63</v>
      </c>
      <c r="O363" t="s">
        <v>57</v>
      </c>
      <c r="P363" t="s">
        <v>58</v>
      </c>
      <c r="Q363" t="s">
        <v>59</v>
      </c>
      <c r="R363">
        <v>99999</v>
      </c>
      <c r="S363" t="s">
        <v>30</v>
      </c>
      <c r="T363" t="s">
        <v>35</v>
      </c>
      <c r="U363" t="s">
        <v>72</v>
      </c>
      <c r="V363" t="s">
        <v>73</v>
      </c>
      <c r="W363">
        <v>12.75</v>
      </c>
      <c r="X363">
        <v>19</v>
      </c>
      <c r="Y363" s="4">
        <v>242.25</v>
      </c>
      <c r="Z363" s="3">
        <v>23.982750000000003</v>
      </c>
    </row>
    <row r="364" spans="1:26" x14ac:dyDescent="0.3">
      <c r="A364">
        <v>1426</v>
      </c>
      <c r="B364" s="2">
        <v>41998</v>
      </c>
      <c r="C364">
        <v>25</v>
      </c>
      <c r="D364" t="s">
        <v>137</v>
      </c>
      <c r="E364" t="s">
        <v>138</v>
      </c>
      <c r="F364" t="s">
        <v>99</v>
      </c>
      <c r="G364" t="s">
        <v>100</v>
      </c>
      <c r="H364">
        <v>99999</v>
      </c>
      <c r="I364" t="s">
        <v>30</v>
      </c>
      <c r="J364" t="s">
        <v>101</v>
      </c>
      <c r="K364" t="s">
        <v>45</v>
      </c>
      <c r="L364">
        <v>42000</v>
      </c>
      <c r="M364" t="s">
        <v>46</v>
      </c>
      <c r="N364" t="s">
        <v>139</v>
      </c>
      <c r="O364" t="s">
        <v>138</v>
      </c>
      <c r="P364" t="s">
        <v>99</v>
      </c>
      <c r="Q364" t="s">
        <v>100</v>
      </c>
      <c r="R364">
        <v>99999</v>
      </c>
      <c r="S364" t="s">
        <v>30</v>
      </c>
      <c r="T364" t="s">
        <v>79</v>
      </c>
      <c r="U364" t="s">
        <v>111</v>
      </c>
      <c r="V364" t="s">
        <v>112</v>
      </c>
      <c r="W364">
        <v>22</v>
      </c>
      <c r="X364">
        <v>65</v>
      </c>
      <c r="Y364" s="4">
        <v>1430</v>
      </c>
      <c r="Z364" s="3">
        <v>138.71</v>
      </c>
    </row>
    <row r="365" spans="1:26" x14ac:dyDescent="0.3">
      <c r="A365">
        <v>1427</v>
      </c>
      <c r="B365" s="2">
        <v>41999</v>
      </c>
      <c r="C365">
        <v>26</v>
      </c>
      <c r="D365" t="s">
        <v>140</v>
      </c>
      <c r="E365" t="s">
        <v>141</v>
      </c>
      <c r="F365" t="s">
        <v>115</v>
      </c>
      <c r="G365" t="s">
        <v>116</v>
      </c>
      <c r="H365">
        <v>99999</v>
      </c>
      <c r="I365" t="s">
        <v>30</v>
      </c>
      <c r="J365" t="s">
        <v>94</v>
      </c>
      <c r="K365" t="s">
        <v>95</v>
      </c>
      <c r="L365">
        <v>42001</v>
      </c>
      <c r="M365" t="s">
        <v>62</v>
      </c>
      <c r="N365" t="s">
        <v>142</v>
      </c>
      <c r="O365" t="s">
        <v>141</v>
      </c>
      <c r="P365" t="s">
        <v>115</v>
      </c>
      <c r="Q365" t="s">
        <v>116</v>
      </c>
      <c r="R365">
        <v>99999</v>
      </c>
      <c r="S365" t="s">
        <v>30</v>
      </c>
      <c r="T365" t="s">
        <v>48</v>
      </c>
      <c r="U365" t="s">
        <v>109</v>
      </c>
      <c r="V365" t="s">
        <v>110</v>
      </c>
      <c r="W365">
        <v>25</v>
      </c>
      <c r="X365">
        <v>13</v>
      </c>
      <c r="Y365" s="4">
        <v>325</v>
      </c>
      <c r="Z365" s="3">
        <v>32.174999999999997</v>
      </c>
    </row>
    <row r="366" spans="1:26" x14ac:dyDescent="0.3">
      <c r="A366">
        <v>1428</v>
      </c>
      <c r="B366" s="2">
        <v>42002</v>
      </c>
      <c r="C366">
        <v>29</v>
      </c>
      <c r="D366" t="s">
        <v>66</v>
      </c>
      <c r="E366" t="s">
        <v>67</v>
      </c>
      <c r="F366" t="s">
        <v>68</v>
      </c>
      <c r="G366" t="s">
        <v>69</v>
      </c>
      <c r="H366">
        <v>99999</v>
      </c>
      <c r="I366" t="s">
        <v>30</v>
      </c>
      <c r="J366" t="s">
        <v>70</v>
      </c>
      <c r="K366" t="s">
        <v>32</v>
      </c>
      <c r="L366">
        <v>42004</v>
      </c>
      <c r="M366" t="s">
        <v>33</v>
      </c>
      <c r="N366" t="s">
        <v>71</v>
      </c>
      <c r="O366" t="s">
        <v>67</v>
      </c>
      <c r="P366" t="s">
        <v>68</v>
      </c>
      <c r="Q366" t="s">
        <v>69</v>
      </c>
      <c r="R366">
        <v>99999</v>
      </c>
      <c r="S366" t="s">
        <v>30</v>
      </c>
      <c r="T366" t="s">
        <v>35</v>
      </c>
      <c r="U366" t="s">
        <v>143</v>
      </c>
      <c r="V366" t="s">
        <v>144</v>
      </c>
      <c r="W366">
        <v>39</v>
      </c>
      <c r="X366">
        <v>54</v>
      </c>
      <c r="Y366" s="4">
        <v>2106</v>
      </c>
      <c r="Z366" s="3">
        <v>214.81200000000004</v>
      </c>
    </row>
    <row r="367" spans="1:26" x14ac:dyDescent="0.3">
      <c r="A367">
        <v>1429</v>
      </c>
      <c r="B367" s="2">
        <v>41979</v>
      </c>
      <c r="C367">
        <v>6</v>
      </c>
      <c r="D367" t="s">
        <v>82</v>
      </c>
      <c r="E367" t="s">
        <v>83</v>
      </c>
      <c r="F367" t="s">
        <v>84</v>
      </c>
      <c r="G367" t="s">
        <v>85</v>
      </c>
      <c r="H367">
        <v>99999</v>
      </c>
      <c r="I367" t="s">
        <v>30</v>
      </c>
      <c r="J367" t="s">
        <v>86</v>
      </c>
      <c r="K367" t="s">
        <v>61</v>
      </c>
      <c r="L367" s="2">
        <v>41981</v>
      </c>
      <c r="M367" t="s">
        <v>62</v>
      </c>
      <c r="N367" t="s">
        <v>87</v>
      </c>
      <c r="O367" t="s">
        <v>83</v>
      </c>
      <c r="P367" t="s">
        <v>84</v>
      </c>
      <c r="Q367" t="s">
        <v>85</v>
      </c>
      <c r="R367">
        <v>99999</v>
      </c>
      <c r="S367" t="s">
        <v>30</v>
      </c>
      <c r="T367" t="s">
        <v>35</v>
      </c>
      <c r="U367" t="s">
        <v>49</v>
      </c>
      <c r="V367" t="s">
        <v>39</v>
      </c>
      <c r="W367">
        <v>30</v>
      </c>
      <c r="X367">
        <v>33</v>
      </c>
      <c r="Y367" s="4">
        <v>990</v>
      </c>
      <c r="Z367" s="3">
        <v>95.039999999999992</v>
      </c>
    </row>
    <row r="368" spans="1:26" x14ac:dyDescent="0.3">
      <c r="A368">
        <v>1430</v>
      </c>
      <c r="B368" s="2">
        <v>41979</v>
      </c>
      <c r="C368">
        <v>6</v>
      </c>
      <c r="D368" t="s">
        <v>82</v>
      </c>
      <c r="E368" t="s">
        <v>83</v>
      </c>
      <c r="F368" t="s">
        <v>84</v>
      </c>
      <c r="G368" t="s">
        <v>85</v>
      </c>
      <c r="H368">
        <v>99999</v>
      </c>
      <c r="I368" t="s">
        <v>30</v>
      </c>
      <c r="J368" t="s">
        <v>86</v>
      </c>
      <c r="K368" t="s">
        <v>61</v>
      </c>
      <c r="L368" s="2">
        <v>41981</v>
      </c>
      <c r="M368" t="s">
        <v>62</v>
      </c>
      <c r="N368" t="s">
        <v>87</v>
      </c>
      <c r="O368" t="s">
        <v>83</v>
      </c>
      <c r="P368" t="s">
        <v>84</v>
      </c>
      <c r="Q368" t="s">
        <v>85</v>
      </c>
      <c r="R368">
        <v>99999</v>
      </c>
      <c r="S368" t="s">
        <v>30</v>
      </c>
      <c r="T368" t="s">
        <v>35</v>
      </c>
      <c r="U368" t="s">
        <v>50</v>
      </c>
      <c r="V368" t="s">
        <v>39</v>
      </c>
      <c r="W368">
        <v>53</v>
      </c>
      <c r="X368">
        <v>34</v>
      </c>
      <c r="Y368" s="4">
        <v>1802</v>
      </c>
      <c r="Z368" s="3">
        <v>185.60600000000002</v>
      </c>
    </row>
    <row r="369" spans="1:26" x14ac:dyDescent="0.3">
      <c r="A369">
        <v>1431</v>
      </c>
      <c r="B369" s="2">
        <v>41977</v>
      </c>
      <c r="C369">
        <v>4</v>
      </c>
      <c r="D369" t="s">
        <v>40</v>
      </c>
      <c r="E369" t="s">
        <v>41</v>
      </c>
      <c r="F369" t="s">
        <v>42</v>
      </c>
      <c r="G369" t="s">
        <v>43</v>
      </c>
      <c r="H369">
        <v>99999</v>
      </c>
      <c r="I369" t="s">
        <v>30</v>
      </c>
      <c r="J369" t="s">
        <v>44</v>
      </c>
      <c r="K369" t="s">
        <v>45</v>
      </c>
      <c r="L369" s="2"/>
      <c r="N369" t="s">
        <v>47</v>
      </c>
      <c r="O369" t="s">
        <v>41</v>
      </c>
      <c r="P369" t="s">
        <v>42</v>
      </c>
      <c r="Q369" t="s">
        <v>43</v>
      </c>
      <c r="R369">
        <v>99999</v>
      </c>
      <c r="S369" t="s">
        <v>30</v>
      </c>
      <c r="U369" t="s">
        <v>145</v>
      </c>
      <c r="V369" t="s">
        <v>132</v>
      </c>
      <c r="W369" s="3">
        <v>38</v>
      </c>
      <c r="X369">
        <v>59</v>
      </c>
      <c r="Y369" s="4">
        <v>2242</v>
      </c>
      <c r="Z369" s="3">
        <v>226.44200000000001</v>
      </c>
    </row>
    <row r="370" spans="1:26" x14ac:dyDescent="0.3">
      <c r="A370">
        <v>1432</v>
      </c>
      <c r="B370" s="2">
        <v>41976</v>
      </c>
      <c r="C370">
        <v>3</v>
      </c>
      <c r="D370" t="s">
        <v>74</v>
      </c>
      <c r="E370" t="s">
        <v>75</v>
      </c>
      <c r="F370" t="s">
        <v>76</v>
      </c>
      <c r="G370" t="s">
        <v>77</v>
      </c>
      <c r="H370">
        <v>99999</v>
      </c>
      <c r="I370" t="s">
        <v>30</v>
      </c>
      <c r="J370" t="s">
        <v>31</v>
      </c>
      <c r="K370" t="s">
        <v>32</v>
      </c>
      <c r="L370" s="2"/>
      <c r="N370" t="s">
        <v>78</v>
      </c>
      <c r="O370" t="s">
        <v>75</v>
      </c>
      <c r="P370" t="s">
        <v>76</v>
      </c>
      <c r="Q370" t="s">
        <v>77</v>
      </c>
      <c r="R370">
        <v>99999</v>
      </c>
      <c r="S370" t="s">
        <v>30</v>
      </c>
      <c r="U370" t="s">
        <v>103</v>
      </c>
      <c r="V370" t="s">
        <v>37</v>
      </c>
      <c r="W370" s="3">
        <v>2.99</v>
      </c>
      <c r="X370">
        <v>24</v>
      </c>
      <c r="Y370" s="4">
        <v>71.760000000000005</v>
      </c>
      <c r="Z370" s="3">
        <v>7.1042400000000008</v>
      </c>
    </row>
  </sheetData>
  <autoFilter ref="A1:Z370" xr:uid="{00000000-0009-0000-0000-00000700000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61FB6-D025-415A-A7B9-C746D2BAC75E}">
  <dimension ref="A2:A11"/>
  <sheetViews>
    <sheetView workbookViewId="0">
      <selection activeCell="A4" sqref="A4:A11"/>
    </sheetView>
  </sheetViews>
  <sheetFormatPr defaultRowHeight="15.05" x14ac:dyDescent="0.3"/>
  <cols>
    <col min="1" max="1" width="66.44140625" customWidth="1"/>
    <col min="3" max="3" width="9.109375" customWidth="1"/>
  </cols>
  <sheetData>
    <row r="2" spans="1:1" ht="21.3" x14ac:dyDescent="0.4">
      <c r="A2" s="7" t="s">
        <v>161</v>
      </c>
    </row>
    <row r="3" spans="1:1" ht="68.25" customHeight="1" x14ac:dyDescent="0.3">
      <c r="A3" s="9" t="s">
        <v>162</v>
      </c>
    </row>
    <row r="4" spans="1:1" ht="21.3" x14ac:dyDescent="0.4">
      <c r="A4" s="8" t="s">
        <v>156</v>
      </c>
    </row>
    <row r="5" spans="1:1" ht="21.3" x14ac:dyDescent="0.4">
      <c r="A5" s="8" t="s">
        <v>157</v>
      </c>
    </row>
    <row r="6" spans="1:1" ht="21.3" x14ac:dyDescent="0.4">
      <c r="A6" s="8" t="s">
        <v>158</v>
      </c>
    </row>
    <row r="7" spans="1:1" ht="21.3" x14ac:dyDescent="0.4">
      <c r="A7" s="8" t="s">
        <v>159</v>
      </c>
    </row>
    <row r="8" spans="1:1" ht="21.3" x14ac:dyDescent="0.4">
      <c r="A8" s="8" t="s">
        <v>160</v>
      </c>
    </row>
    <row r="9" spans="1:1" ht="21.3" x14ac:dyDescent="0.4">
      <c r="A9" s="8" t="s">
        <v>164</v>
      </c>
    </row>
    <row r="10" spans="1:1" ht="21.3" x14ac:dyDescent="0.4">
      <c r="A10" s="8" t="s">
        <v>165</v>
      </c>
    </row>
    <row r="11" spans="1:1" ht="21.3" x14ac:dyDescent="0.4">
      <c r="A11" s="8" t="s">
        <v>166</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F4F0A-BE31-49D8-B381-8980E01C8700}">
  <dimension ref="A3:B8"/>
  <sheetViews>
    <sheetView workbookViewId="0">
      <selection activeCell="A4" sqref="A4"/>
    </sheetView>
  </sheetViews>
  <sheetFormatPr defaultRowHeight="15.05" x14ac:dyDescent="0.3"/>
  <cols>
    <col min="1" max="1" width="12.44140625" bestFit="1" customWidth="1"/>
    <col min="2" max="2" width="14.88671875" bestFit="1" customWidth="1"/>
  </cols>
  <sheetData>
    <row r="3" spans="1:2" x14ac:dyDescent="0.3">
      <c r="A3" s="10" t="s">
        <v>167</v>
      </c>
      <c r="B3" t="s">
        <v>169</v>
      </c>
    </row>
    <row r="4" spans="1:2" x14ac:dyDescent="0.3">
      <c r="A4" s="11" t="s">
        <v>61</v>
      </c>
      <c r="B4" s="12">
        <v>141680.33999999997</v>
      </c>
    </row>
    <row r="5" spans="1:2" x14ac:dyDescent="0.3">
      <c r="A5" s="11" t="s">
        <v>45</v>
      </c>
      <c r="B5" s="12">
        <v>108275.51</v>
      </c>
    </row>
    <row r="6" spans="1:2" x14ac:dyDescent="0.3">
      <c r="A6" s="11" t="s">
        <v>95</v>
      </c>
      <c r="B6" s="12">
        <v>93858.329999999987</v>
      </c>
    </row>
    <row r="7" spans="1:2" x14ac:dyDescent="0.3">
      <c r="A7" s="11" t="s">
        <v>32</v>
      </c>
      <c r="B7" s="12">
        <v>91251.979999999981</v>
      </c>
    </row>
    <row r="8" spans="1:2" x14ac:dyDescent="0.3">
      <c r="A8" s="11" t="s">
        <v>168</v>
      </c>
      <c r="B8" s="12">
        <v>435066.15999999992</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601E9-3FCC-453F-9F30-E610CCD9415C}">
  <dimension ref="A3:B12"/>
  <sheetViews>
    <sheetView workbookViewId="0">
      <selection activeCell="O11" sqref="O11"/>
    </sheetView>
  </sheetViews>
  <sheetFormatPr defaultRowHeight="15.05" x14ac:dyDescent="0.3"/>
  <cols>
    <col min="1" max="1" width="15.109375" bestFit="1" customWidth="1"/>
    <col min="2" max="2" width="14.88671875" bestFit="1" customWidth="1"/>
  </cols>
  <sheetData>
    <row r="3" spans="1:2" x14ac:dyDescent="0.3">
      <c r="A3" s="10" t="s">
        <v>167</v>
      </c>
      <c r="B3" t="s">
        <v>169</v>
      </c>
    </row>
    <row r="4" spans="1:2" x14ac:dyDescent="0.3">
      <c r="A4" s="11" t="s">
        <v>60</v>
      </c>
      <c r="B4" s="12">
        <v>104252.33999999997</v>
      </c>
    </row>
    <row r="5" spans="1:2" x14ac:dyDescent="0.3">
      <c r="A5" s="11" t="s">
        <v>94</v>
      </c>
      <c r="B5" s="12">
        <v>93858.329999999987</v>
      </c>
    </row>
    <row r="6" spans="1:2" x14ac:dyDescent="0.3">
      <c r="A6" s="11" t="s">
        <v>44</v>
      </c>
      <c r="B6" s="12">
        <v>67180.5</v>
      </c>
    </row>
    <row r="7" spans="1:2" x14ac:dyDescent="0.3">
      <c r="A7" s="11" t="s">
        <v>31</v>
      </c>
      <c r="B7" s="12">
        <v>42370.880000000005</v>
      </c>
    </row>
    <row r="8" spans="1:2" x14ac:dyDescent="0.3">
      <c r="A8" s="11" t="s">
        <v>101</v>
      </c>
      <c r="B8" s="12">
        <v>41095.01</v>
      </c>
    </row>
    <row r="9" spans="1:2" x14ac:dyDescent="0.3">
      <c r="A9" s="11" t="s">
        <v>86</v>
      </c>
      <c r="B9" s="12">
        <v>37428</v>
      </c>
    </row>
    <row r="10" spans="1:2" x14ac:dyDescent="0.3">
      <c r="A10" s="11" t="s">
        <v>129</v>
      </c>
      <c r="B10" s="12">
        <v>32530.6</v>
      </c>
    </row>
    <row r="11" spans="1:2" x14ac:dyDescent="0.3">
      <c r="A11" s="11" t="s">
        <v>70</v>
      </c>
      <c r="B11" s="12">
        <v>16350.5</v>
      </c>
    </row>
    <row r="12" spans="1:2" x14ac:dyDescent="0.3">
      <c r="A12" s="11" t="s">
        <v>168</v>
      </c>
      <c r="B12" s="12">
        <v>435066.15999999992</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8C465-8854-483E-A8F9-7EB0FD33DBC3}">
  <dimension ref="A3:B14"/>
  <sheetViews>
    <sheetView workbookViewId="0">
      <selection activeCell="A4" sqref="A4:A12"/>
    </sheetView>
  </sheetViews>
  <sheetFormatPr defaultRowHeight="15.05" x14ac:dyDescent="0.3"/>
  <cols>
    <col min="1" max="1" width="12.44140625" bestFit="1" customWidth="1"/>
    <col min="2" max="2" width="14.88671875" bestFit="1" customWidth="1"/>
  </cols>
  <sheetData>
    <row r="3" spans="1:2" x14ac:dyDescent="0.3">
      <c r="A3" s="10" t="s">
        <v>167</v>
      </c>
      <c r="B3" t="s">
        <v>169</v>
      </c>
    </row>
    <row r="4" spans="1:2" x14ac:dyDescent="0.3">
      <c r="A4" s="11" t="s">
        <v>40</v>
      </c>
      <c r="B4" s="12">
        <v>67180.5</v>
      </c>
    </row>
    <row r="5" spans="1:2" x14ac:dyDescent="0.3">
      <c r="A5" s="11" t="s">
        <v>56</v>
      </c>
      <c r="B5" s="12">
        <v>50208.35</v>
      </c>
    </row>
    <row r="6" spans="1:2" x14ac:dyDescent="0.3">
      <c r="A6" s="11" t="s">
        <v>90</v>
      </c>
      <c r="B6" s="12">
        <v>43713</v>
      </c>
    </row>
    <row r="7" spans="1:2" x14ac:dyDescent="0.3">
      <c r="A7" s="11" t="s">
        <v>82</v>
      </c>
      <c r="B7" s="12">
        <v>37428</v>
      </c>
    </row>
    <row r="8" spans="1:2" x14ac:dyDescent="0.3">
      <c r="A8" s="11" t="s">
        <v>118</v>
      </c>
      <c r="B8" s="12">
        <v>36839.990000000005</v>
      </c>
    </row>
    <row r="9" spans="1:2" x14ac:dyDescent="0.3">
      <c r="A9" s="11" t="s">
        <v>125</v>
      </c>
      <c r="B9" s="12">
        <v>32530.6</v>
      </c>
    </row>
    <row r="10" spans="1:2" x14ac:dyDescent="0.3">
      <c r="A10" s="11" t="s">
        <v>97</v>
      </c>
      <c r="B10" s="12">
        <v>29133.009999999995</v>
      </c>
    </row>
    <row r="11" spans="1:2" x14ac:dyDescent="0.3">
      <c r="A11" s="11" t="s">
        <v>140</v>
      </c>
      <c r="B11" s="12">
        <v>28208.250000000007</v>
      </c>
    </row>
    <row r="12" spans="1:2" x14ac:dyDescent="0.3">
      <c r="A12" s="11" t="s">
        <v>74</v>
      </c>
      <c r="B12" s="12">
        <v>27005.38</v>
      </c>
    </row>
    <row r="13" spans="1:2" x14ac:dyDescent="0.3">
      <c r="A13" s="11" t="s">
        <v>113</v>
      </c>
      <c r="B13" s="12">
        <v>21937.08</v>
      </c>
    </row>
    <row r="14" spans="1:2" x14ac:dyDescent="0.3">
      <c r="A14" s="11" t="s">
        <v>168</v>
      </c>
      <c r="B14" s="12">
        <v>374184.16</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85D41-7619-4F79-B7AF-48C043C2500E}">
  <dimension ref="A3:B16"/>
  <sheetViews>
    <sheetView workbookViewId="0">
      <selection activeCell="S24" sqref="S24"/>
    </sheetView>
  </sheetViews>
  <sheetFormatPr defaultRowHeight="15.05" x14ac:dyDescent="0.3"/>
  <cols>
    <col min="1" max="1" width="12.44140625" bestFit="1" customWidth="1"/>
    <col min="2" max="2" width="14.88671875" bestFit="1" customWidth="1"/>
  </cols>
  <sheetData>
    <row r="3" spans="1:2" x14ac:dyDescent="0.3">
      <c r="A3" s="10" t="s">
        <v>167</v>
      </c>
      <c r="B3" t="s">
        <v>169</v>
      </c>
    </row>
    <row r="4" spans="1:2" x14ac:dyDescent="0.3">
      <c r="A4" s="14" t="s">
        <v>170</v>
      </c>
      <c r="B4" s="12">
        <v>32907.839999999997</v>
      </c>
    </row>
    <row r="5" spans="1:2" x14ac:dyDescent="0.3">
      <c r="A5" s="14" t="s">
        <v>171</v>
      </c>
      <c r="B5" s="12">
        <v>19985.5</v>
      </c>
    </row>
    <row r="6" spans="1:2" x14ac:dyDescent="0.3">
      <c r="A6" s="14" t="s">
        <v>172</v>
      </c>
      <c r="B6" s="12">
        <v>30852.6</v>
      </c>
    </row>
    <row r="7" spans="1:2" x14ac:dyDescent="0.3">
      <c r="A7" s="14" t="s">
        <v>173</v>
      </c>
      <c r="B7" s="12">
        <v>20771.789999999997</v>
      </c>
    </row>
    <row r="8" spans="1:2" x14ac:dyDescent="0.3">
      <c r="A8" s="14" t="s">
        <v>174</v>
      </c>
      <c r="B8" s="12">
        <v>34307.049999999996</v>
      </c>
    </row>
    <row r="9" spans="1:2" x14ac:dyDescent="0.3">
      <c r="A9" s="14" t="s">
        <v>175</v>
      </c>
      <c r="B9" s="12">
        <v>55601.61</v>
      </c>
    </row>
    <row r="10" spans="1:2" x14ac:dyDescent="0.3">
      <c r="A10" s="14" t="s">
        <v>176</v>
      </c>
      <c r="B10" s="12">
        <v>27318.539999999997</v>
      </c>
    </row>
    <row r="11" spans="1:2" x14ac:dyDescent="0.3">
      <c r="A11" s="14" t="s">
        <v>177</v>
      </c>
      <c r="B11" s="12">
        <v>29921.459999999995</v>
      </c>
    </row>
    <row r="12" spans="1:2" x14ac:dyDescent="0.3">
      <c r="A12" s="14" t="s">
        <v>178</v>
      </c>
      <c r="B12" s="12">
        <v>31949.97</v>
      </c>
    </row>
    <row r="13" spans="1:2" x14ac:dyDescent="0.3">
      <c r="A13" s="14" t="s">
        <v>179</v>
      </c>
      <c r="B13" s="12">
        <v>53033.59</v>
      </c>
    </row>
    <row r="14" spans="1:2" x14ac:dyDescent="0.3">
      <c r="A14" s="14" t="s">
        <v>180</v>
      </c>
      <c r="B14" s="12">
        <v>31773.429999999997</v>
      </c>
    </row>
    <row r="15" spans="1:2" x14ac:dyDescent="0.3">
      <c r="A15" s="14" t="s">
        <v>181</v>
      </c>
      <c r="B15" s="12">
        <v>66642.78</v>
      </c>
    </row>
    <row r="16" spans="1:2" x14ac:dyDescent="0.3">
      <c r="A16" s="14" t="s">
        <v>168</v>
      </c>
      <c r="B16" s="12">
        <v>435066.15999999992</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50AC2-1250-479E-BBB7-75896169CD0D}">
  <dimension ref="A3:E10"/>
  <sheetViews>
    <sheetView workbookViewId="0">
      <selection activeCell="M9" sqref="M9"/>
    </sheetView>
  </sheetViews>
  <sheetFormatPr defaultRowHeight="15.05" x14ac:dyDescent="0.3"/>
  <cols>
    <col min="1" max="1" width="15.5546875" bestFit="1" customWidth="1"/>
    <col min="2" max="2" width="14.88671875" bestFit="1" customWidth="1"/>
    <col min="4" max="4" width="15.77734375" bestFit="1" customWidth="1"/>
    <col min="5" max="5" width="14.88671875" bestFit="1" customWidth="1"/>
  </cols>
  <sheetData>
    <row r="3" spans="1:5" x14ac:dyDescent="0.3">
      <c r="A3" s="10" t="s">
        <v>167</v>
      </c>
      <c r="B3" t="s">
        <v>169</v>
      </c>
      <c r="D3" s="13" t="s">
        <v>182</v>
      </c>
      <c r="E3" s="13" t="s">
        <v>169</v>
      </c>
    </row>
    <row r="4" spans="1:5" x14ac:dyDescent="0.3">
      <c r="A4" s="11" t="s">
        <v>37</v>
      </c>
      <c r="B4" s="12">
        <v>110577.10999999999</v>
      </c>
      <c r="D4" s="11" t="s">
        <v>37</v>
      </c>
      <c r="E4" s="12">
        <v>110577.10999999999</v>
      </c>
    </row>
    <row r="5" spans="1:5" x14ac:dyDescent="0.3">
      <c r="A5" s="11" t="s">
        <v>89</v>
      </c>
      <c r="B5" s="12">
        <v>69000</v>
      </c>
      <c r="D5" s="11" t="s">
        <v>89</v>
      </c>
      <c r="E5" s="12">
        <v>69000</v>
      </c>
    </row>
    <row r="6" spans="1:5" x14ac:dyDescent="0.3">
      <c r="A6" s="11" t="s">
        <v>110</v>
      </c>
      <c r="B6" s="12">
        <v>51541</v>
      </c>
      <c r="D6" s="11" t="s">
        <v>110</v>
      </c>
      <c r="E6" s="12">
        <v>51541</v>
      </c>
    </row>
    <row r="7" spans="1:5" x14ac:dyDescent="0.3">
      <c r="A7" s="11" t="s">
        <v>134</v>
      </c>
      <c r="B7" s="12">
        <v>33129.600000000006</v>
      </c>
      <c r="D7" s="11" t="s">
        <v>134</v>
      </c>
      <c r="E7" s="12">
        <v>33129.600000000006</v>
      </c>
    </row>
    <row r="8" spans="1:5" x14ac:dyDescent="0.3">
      <c r="A8" s="11" t="s">
        <v>39</v>
      </c>
      <c r="B8" s="12">
        <v>27999.5</v>
      </c>
      <c r="D8" s="11" t="s">
        <v>39</v>
      </c>
      <c r="E8" s="12">
        <v>27999.5</v>
      </c>
    </row>
    <row r="9" spans="1:5" x14ac:dyDescent="0.3">
      <c r="A9" s="11" t="s">
        <v>124</v>
      </c>
      <c r="B9" s="12">
        <v>25465.599999999999</v>
      </c>
      <c r="D9" s="11" t="s">
        <v>124</v>
      </c>
      <c r="E9" s="12">
        <v>25465.599999999999</v>
      </c>
    </row>
    <row r="10" spans="1:5" x14ac:dyDescent="0.3">
      <c r="A10" s="11" t="s">
        <v>168</v>
      </c>
      <c r="B10" s="12">
        <v>317712.81</v>
      </c>
    </row>
  </sheetData>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39918-236E-4EDE-BF8B-F73C19AB7E72}">
  <dimension ref="A3:E16"/>
  <sheetViews>
    <sheetView workbookViewId="0">
      <selection activeCell="B30" sqref="B30"/>
    </sheetView>
  </sheetViews>
  <sheetFormatPr defaultRowHeight="15.05" x14ac:dyDescent="0.3"/>
  <cols>
    <col min="1" max="1" width="12.44140625" bestFit="1" customWidth="1"/>
    <col min="2" max="2" width="14.88671875" bestFit="1" customWidth="1"/>
    <col min="5" max="5" width="14.88671875" bestFit="1" customWidth="1"/>
  </cols>
  <sheetData>
    <row r="3" spans="1:5" x14ac:dyDescent="0.3">
      <c r="A3" s="10" t="s">
        <v>167</v>
      </c>
      <c r="B3" t="s">
        <v>169</v>
      </c>
      <c r="D3" s="13" t="s">
        <v>183</v>
      </c>
      <c r="E3" s="13" t="s">
        <v>169</v>
      </c>
    </row>
    <row r="4" spans="1:5" x14ac:dyDescent="0.3">
      <c r="A4" s="11" t="s">
        <v>77</v>
      </c>
      <c r="B4" s="12">
        <v>27005.38</v>
      </c>
      <c r="D4" s="11" t="s">
        <v>77</v>
      </c>
      <c r="E4" s="12">
        <v>27005.38</v>
      </c>
    </row>
    <row r="5" spans="1:5" x14ac:dyDescent="0.3">
      <c r="A5" s="11" t="s">
        <v>69</v>
      </c>
      <c r="B5" s="12">
        <v>16350.5</v>
      </c>
      <c r="D5" s="11" t="s">
        <v>69</v>
      </c>
      <c r="E5" s="12">
        <v>16350.5</v>
      </c>
    </row>
    <row r="6" spans="1:5" x14ac:dyDescent="0.3">
      <c r="A6" s="11" t="s">
        <v>116</v>
      </c>
      <c r="B6" s="12">
        <v>50145.330000000009</v>
      </c>
      <c r="D6" s="11" t="s">
        <v>116</v>
      </c>
      <c r="E6" s="12">
        <v>50145.330000000009</v>
      </c>
    </row>
    <row r="7" spans="1:5" x14ac:dyDescent="0.3">
      <c r="A7" s="11" t="s">
        <v>107</v>
      </c>
      <c r="B7" s="12">
        <v>17204</v>
      </c>
      <c r="D7" s="11" t="s">
        <v>107</v>
      </c>
      <c r="E7" s="12">
        <v>17204</v>
      </c>
    </row>
    <row r="8" spans="1:5" x14ac:dyDescent="0.3">
      <c r="A8" s="11" t="s">
        <v>100</v>
      </c>
      <c r="B8" s="12">
        <v>41095.01</v>
      </c>
      <c r="D8" s="11" t="s">
        <v>100</v>
      </c>
      <c r="E8" s="12">
        <v>41095.01</v>
      </c>
    </row>
    <row r="9" spans="1:5" x14ac:dyDescent="0.3">
      <c r="A9" s="11" t="s">
        <v>29</v>
      </c>
      <c r="B9" s="12">
        <v>15365.5</v>
      </c>
      <c r="D9" s="11" t="s">
        <v>29</v>
      </c>
      <c r="E9" s="12">
        <v>15365.5</v>
      </c>
    </row>
    <row r="10" spans="1:5" x14ac:dyDescent="0.3">
      <c r="A10" s="11" t="s">
        <v>43</v>
      </c>
      <c r="B10" s="12">
        <v>67180.5</v>
      </c>
      <c r="D10" s="11" t="s">
        <v>43</v>
      </c>
      <c r="E10" s="12">
        <v>67180.5</v>
      </c>
    </row>
    <row r="11" spans="1:5" x14ac:dyDescent="0.3">
      <c r="A11" s="11" t="s">
        <v>59</v>
      </c>
      <c r="B11" s="12">
        <v>50208.35</v>
      </c>
      <c r="D11" s="11" t="s">
        <v>59</v>
      </c>
      <c r="E11" s="12">
        <v>50208.35</v>
      </c>
    </row>
    <row r="12" spans="1:5" x14ac:dyDescent="0.3">
      <c r="A12" s="11" t="s">
        <v>93</v>
      </c>
      <c r="B12" s="12">
        <v>43713</v>
      </c>
      <c r="D12" s="11" t="s">
        <v>93</v>
      </c>
      <c r="E12" s="12">
        <v>43713</v>
      </c>
    </row>
    <row r="13" spans="1:5" x14ac:dyDescent="0.3">
      <c r="A13" s="11" t="s">
        <v>128</v>
      </c>
      <c r="B13" s="12">
        <v>32530.6</v>
      </c>
      <c r="D13" s="11" t="s">
        <v>128</v>
      </c>
      <c r="E13" s="12">
        <v>32530.6</v>
      </c>
    </row>
    <row r="14" spans="1:5" x14ac:dyDescent="0.3">
      <c r="A14" s="11" t="s">
        <v>121</v>
      </c>
      <c r="B14" s="12">
        <v>36839.990000000005</v>
      </c>
      <c r="D14" s="11" t="s">
        <v>121</v>
      </c>
      <c r="E14" s="12">
        <v>36839.990000000005</v>
      </c>
    </row>
    <row r="15" spans="1:5" x14ac:dyDescent="0.3">
      <c r="A15" s="11" t="s">
        <v>85</v>
      </c>
      <c r="B15" s="12">
        <v>37428</v>
      </c>
      <c r="D15" s="11" t="s">
        <v>85</v>
      </c>
      <c r="E15" s="12">
        <v>37428</v>
      </c>
    </row>
    <row r="16" spans="1:5" x14ac:dyDescent="0.3">
      <c r="A16" s="11" t="s">
        <v>168</v>
      </c>
      <c r="B16" s="12">
        <v>435066.16</v>
      </c>
    </row>
  </sheetData>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C9DAE-6DEF-4455-A7CF-E657A9FE1FFC}">
  <dimension ref="A3:B9"/>
  <sheetViews>
    <sheetView workbookViewId="0">
      <selection activeCell="A4" sqref="A4"/>
    </sheetView>
  </sheetViews>
  <sheetFormatPr defaultRowHeight="15.05" x14ac:dyDescent="0.3"/>
  <cols>
    <col min="1" max="1" width="12.44140625" bestFit="1" customWidth="1"/>
    <col min="2" max="2" width="14.88671875" bestFit="1" customWidth="1"/>
  </cols>
  <sheetData>
    <row r="3" spans="1:2" x14ac:dyDescent="0.3">
      <c r="A3" s="10" t="s">
        <v>167</v>
      </c>
      <c r="B3" t="s">
        <v>169</v>
      </c>
    </row>
    <row r="4" spans="1:2" x14ac:dyDescent="0.3">
      <c r="A4" s="11" t="s">
        <v>42</v>
      </c>
      <c r="B4" s="12">
        <v>67180.5</v>
      </c>
    </row>
    <row r="5" spans="1:2" x14ac:dyDescent="0.3">
      <c r="A5" s="11" t="s">
        <v>58</v>
      </c>
      <c r="B5" s="12">
        <v>50208.35</v>
      </c>
    </row>
    <row r="6" spans="1:2" x14ac:dyDescent="0.3">
      <c r="A6" s="11" t="s">
        <v>115</v>
      </c>
      <c r="B6" s="12">
        <v>50145.330000000009</v>
      </c>
    </row>
    <row r="7" spans="1:2" x14ac:dyDescent="0.3">
      <c r="A7" s="11" t="s">
        <v>92</v>
      </c>
      <c r="B7" s="12">
        <v>43713</v>
      </c>
    </row>
    <row r="8" spans="1:2" x14ac:dyDescent="0.3">
      <c r="A8" s="11" t="s">
        <v>99</v>
      </c>
      <c r="B8" s="12">
        <v>41095.01</v>
      </c>
    </row>
    <row r="9" spans="1:2" x14ac:dyDescent="0.3">
      <c r="A9" s="11" t="s">
        <v>168</v>
      </c>
      <c r="B9" s="12">
        <v>252342.19000000003</v>
      </c>
    </row>
  </sheetData>
  <pageMargins left="0.7" right="0.7" top="0.75" bottom="0.75" header="0.3" footer="0.3"/>
  <pageSetup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EA73E-F734-4F5A-A80E-CD64FF87376B}">
  <dimension ref="A3:E10"/>
  <sheetViews>
    <sheetView workbookViewId="0">
      <selection activeCell="O23" sqref="O23"/>
    </sheetView>
  </sheetViews>
  <sheetFormatPr defaultRowHeight="15.05" x14ac:dyDescent="0.3"/>
  <cols>
    <col min="1" max="1" width="12.44140625" bestFit="1" customWidth="1"/>
    <col min="2" max="2" width="14.88671875" bestFit="1" customWidth="1"/>
    <col min="5" max="5" width="10" bestFit="1" customWidth="1"/>
  </cols>
  <sheetData>
    <row r="3" spans="1:5" x14ac:dyDescent="0.3">
      <c r="A3" s="10" t="s">
        <v>167</v>
      </c>
      <c r="B3" t="s">
        <v>169</v>
      </c>
      <c r="D3" s="11" t="s">
        <v>42</v>
      </c>
      <c r="E3" s="12">
        <v>67180.5</v>
      </c>
    </row>
    <row r="4" spans="1:5" x14ac:dyDescent="0.3">
      <c r="A4" s="11" t="s">
        <v>42</v>
      </c>
      <c r="B4" s="12">
        <v>67180.5</v>
      </c>
      <c r="D4" s="11" t="s">
        <v>58</v>
      </c>
      <c r="E4" s="12">
        <v>50208.35</v>
      </c>
    </row>
    <row r="5" spans="1:5" x14ac:dyDescent="0.3">
      <c r="A5" s="11" t="s">
        <v>58</v>
      </c>
      <c r="B5" s="12">
        <v>50208.35</v>
      </c>
      <c r="D5" s="11" t="s">
        <v>115</v>
      </c>
      <c r="E5" s="12">
        <v>50145.330000000009</v>
      </c>
    </row>
    <row r="6" spans="1:5" x14ac:dyDescent="0.3">
      <c r="A6" s="11" t="s">
        <v>115</v>
      </c>
      <c r="B6" s="12">
        <v>50145.330000000009</v>
      </c>
      <c r="D6" s="11" t="s">
        <v>92</v>
      </c>
      <c r="E6" s="12">
        <v>43713</v>
      </c>
    </row>
    <row r="7" spans="1:5" x14ac:dyDescent="0.3">
      <c r="A7" s="11" t="s">
        <v>92</v>
      </c>
      <c r="B7" s="12">
        <v>43713</v>
      </c>
      <c r="D7" s="11" t="s">
        <v>99</v>
      </c>
      <c r="E7" s="12">
        <v>41095.01</v>
      </c>
    </row>
    <row r="8" spans="1:5" x14ac:dyDescent="0.3">
      <c r="A8" s="11" t="s">
        <v>99</v>
      </c>
      <c r="B8" s="12">
        <v>41095.01</v>
      </c>
      <c r="D8" s="11" t="s">
        <v>84</v>
      </c>
      <c r="E8" s="12">
        <v>37428</v>
      </c>
    </row>
    <row r="9" spans="1:5" x14ac:dyDescent="0.3">
      <c r="A9" s="11" t="s">
        <v>84</v>
      </c>
      <c r="B9" s="12">
        <v>37428</v>
      </c>
    </row>
    <row r="10" spans="1:5" x14ac:dyDescent="0.3">
      <c r="A10" s="11" t="s">
        <v>168</v>
      </c>
      <c r="B10" s="12">
        <v>289770.19</v>
      </c>
    </row>
  </sheetData>
  <pageMargins left="0.7" right="0.7" top="0.75" bottom="0.75" header="0.3" footer="0.3"/>
  <pageSetup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B3A70-5C2A-42D6-BCAC-B017FF991298}">
  <dimension ref="A1"/>
  <sheetViews>
    <sheetView showGridLines="0" zoomScaleNormal="100" workbookViewId="0">
      <selection activeCell="C1" sqref="C1"/>
    </sheetView>
  </sheetViews>
  <sheetFormatPr defaultRowHeight="15.05" x14ac:dyDescent="0.3"/>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47BD3-3070-4A5A-89BA-486C7B9E64FC}">
  <dimension ref="A3:B11"/>
  <sheetViews>
    <sheetView workbookViewId="0">
      <selection activeCell="N20" sqref="N20"/>
    </sheetView>
  </sheetViews>
  <sheetFormatPr defaultRowHeight="15.05" x14ac:dyDescent="0.3"/>
  <cols>
    <col min="1" max="1" width="12.44140625" bestFit="1" customWidth="1"/>
    <col min="2" max="2" width="16.21875" bestFit="1" customWidth="1"/>
  </cols>
  <sheetData>
    <row r="3" spans="1:2" x14ac:dyDescent="0.3">
      <c r="A3" s="10" t="s">
        <v>167</v>
      </c>
      <c r="B3" t="s">
        <v>191</v>
      </c>
    </row>
    <row r="4" spans="1:2" x14ac:dyDescent="0.3">
      <c r="A4" s="15" t="s">
        <v>184</v>
      </c>
      <c r="B4" s="16">
        <v>221</v>
      </c>
    </row>
    <row r="5" spans="1:2" x14ac:dyDescent="0.3">
      <c r="A5" s="15" t="s">
        <v>185</v>
      </c>
      <c r="B5" s="16">
        <v>82</v>
      </c>
    </row>
    <row r="6" spans="1:2" x14ac:dyDescent="0.3">
      <c r="A6" s="15" t="s">
        <v>186</v>
      </c>
      <c r="B6" s="16">
        <v>32</v>
      </c>
    </row>
    <row r="7" spans="1:2" x14ac:dyDescent="0.3">
      <c r="A7" s="15" t="s">
        <v>187</v>
      </c>
      <c r="B7" s="16">
        <v>23</v>
      </c>
    </row>
    <row r="8" spans="1:2" x14ac:dyDescent="0.3">
      <c r="A8" s="15" t="s">
        <v>188</v>
      </c>
      <c r="B8" s="16">
        <v>8</v>
      </c>
    </row>
    <row r="9" spans="1:2" x14ac:dyDescent="0.3">
      <c r="A9" s="15" t="s">
        <v>189</v>
      </c>
      <c r="B9" s="16">
        <v>2</v>
      </c>
    </row>
    <row r="10" spans="1:2" x14ac:dyDescent="0.3">
      <c r="A10" s="15" t="s">
        <v>190</v>
      </c>
      <c r="B10" s="16">
        <v>1</v>
      </c>
    </row>
    <row r="11" spans="1:2" x14ac:dyDescent="0.3">
      <c r="A11" s="15" t="s">
        <v>168</v>
      </c>
      <c r="B11" s="16">
        <v>369</v>
      </c>
    </row>
  </sheetData>
  <pageMargins left="0.7" right="0.7" top="0.75" bottom="0.75" header="0.3" footer="0.3"/>
  <pageSetup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3717F-D134-4606-9442-46C113520E4C}">
  <dimension ref="A1"/>
  <sheetViews>
    <sheetView showGridLines="0" workbookViewId="0"/>
  </sheetViews>
  <sheetFormatPr defaultRowHeight="15.05" x14ac:dyDescent="0.3"/>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CF039-75B9-484B-BBC7-A7A24C86E128}">
  <dimension ref="A1"/>
  <sheetViews>
    <sheetView showGridLines="0" tabSelected="1" topLeftCell="A16" workbookViewId="0"/>
  </sheetViews>
  <sheetFormatPr defaultRowHeight="15.05" x14ac:dyDescent="0.3"/>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9FC0B-AA50-42EF-A714-6FC68464D59D}">
  <dimension ref="A1"/>
  <sheetViews>
    <sheetView showGridLines="0" workbookViewId="0">
      <selection activeCell="X4" sqref="X4"/>
    </sheetView>
  </sheetViews>
  <sheetFormatPr defaultRowHeight="15.05" x14ac:dyDescent="0.3"/>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8DD9E-CCC6-43A3-B3CC-C0A81229E6E9}">
  <dimension ref="X1"/>
  <sheetViews>
    <sheetView showGridLines="0" zoomScaleNormal="100" workbookViewId="0">
      <selection activeCell="L46" sqref="L46"/>
    </sheetView>
  </sheetViews>
  <sheetFormatPr defaultRowHeight="15.05" x14ac:dyDescent="0.3"/>
  <sheetData>
    <row r="1" spans="24:24" x14ac:dyDescent="0.3">
      <c r="X1"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1146B-8D8C-492A-B3F7-8485259797A9}">
  <dimension ref="A1"/>
  <sheetViews>
    <sheetView showGridLines="0" zoomScaleNormal="100" workbookViewId="0">
      <selection activeCell="I47" sqref="I47"/>
    </sheetView>
  </sheetViews>
  <sheetFormatPr defaultRowHeight="15.05"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26E6E-9E66-4358-BDA2-11D6ED32D5D3}">
  <dimension ref="A1"/>
  <sheetViews>
    <sheetView showGridLines="0" workbookViewId="0"/>
  </sheetViews>
  <sheetFormatPr defaultRowHeight="15.05" x14ac:dyDescent="0.3"/>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4365B-65CC-42AD-8186-A3A55C8D7840}">
  <dimension ref="A1"/>
  <sheetViews>
    <sheetView showGridLines="0" workbookViewId="0"/>
  </sheetViews>
  <sheetFormatPr defaultRowHeight="15.05" x14ac:dyDescent="0.3"/>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B19:C20"/>
  <sheetViews>
    <sheetView showGridLines="0" workbookViewId="0">
      <selection activeCell="M29" sqref="M29"/>
    </sheetView>
  </sheetViews>
  <sheetFormatPr defaultRowHeight="15.05" x14ac:dyDescent="0.3"/>
  <sheetData>
    <row r="19" spans="2:3" x14ac:dyDescent="0.3">
      <c r="B19" s="6" t="s">
        <v>153</v>
      </c>
      <c r="C19" t="s">
        <v>154</v>
      </c>
    </row>
    <row r="20" spans="2:3" x14ac:dyDescent="0.3">
      <c r="B20" s="6" t="s">
        <v>152</v>
      </c>
      <c r="C20" s="5" t="s">
        <v>155</v>
      </c>
    </row>
  </sheetData>
  <hyperlinks>
    <hyperlink ref="C20" r:id="rId1" xr:uid="{00000000-0004-0000-0200-000000000000}"/>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Data (2)</vt:lpstr>
      <vt:lpstr>Task</vt:lpstr>
      <vt:lpstr>Sales By Region</vt:lpstr>
      <vt:lpstr>Sales By Salespersons</vt:lpstr>
      <vt:lpstr>Top 10 Customers</vt:lpstr>
      <vt:lpstr>Sales Trend</vt:lpstr>
      <vt:lpstr>Products' Performance</vt:lpstr>
      <vt:lpstr>States' Performance</vt:lpstr>
      <vt:lpstr>Cities' Performance by Revenue</vt:lpstr>
      <vt:lpstr>Top 6 Ship Cities by Revenue</vt:lpstr>
      <vt:lpstr>Dashboard Sketch</vt:lpstr>
      <vt:lpstr>Transactions by Amount</vt:lpstr>
      <vt:lpstr>Pre-Analysis Board</vt:lpstr>
      <vt:lpstr>In-Analysis Board</vt:lpstr>
      <vt:lpstr>Sketch</vt:lpstr>
      <vt:lpstr>Lesson 7-  Full Dashboard</vt:lpstr>
      <vt:lpstr>Lesson 8 - Replicated Dashboard</vt:lpstr>
      <vt:lpstr>Post Analysis Board</vt:lpstr>
      <vt:lpstr>Recommendations Board</vt:lpstr>
      <vt:lpstr>Pivot Table Diagram</vt:lpstr>
    </vt:vector>
  </TitlesOfParts>
  <Company>Excel Campus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dc:creator>
  <cp:lastModifiedBy>HP</cp:lastModifiedBy>
  <dcterms:created xsi:type="dcterms:W3CDTF">2015-01-21T18:43:03Z</dcterms:created>
  <dcterms:modified xsi:type="dcterms:W3CDTF">2026-08-08T21:10:39Z</dcterms:modified>
</cp:coreProperties>
</file>